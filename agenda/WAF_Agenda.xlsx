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7.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Day 1" sheetId="2" state="visible" r:id="rId4"/>
    <sheet name="Day 2" sheetId="3" state="visible" r:id="rId5"/>
    <sheet name="Day 3" sheetId="4" state="visible" r:id="rId6"/>
    <sheet name="All Sessions" sheetId="5" state="visible" r:id="rId7"/>
    <sheet name="Speaker Appearances" sheetId="6" state="visible" r:id="rId8"/>
    <sheet name="Speaker Directory"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<sst xmlns="http://schemas.openxmlformats.org/spreadsheetml/2006/main" count="13619" uniqueCount="2331">
  <si>
    <t xml:space="preserve">World Aviation Festival – Agenda</t>
  </si>
  <si>
    <t xml:space="preserve">Source</t>
  </si>
  <si>
    <t xml:space="preserve">https://hub.terrapinn.com/a0AN200000t9wgDMAQPA06066985/agenda</t>
  </si>
  <si>
    <t xml:space="preserve">Days included</t>
  </si>
  <si>
    <t xml:space="preserve">Day 1, Day 2, Day 3</t>
  </si>
  <si>
    <t xml:space="preserve">Note</t>
  </si>
  <si>
    <t xml:space="preserve">Built from agenda text copied from the event hub. The site could not be fetched directly from this environment. Speaker job titles/organisations are split from 'Name, Title, Company' on the site; 'Additional speakers' counts names hidden behind '+N more' on the site (not listed here). Day 1 was copied with every 'Show more' expanded, so it has all speakers and full descriptions; Days 2 and 3 were copied collapsed and will be completed once re-copied the same way. Registration numbers are a snapshot at the time of copying.</t>
  </si>
  <si>
    <t xml:space="preserve">Sessions by stream</t>
  </si>
  <si>
    <t xml:space="preserve">Stream / Category</t>
  </si>
  <si>
    <t xml:space="preserve">Day 1</t>
  </si>
  <si>
    <t xml:space="preserve">Day 2</t>
  </si>
  <si>
    <t xml:space="preserve">Day 3</t>
  </si>
  <si>
    <t xml:space="preserve">Total</t>
  </si>
  <si>
    <t xml:space="preserve">AI / ML</t>
  </si>
  <si>
    <t xml:space="preserve">Airline Keynote</t>
  </si>
  <si>
    <t xml:space="preserve">Airport &amp; Airline Collaboration</t>
  </si>
  <si>
    <t xml:space="preserve">Airport - Operations</t>
  </si>
  <si>
    <t xml:space="preserve">Airport - Traveller</t>
  </si>
  <si>
    <t xml:space="preserve">Airport Keynote</t>
  </si>
  <si>
    <t xml:space="preserve">Ancillaries</t>
  </si>
  <si>
    <t xml:space="preserve">Crew Summit</t>
  </si>
  <si>
    <t xml:space="preserve">Customer Experience</t>
  </si>
  <si>
    <t xml:space="preserve">Cyber Security</t>
  </si>
  <si>
    <t xml:space="preserve">Digital &amp; IT</t>
  </si>
  <si>
    <t xml:space="preserve">Digital Operations</t>
  </si>
  <si>
    <t xml:space="preserve">Ground Ops</t>
  </si>
  <si>
    <t xml:space="preserve">IFEC</t>
  </si>
  <si>
    <t xml:space="preserve">IROPS</t>
  </si>
  <si>
    <t xml:space="preserve">Innovation</t>
  </si>
  <si>
    <t xml:space="preserve">Loyalty</t>
  </si>
  <si>
    <t xml:space="preserve">Marketing</t>
  </si>
  <si>
    <t xml:space="preserve">Networking</t>
  </si>
  <si>
    <t xml:space="preserve">Payments</t>
  </si>
  <si>
    <t xml:space="preserve">Retail</t>
  </si>
  <si>
    <t xml:space="preserve">Revenue Management</t>
  </si>
  <si>
    <t xml:space="preserve">Roundtable</t>
  </si>
  <si>
    <t xml:space="preserve">Startup Theatre</t>
  </si>
  <si>
    <t xml:space="preserve">Sustainability</t>
  </si>
  <si>
    <t xml:space="preserve">Talent</t>
  </si>
  <si>
    <t xml:space="preserve">Workshop</t>
  </si>
  <si>
    <t xml:space="preserve">#</t>
  </si>
  <si>
    <t xml:space="preserve">Day</t>
  </si>
  <si>
    <t xml:space="preserve">Start</t>
  </si>
  <si>
    <t xml:space="preserve">End</t>
  </si>
  <si>
    <t xml:space="preserve">Format</t>
  </si>
  <si>
    <t xml:space="preserve">Session Title</t>
  </si>
  <si>
    <t xml:space="preserve">Speakers (Name – Job Title, Company)</t>
  </si>
  <si>
    <t xml:space="preserve">Speaker Names</t>
  </si>
  <si>
    <t xml:space="preserve">Organisations</t>
  </si>
  <si>
    <t xml:space="preserve">Speakers Listed</t>
  </si>
  <si>
    <t xml:space="preserve">Additional Speakers (not shown on site)</t>
  </si>
  <si>
    <t xml:space="preserve">Room / Stage</t>
  </si>
  <si>
    <t xml:space="preserve">Pavilion</t>
  </si>
  <si>
    <t xml:space="preserve">Room (as listed on site)</t>
  </si>
  <si>
    <t xml:space="preserve">Description / Discussion Points</t>
  </si>
  <si>
    <t xml:space="preserve">Registered</t>
  </si>
  <si>
    <t xml:space="preserve">Capacity</t>
  </si>
  <si>
    <t xml:space="preserve">Places Left</t>
  </si>
  <si>
    <t xml:space="preserve">Registration Status</t>
  </si>
  <si>
    <t xml:space="preserve">Welcome</t>
  </si>
  <si>
    <t xml:space="preserve">Official Welcome: His Excellency the Secretary of State for Infrastructure, Mr Hugo Espírito Santo</t>
  </si>
  <si>
    <t xml:space="preserve">Hugo Espírito Santo – Secretary of State for Infrastructure, Portuguese Government</t>
  </si>
  <si>
    <t xml:space="preserve">Hugo Espírito Santo</t>
  </si>
  <si>
    <t xml:space="preserve">Portuguese Government</t>
  </si>
  <si>
    <t xml:space="preserve">Keynote Stage 2 (Pavilion 2)</t>
  </si>
  <si>
    <t xml:space="preserve">Pavilion 2</t>
  </si>
  <si>
    <t xml:space="preserve">Keynote Stage (Pavilion 2)</t>
  </si>
  <si>
    <t xml:space="preserve">Fireside Chat</t>
  </si>
  <si>
    <t xml:space="preserve">Fireside Chat: The future of the airline industry: Structural optionality and constant transformation</t>
  </si>
  <si>
    <t xml:space="preserve">Tamur Goudarzi Pour – EVP Strategy &amp; Member of the Group Executive Committee, Lufthansa Group
Henry Harteveldt – Travel Industry Analyst, Atmosphere Research Group</t>
  </si>
  <si>
    <t xml:space="preserve">Tamur Goudarzi Pour, Henry Harteveldt</t>
  </si>
  <si>
    <t xml:space="preserve">Lufthansa Group, Atmosphere Research Group</t>
  </si>
  <si>
    <t xml:space="preserve">Fireside Chat: Nine days to live: Rethinking airline ancillaries</t>
  </si>
  <si>
    <t xml:space="preserve">Bobby Healy – Co-Founder &amp; Chief Technology Officer, Meili Travel Technology Ltd.
Alex Levy – Director of Business Development, Alaska Airlines
Henry Harteveldt – Travel Industry Analyst, Atmosphere Research Group</t>
  </si>
  <si>
    <t xml:space="preserve">Bobby Healy, Alex Levy, Henry Harteveldt</t>
  </si>
  <si>
    <t xml:space="preserve">Meili Travel Technology Ltd., Alaska Airlines, Atmosphere Research Group</t>
  </si>
  <si>
    <t xml:space="preserve">Fireside Chat: Managing change and complexity: United’s roadmap to AI-Powered crew solutions</t>
  </si>
  <si>
    <t xml:space="preserve">Michael Kozak – Director - Inflight Crew Strategy &amp; Transformation, United Airlines</t>
  </si>
  <si>
    <t xml:space="preserve">Michael Kozak</t>
  </si>
  <si>
    <t xml:space="preserve">United Airlines</t>
  </si>
  <si>
    <t xml:space="preserve">Track 7 (Pavilion 2)</t>
  </si>
  <si>
    <t xml:space="preserve">Presentation</t>
  </si>
  <si>
    <t xml:space="preserve">Presentation: Maximizing operational performance through integrated optimisation</t>
  </si>
  <si>
    <t xml:space="preserve">Kenny Groszman – Head of Integrated Operations (iOps) &amp; Optimisation, British Airways</t>
  </si>
  <si>
    <t xml:space="preserve">Kenny Groszman</t>
  </si>
  <si>
    <t xml:space="preserve">British Airways</t>
  </si>
  <si>
    <t xml:space="preserve">Track 4 (Pavilion 1)</t>
  </si>
  <si>
    <t xml:space="preserve">Pavilion 1</t>
  </si>
  <si>
    <t xml:space="preserve">Fireside Chat: Building real-time operational visibility across the airport ecosystem</t>
  </si>
  <si>
    <t xml:space="preserve">Samuel í Hjøllum Rude – Vice President, Head of Operational Airport Services, Copenhagen Airports
Uschi Schulte-Sasse – Founder &amp; Principal, USS AviationConsulting</t>
  </si>
  <si>
    <t xml:space="preserve">Samuel í Hjøllum Rude, Uschi Schulte-Sasse</t>
  </si>
  <si>
    <t xml:space="preserve">Copenhagen Airports, USS AviationConsulting</t>
  </si>
  <si>
    <t xml:space="preserve">Track 8 (Pavilion 2)</t>
  </si>
  <si>
    <t xml:space="preserve">Fireside Chat: From strategy to journey: Building the guest experience at Alaska and Hawaiian airlines</t>
  </si>
  <si>
    <t xml:space="preserve">Natalie Randall – Day of Travel Experience Manager, Alaska Airlines
Jerry Angrave – Customer Experience Director, Empathyce</t>
  </si>
  <si>
    <t xml:space="preserve">Natalie Randall, Jerry Angrave</t>
  </si>
  <si>
    <t xml:space="preserve">Alaska Airlines, Empathyce</t>
  </si>
  <si>
    <t xml:space="preserve">Track 10 (Pavilion 2)</t>
  </si>
  <si>
    <t xml:space="preserve">Track 10, Pavilion 2</t>
  </si>
  <si>
    <t xml:space="preserve">Presentation: Shaping IT investments to support marketing capabilities at ZIP Air</t>
  </si>
  <si>
    <t xml:space="preserve">Daisuke Nishiyama – CIO, VP of IT Strategy and Development, ZIPAIR Tokyo</t>
  </si>
  <si>
    <t xml:space="preserve">Daisuke Nishiyama</t>
  </si>
  <si>
    <t xml:space="preserve">ZIPAIR Tokyo</t>
  </si>
  <si>
    <t xml:space="preserve">Track 5 (Pavilion 1)</t>
  </si>
  <si>
    <t xml:space="preserve">Fireside Chat: The next chapter of airline payments – frictionless checkout, smarter orchestration and greater value</t>
  </si>
  <si>
    <t xml:space="preserve">Surya Kuchibotla – VP eCommerce, Ancillary and Retailing, OMAN AIR
Paul van Alfen – Travel Payments Strategist, Up in the Air - Travel Payment Consultancy</t>
  </si>
  <si>
    <t xml:space="preserve">Surya Kuchibotla, Paul van Alfen</t>
  </si>
  <si>
    <t xml:space="preserve">OMAN AIR, Up in the Air - Travel Payment Consultancy</t>
  </si>
  <si>
    <t xml:space="preserve">Track 6 (Pavilion 1)</t>
  </si>
  <si>
    <t xml:space="preserve">Track 6 (Pavillion 1)</t>
  </si>
  <si>
    <t xml:space="preserve">Fireside Chat: AI, Threats and Opportunity: Cutting Through the Hype</t>
  </si>
  <si>
    <t xml:space="preserve">Craig Barrington – Head of Cyber Threat Exposure, easyJet
David Nieto – VP MEMBER SUCCESS, AVIATION ISAC</t>
  </si>
  <si>
    <t xml:space="preserve">Craig Barrington, David Nieto</t>
  </si>
  <si>
    <t xml:space="preserve">easyJet, AVIATION ISAC</t>
  </si>
  <si>
    <t xml:space="preserve">Track 9 (Pavilion 2)</t>
  </si>
  <si>
    <t xml:space="preserve">Track 9, Pav 2</t>
  </si>
  <si>
    <t xml:space="preserve">• For years we've been told AI is coming. The reality is that AI isn't coming. It's already here. Employees are using it. Attackers are using it. Airlines are using it.
• The question is no longer whether AI will change the game.
• The question is: How do we stay ahead of the risks while taking advantage of the opportunities?</t>
  </si>
  <si>
    <t xml:space="preserve">Fetcherr Workshop: The price of your flight to WAF - Decoded</t>
  </si>
  <si>
    <t xml:space="preserve">Yuval Hochberg</t>
  </si>
  <si>
    <t xml:space="preserve">Track 2 (Pavilion 1)</t>
  </si>
  <si>
    <t xml:space="preserve">Started</t>
  </si>
  <si>
    <t xml:space="preserve">Presentation: Solving the look-to-book problem created by AI, with AI</t>
  </si>
  <si>
    <t xml:space="preserve">Simone Lini – CEO, Zerolook.ai</t>
  </si>
  <si>
    <t xml:space="preserve">Simone Lini</t>
  </si>
  <si>
    <t xml:space="preserve">Zerolook.ai</t>
  </si>
  <si>
    <t xml:space="preserve">Presentation: AI that acts. Airlines that stay in control</t>
  </si>
  <si>
    <t xml:space="preserve">Jim Davidson – Vice Chairman, Accelya
Massimo Morin – Global Head, Travel, AWS for Travel and Hospitality, Amazon Web Services, Inc. (SEA54)</t>
  </si>
  <si>
    <t xml:space="preserve">Jim Davidson, Massimo Morin</t>
  </si>
  <si>
    <t xml:space="preserve">Accelya, Amazon Web Services, Inc. (SEA54)</t>
  </si>
  <si>
    <t xml:space="preserve">The next wave of AI is not about generating more content. It's about enabling intelligent systems to take action. Join us to discover how agentic AI is helping airlines deliver better customer experiences, improve operational resilience and accelerate innovation through an open, airline-first approach.</t>
  </si>
  <si>
    <t xml:space="preserve">Presentation: Beyond FAQs: How Air Europa's AI agents book flights, change bookings and add extras on WhatsApp</t>
  </si>
  <si>
    <t xml:space="preserve">Maria Jesus del Hoyo – Head of Customer Operations, Air Europa</t>
  </si>
  <si>
    <t xml:space="preserve">Maria Jesus del Hoyo</t>
  </si>
  <si>
    <t xml:space="preserve">Air Europa</t>
  </si>
  <si>
    <t xml:space="preserve">Panel</t>
  </si>
  <si>
    <t xml:space="preserve">Panel: Exploring the use of technology to optimise the crew experience and scheduling</t>
  </si>
  <si>
    <t xml:space="preserve">Marcin Pilarczyk – Head of Data Science, Ryanair
Abdulrahman Alkhatabi – Senior Manager Crew Utilization, Saudia
Luca De Angelis – CEO Crew Solutions, HRS GmbH
Malek Trimeche – Aviation entrepreneur / Podcast Host : The Gate Talk, Malek Trimeche</t>
  </si>
  <si>
    <t xml:space="preserve">Marcin Pilarczyk, Abdulrahman Alkhatabi, Luca De Angelis, Malek Trimeche</t>
  </si>
  <si>
    <t xml:space="preserve">Ryanair, Saudia, HRS GmbH, Malek Trimeche</t>
  </si>
  <si>
    <t xml:space="preserve">Presentation: Insights from an optimized turn - review of key findings from the Annual Turnaround Report with a case study</t>
  </si>
  <si>
    <t xml:space="preserve">Christiaan Hen – CEO, Assaia</t>
  </si>
  <si>
    <t xml:space="preserve">Christiaan Hen</t>
  </si>
  <si>
    <t xml:space="preserve">Assaia</t>
  </si>
  <si>
    <t xml:space="preserve">Presentation: Payments as Strategy: Powering the Next Era of Business</t>
  </si>
  <si>
    <t xml:space="preserve">Wendy Ward – Chief Marketing Officer, UATP
Benjamin Sibbald – Vice President - Head of Payments, Hahn Air Lines GmbH
Tom Cunningham – Consultant, TreviPay</t>
  </si>
  <si>
    <t xml:space="preserve">Wendy Ward, Benjamin Sibbald, Tom Cunningham</t>
  </si>
  <si>
    <t xml:space="preserve">UATP, Hahn Air Lines GmbH, TreviPay</t>
  </si>
  <si>
    <t xml:space="preserve">Presentation: Know, learn, act: How Amperity and Alaska Airlines partnered to create more seamless traveller experiences</t>
  </si>
  <si>
    <t xml:space="preserve">Marcus Owens – Field CTO, Amperity</t>
  </si>
  <si>
    <t xml:space="preserve">Marcus Owens</t>
  </si>
  <si>
    <t xml:space="preserve">Amperity</t>
  </si>
  <si>
    <t xml:space="preserve">Track 5, Pav 1</t>
  </si>
  <si>
    <t xml:space="preserve">Presentation: From chaos to control: The IROPS control tower reshapes airlines recovery &amp; turns every disruption into an opportunity</t>
  </si>
  <si>
    <t xml:space="preserve">Mandeep Grewal – Executive Vice President, TCG Digital Solutions</t>
  </si>
  <si>
    <t xml:space="preserve">Mandeep Grewal</t>
  </si>
  <si>
    <t xml:space="preserve">TCG Digital Solutions</t>
  </si>
  <si>
    <t xml:space="preserve">Startup Pitch</t>
  </si>
  <si>
    <t xml:space="preserve">From Manual Inspections to Real-Time Cabin Intelligence</t>
  </si>
  <si>
    <t xml:space="preserve">Maria Esther Martinez Barreiro – Chief Executive Officer, AEROSENS</t>
  </si>
  <si>
    <t xml:space="preserve">Maria Esther Martinez Barreiro</t>
  </si>
  <si>
    <t xml:space="preserve">AEROSENS</t>
  </si>
  <si>
    <t xml:space="preserve">Panel: The 2026 retail manifesto – navigating the high-stakes shift to modern retailing</t>
  </si>
  <si>
    <t xml:space="preserve">Mario Cruz – Chief Commercial &amp; Revenue Officer, Tap Air Portugal
Cemal Kaya – Chief Commercial Officer, Ajet
Amit Khandelwal – Senior VP - Revenue Optimization, Emirates Airline
Alan Dunne – Chief Product Officer, Datalex Ireland Ltd
Zachary Wynne – Head of EMEA, ATPCO
Henry Harteveldt – Travel Industry Analyst, Atmosphere Research Group</t>
  </si>
  <si>
    <t xml:space="preserve">Mario Cruz, Cemal Kaya, Amit Khandelwal, Alan Dunne, Zachary Wynne, Henry Harteveldt</t>
  </si>
  <si>
    <t xml:space="preserve">Tap Air Portugal, Ajet, Emirates Airline, Datalex Ireland Ltd, ATPCO, Atmosphere Research Group</t>
  </si>
  <si>
    <t xml:space="preserve">• Why are airlines pivoting away from single-provider "monolith" PSS systems in favour of "plug-and-play" modular IT?
• What is the current status of airline and IT provider readiness and what should the industry expect in terms of timelines?
• How is modern retailing architecture finally solving the historical complexity of selling seats and ancillaries across interline partners?
• How can airlines achieve the internal transformation and cultural shift needed to catch up with the digital maturity of global retail giants?
• In what ways will Agentic AI disrupt the travel industry’s traditional booking journey?</t>
  </si>
  <si>
    <t xml:space="preserve">Panel: The 45-minute promise – why is the turnaround still so hard to optimise?</t>
  </si>
  <si>
    <t xml:space="preserve">Mohamed Hanno – Group Executive Chairman &amp; CEO, ASE GROUP
Panos Nicolaidis – Chief Ground Operations Officer, Aegean Airlines
Simon Cox – Director - Ground Operations, easyJet
Soren Charles – Sales Director, easie by ICRON
Chloe Lapeyre – CEO, PORTWAY HANDLING
Uschi Schulte-Sasse – Founder &amp; Principal, USS AviationConsulting</t>
  </si>
  <si>
    <t xml:space="preserve">Mohamed Hanno, Panos Nicolaidis, Simon Cox, Soren Charles, Chloe Lapeyre, Uschi Schulte-Sasse</t>
  </si>
  <si>
    <t xml:space="preserve">ASE GROUP, Aegean Airlines, easyJet, easie by ICRON, PORTWAY HANDLING, USS AviationConsulting</t>
  </si>
  <si>
    <t xml:space="preserve">• With more data than ever available, why do we still suffer from poor visibility – and how close are we to real-time shared operational views?
• Where are AI, computer vision and predictive analytics already improving turnaround visibility and decision making? Where can they do more?
• Are we finally moving toward a coordinated, connected turnaround to reduce stand conflicts and operational friction?
• How are operations teams using data platforms, digital twins and control tower systems to improve turnaround predictability?
• Looking ahead, what capabilities will be essential to enable more automated, scalable and resilient turnaround operations?</t>
  </si>
  <si>
    <t xml:space="preserve">Panel: Mitigating the impact of disruption: How tools such as predictive modelling and real-time information are changing the game</t>
  </si>
  <si>
    <t xml:space="preserve">Manjinder Singh – Head of Airline Data Science &amp; Analytics, TUI GROUP
Ivan Baruta – Innovation Project Manager, Eurocontrol
Michael Clarke – Director, Product Management, Flightscape
Alex Goman – Principal Consultant, STS Aero</t>
  </si>
  <si>
    <t xml:space="preserve">Manjinder Singh, Ivan Baruta, Michael Clarke, Alex Goman</t>
  </si>
  <si>
    <t xml:space="preserve">TUI GROUP, Eurocontrol, Flightscape, STS Aero</t>
  </si>
  <si>
    <t xml:space="preserve">• How far can predictive modelling and real time data go in reducing the impact of disruption today?
• Making smart decisions with AI scenario modelling: reducing impact on airplane misalignment and impact for customers
• Learning the lessons of disruption events: what tools can really reduce the impact of disruption across the network?</t>
  </si>
  <si>
    <t xml:space="preserve">Panel: The smart marketing strategy, how is technology super-charging insights, targeting and data driven strategy?</t>
  </si>
  <si>
    <t xml:space="preserve">Justyna Valente – Head of Marketing &amp; Branding, Tap Air Portugal
Julia Fedor – Director, Brand Marketing Operations, United Airlines
Sabina Jasinska – Chief Marketing Officer, LILT
Mike Arnot – Principal, Juliett Alpha</t>
  </si>
  <si>
    <t xml:space="preserve">Justyna Valente, Julia Fedor, Sabina Jasinska, Mike Arnot</t>
  </si>
  <si>
    <t xml:space="preserve">Tap Air Portugal, United Airlines, LILT, Juliett Alpha</t>
  </si>
  <si>
    <t xml:space="preserve">• How are new tech tools enabling new marketing insights &amp; capabilities?
• Using AI and Data Science to augment analytics, drive personalisation and identify marketing value
• Sharing examples &amp; learnings of using data driven insights to inform marketing strategy</t>
  </si>
  <si>
    <t xml:space="preserve">Panel: Who controls the airline payment stack in 2026 – airline, PSP, or marketplace?</t>
  </si>
  <si>
    <t xml:space="preserve">Daniel Lapera – Strategic Planning Director, Plus Ultra Líneas Aéreas
Ercan Demirtaş – Senior Vice President Payment Systems, Turkish Airlines
Adam Kissane – International Travel Lead, Juspay Europe Limited
Nada Badawy – Airline Digital Commerce &amp; Payments Strategist, Aviation Industry Speaker
Laurie Gablehouse – Founder &amp; CEO, Pay Fly Stay</t>
  </si>
  <si>
    <t xml:space="preserve">Daniel Lapera, Ercan Demirtaş, Adam Kissane, Nada Badawy, Laurie Gablehouse</t>
  </si>
  <si>
    <t xml:space="preserve">Plus Ultra Líneas Aéreas, Turkish Airlines, Juspay Europe Limited, Aviation Industry Speaker, Pay Fly Stay</t>
  </si>
  <si>
    <t xml:space="preserve">• Who is gaining control when airlines are rebuilding payments architecture for new retail models, airlines, payment providers or emerging fintech?
• As payment stacks become more complex, are airlines gaining flexibility or simply managing more moving parts?
• Local acquiring, FX exposure and regulation vary by market. How do airlines balance global scale with local optimisation?
• Does adding more payment options improve conversion, or simply move complexity downstream into reconciliation and treasury operations?
• What data and visibility do airlines need from PSPs and partners to manage payments commercially</t>
  </si>
  <si>
    <t xml:space="preserve">Panel: Shaping a cohesive and seamless experience from the moment of booking onwards</t>
  </si>
  <si>
    <t xml:space="preserve">Hein De Jonge – KLM Digital strategy, Klm
Vandhana Bhaskaran – Director of User Experience and Digital Accessibility, United Airlines
Michael Robichaud – Head of BA.com &amp; App, British Airways
Mariya Stoyanova – Vice President of Product, Strategy &amp; Business Development, Thales Group
Abby Godee – Chief Experience Officer, Publicis Sapient
Jerry Angrave – Customer Experience Director, Empathyce</t>
  </si>
  <si>
    <t xml:space="preserve">Hein De Jonge, Vandhana Bhaskaran, Michael Robichaud, Mariya Stoyanova, Abby Godee, Jerry Angrave</t>
  </si>
  <si>
    <t xml:space="preserve">Klm, United Airlines, British Airways, Thales Group, Publicis Sapient, Empathyce</t>
  </si>
  <si>
    <t xml:space="preserve">• How can airlines design a cohesive end-to-end customer experience strategy and where are the common friction points?
• Overcoming the challenges in delivering a seamless customer flow, across multiple partnerships, airports and tech providers
• How can digital platforms be designed to offer contextualised support to create seamless experiences for customers?</t>
  </si>
  <si>
    <t xml:space="preserve">Panel: Cybersecurity in aviation: why should we all care?</t>
  </si>
  <si>
    <t xml:space="preserve">Ewa Pilat – CISO, IATA
António Carrilho – Cybersecurity Director, Tap Air Portugal
Jon Hill – Senior Vice President of Global Revenue, Kasada
Amit Jain – Executive Vice President and Global Head, Cybersecurity Services, HCLTech
Krishna Sampigethaya – Chair and Professor, Cyber Intelligence &amp; Security Dept., Embry-Riddle Aeronautical University
Craig Barrington – Head of Cyber Threat Exposure, easyJet
João Annes – CISO, ANA Aeroportos de Portugal SA
David Nieto – VP MEMBER SUCCESS, AVIATION ISAC</t>
  </si>
  <si>
    <t xml:space="preserve">Ewa Pilat, António Carrilho, Jon Hill, Amit Jain, Krishna Sampigethaya, Craig Barrington, João Annes, David Nieto</t>
  </si>
  <si>
    <t xml:space="preserve">IATA, Tap Air Portugal, Kasada, HCLTech, Embry-Riddle Aeronautical University, easyJet, ANA Aeroportos de Portugal SA, AVIATION ISAC</t>
  </si>
  <si>
    <t xml:space="preserve">• Cyber-attacks increasingly disrupt operations, not just IT systems. What does a cyber incident actually look like inside an airline or airport today?
• Aviation relies on complex digital ecosystems across airlines, airports and suppliers. Where are the biggest vulnerabilities?
• Why are attackers increasingly targeting supply chains and third-party providers rather than airlines directly?
• As threats evolve, how should aviation organisations think about resilience, business continuity and recovery from cyber incidents?
• What practical steps can organisations take today to strengthen cyber resilience?</t>
  </si>
  <si>
    <t xml:space="preserve">AI in Aviation Maintenance: From Automation Hype to Operational Trust</t>
  </si>
  <si>
    <t xml:space="preserve">emna TOUIHRI – Co-founder&amp;CEO, AERAUT</t>
  </si>
  <si>
    <t xml:space="preserve">emna TOUIHRI</t>
  </si>
  <si>
    <t xml:space="preserve">AERAUT</t>
  </si>
  <si>
    <t xml:space="preserve">Stormy: Turning Disruption into Loyalty</t>
  </si>
  <si>
    <t xml:space="preserve">Maksim Izmaylov – CEO, Stormy</t>
  </si>
  <si>
    <t xml:space="preserve">Maksim Izmaylov</t>
  </si>
  <si>
    <t xml:space="preserve">Stormy</t>
  </si>
  <si>
    <t xml:space="preserve">Ground Operations in the Age of AI: From Reactive to Predictive</t>
  </si>
  <si>
    <t xml:space="preserve">Fabrice Diedrich – CEO, Cosmos</t>
  </si>
  <si>
    <t xml:space="preserve">Fabrice Diedrich</t>
  </si>
  <si>
    <t xml:space="preserve">Cosmos</t>
  </si>
  <si>
    <t xml:space="preserve">Aviation Connect: Session 1</t>
  </si>
  <si>
    <t xml:space="preserve">Host, World Aviation Festival</t>
  </si>
  <si>
    <t xml:space="preserve">Host</t>
  </si>
  <si>
    <t xml:space="preserve">World Aviation Festival</t>
  </si>
  <si>
    <t xml:space="preserve">Aviation Connect Zone (Pavilion 2)</t>
  </si>
  <si>
    <t xml:space="preserve">Aviation Connect Zone, Pavilion 2</t>
  </si>
  <si>
    <t xml:space="preserve">Aviation Connect is our dedicated networking hour. Book 15 minute meetings via the Aviation Connect Platform and make the most of your time at WAF. No other sessions, workshops or activities are taking place during this time.</t>
  </si>
  <si>
    <t xml:space="preserve">Talk</t>
  </si>
  <si>
    <t xml:space="preserve">The New Aviation Stack: How AI &amp; Autonomy are Reshaping Airport Operations and the Passenger Experience</t>
  </si>
  <si>
    <t xml:space="preserve">Eugenio Donati – Co-Founder, AeroVect
David Millard – CEO, Azalea Robotics
Javier Vidal – Chief Executive Officer, Moonware
Todd Sullivan – Co-Founder/CEO, Humoniq
Anagh Tiwary – Managing Director, Zero Infinity Partners</t>
  </si>
  <si>
    <t xml:space="preserve">Eugenio Donati, David Millard, Javier Vidal, Todd Sullivan, Anagh Tiwary</t>
  </si>
  <si>
    <t xml:space="preserve">AeroVect, Azalea Robotics, Moonware, Humoniq, Zero Infinity Partners</t>
  </si>
  <si>
    <t xml:space="preserve">The next leap in aviation won’t come from one breakthrough. It will come from eliminating friction across the system. This panel brings together technologies targeting the metrics airlines and airports care about most: turnaround performance, asset utilization, workforce productivity, operational efficiency, and passenger experience.</t>
  </si>
  <si>
    <t xml:space="preserve">Fireside Chat: The integration myth: What it really takes to build a multi-brand airline on one platform</t>
  </si>
  <si>
    <t xml:space="preserve">Charu Jain – SVP, Merchandising and Innovation, Alaska Airlines
Henry Harteveldt – Travel Industry Analyst, Atmosphere Research Group</t>
  </si>
  <si>
    <t xml:space="preserve">Charu Jain, Henry Harteveldt</t>
  </si>
  <si>
    <t xml:space="preserve">Alaska Airlines, Atmosphere Research Group</t>
  </si>
  <si>
    <t xml:space="preserve">An inside look at the transformation behind Alaska’s emergence as a global carrier—what it really takes to bring two airlines together while preserving what makes each brand special. The discussion will explore how moving to a single PSS created the operational backbone for growth, unlocked new guest experiences, and positioned the airline as a premium, multi-brand player on the global stage.</t>
  </si>
  <si>
    <t xml:space="preserve">Presentation: Growth without the cost? How AI is rewriting the growth equation from marketing to monetization</t>
  </si>
  <si>
    <t xml:space="preserve">Benedikt Sieweke – Chief Marketing Officer, Sunexpress Airlines</t>
  </si>
  <si>
    <t xml:space="preserve">Benedikt Sieweke</t>
  </si>
  <si>
    <t xml:space="preserve">Sunexpress Airlines</t>
  </si>
  <si>
    <t xml:space="preserve">Fireside Chat: Payments in a retail-driven airline world – aligning distribution, checkout and settlement</t>
  </si>
  <si>
    <t xml:space="preserve">Yago Casasnovas – Head of Payments, Fraud Prevention and Distribution, Air Europa
Paul van Alfen – Travel Payments Strategist, Up in the Air - Travel Payment Consultancy</t>
  </si>
  <si>
    <t xml:space="preserve">Yago Casasnovas, Paul van Alfen</t>
  </si>
  <si>
    <t xml:space="preserve">Air Europa, Up in the Air - Travel Payment Consultancy</t>
  </si>
  <si>
    <t xml:space="preserve">Fireside Chat: Transforming disruption management at WestJet - elevating operations and enhancing the Customer and employee Experience.</t>
  </si>
  <si>
    <t xml:space="preserve">Marty Farrar – Director Operations Control, WestJet
Alex Goman – Principal Consultant, STS Aero</t>
  </si>
  <si>
    <t xml:space="preserve">Marty Farrar, Alex Goman</t>
  </si>
  <si>
    <t xml:space="preserve">WestJet, STS Aero</t>
  </si>
  <si>
    <t xml:space="preserve">Track 4, Pavilion 1</t>
  </si>
  <si>
    <t xml:space="preserve">Presentation: Innovating while Integrating: How Alaska and Hawaiian Airlines is Moving the Needle in Ground Operations</t>
  </si>
  <si>
    <t xml:space="preserve">Gus Naughton – Principal Software Engineer, Innovation, Alaska Airlines</t>
  </si>
  <si>
    <t xml:space="preserve">Gus Naughton</t>
  </si>
  <si>
    <t xml:space="preserve">Alaska Airlines</t>
  </si>
  <si>
    <t xml:space="preserve">Taking control of our customer data: building a centralized CRM system from scratch</t>
  </si>
  <si>
    <t xml:space="preserve">Vusala Isayeva – Director, AZAL</t>
  </si>
  <si>
    <t xml:space="preserve">Vusala Isayeva</t>
  </si>
  <si>
    <t xml:space="preserve">AZAL</t>
  </si>
  <si>
    <t xml:space="preserve">Fireside Chat: When cyber meets the physical world: secure the connected aircraft and aviation ecosystem</t>
  </si>
  <si>
    <t xml:space="preserve">Krishna Sampigethaya – Chair and Professor, Cyber Intelligence &amp; Security Dept., Embry-Riddle Aeronautical University
David Nieto – VP MEMBER SUCCESS, AVIATION ISAC</t>
  </si>
  <si>
    <t xml:space="preserve">Krishna Sampigethaya, David Nieto</t>
  </si>
  <si>
    <t xml:space="preserve">Embry-Riddle Aeronautical University, AVIATION ISAC</t>
  </si>
  <si>
    <t xml:space="preserve">Presentation: Sharing our new ancillary services platform onboard</t>
  </si>
  <si>
    <t xml:space="preserve">Sze Hunn Sarah Yap – Marketing Director, ZIPAIR Tokyo Inc.</t>
  </si>
  <si>
    <t xml:space="preserve">Sze Hunn Sarah Yap</t>
  </si>
  <si>
    <t xml:space="preserve">ZIPAIR Tokyo Inc.</t>
  </si>
  <si>
    <t xml:space="preserve">Track 3 (Pavilion 1)</t>
  </si>
  <si>
    <t xml:space="preserve">Panel: Digitally enabling the crew experience to support customers &amp; improve crew experience</t>
  </si>
  <si>
    <t xml:space="preserve">Sinead Quinn – Director of Inflight, Ryanair - Europe's Favourite Airline
Hugo Oliveira – Training Director, Portugália Airlines
Malek Trimeche – Aviation entrepreneur / Podcast Host : The Gate Talk, Malek Trimeche</t>
  </si>
  <si>
    <t xml:space="preserve">Sinead Quinn, Hugo Oliveira, Malek Trimeche</t>
  </si>
  <si>
    <t xml:space="preserve">Ryanair - Europe's Favourite Airline, Portugália Airlines, Malek Trimeche</t>
  </si>
  <si>
    <t xml:space="preserve">Accelya Airline Workshop: The next generation of airline retailing is taking shape today **REGISTRATION REQUIRED</t>
  </si>
  <si>
    <t xml:space="preserve">Richard Cooke
Boris Padovan
Barbara Moreno
Surya Kuchibotla</t>
  </si>
  <si>
    <t xml:space="preserve">Richard Cooke, Boris Padovan, Barbara Moreno, Surya Kuchibotla</t>
  </si>
  <si>
    <t xml:space="preserve">Fireside Chat: Beyond bots &amp; contact centers: How Pegasus airlines is scaling an AI-native passenger experience</t>
  </si>
  <si>
    <t xml:space="preserve">Baris Findik – CTO, Pegasus Airlines
Gaurav Passi – CEO/Founder, Zingly.ai</t>
  </si>
  <si>
    <t xml:space="preserve">Baris Findik, Gaurav Passi</t>
  </si>
  <si>
    <t xml:space="preserve">Pegasus Airlines, Zingly.ai</t>
  </si>
  <si>
    <t xml:space="preserve">Track 10, Pav 2</t>
  </si>
  <si>
    <t xml:space="preserve">Panel: How are airlines augmenting real-time decision-making capabilities with agentic AI &amp; data driven insights?</t>
  </si>
  <si>
    <t xml:space="preserve">Sadaqat Ali Soomro – VP Strategy &amp; Innovation, Qatar Airways
Suzanne Williamson – MD IOC, American Airlines
Rob Miller – SVP Business Development, TACONNECTIONS
Alex Goman – Principal Consultant, STS Aero</t>
  </si>
  <si>
    <t xml:space="preserve">Sadaqat Ali Soomro, Suzanne Williamson, Rob Miller, Alex Goman</t>
  </si>
  <si>
    <t xml:space="preserve">Qatar Airways, American Airlines, TACONNECTIONS, STS Aero</t>
  </si>
  <si>
    <t xml:space="preserve">Presentation: Cracking the code to travel payments in Latin America</t>
  </si>
  <si>
    <t xml:space="preserve">Jose Antonio Coimbra – Business Development Manager Airlines &amp; eTravel, Worldline
Ivan Guerrero – Global Head Airlines &amp; Travel, Worldline</t>
  </si>
  <si>
    <t xml:space="preserve">Jose Antonio Coimbra, Ivan Guerrero</t>
  </si>
  <si>
    <t xml:space="preserve">Worldline</t>
  </si>
  <si>
    <t xml:space="preserve">Presentation: Harnessing AI driven hyper-personalization to align experiences, sales and insights with unique customers</t>
  </si>
  <si>
    <t xml:space="preserve">Mahesh Veda – Managing Director, United Airlines
Srini Kasthoori – Head of Americas, DXC Technology</t>
  </si>
  <si>
    <t xml:space="preserve">Mahesh Veda, Srini Kasthoori</t>
  </si>
  <si>
    <t xml:space="preserve">United Airlines, DXC Technology</t>
  </si>
  <si>
    <t xml:space="preserve">Keynote 2, Pav 2</t>
  </si>
  <si>
    <t xml:space="preserve">Presentation: The first day before the first day: How Fraport prepares new ramp staff with VR training</t>
  </si>
  <si>
    <t xml:space="preserve">Johannes Bestgen – Senior Project Manager, Fraport Ground Services</t>
  </si>
  <si>
    <t xml:space="preserve">Johannes Bestgen</t>
  </si>
  <si>
    <t xml:space="preserve">Fraport Ground Services</t>
  </si>
  <si>
    <t xml:space="preserve">Presentation: Cybersecurity at Machine Speed - The Aviation Challenge</t>
  </si>
  <si>
    <t xml:space="preserve">John Sulja – CISO, Air Canada
Melania Haro Peredo – Partner, Deloitte</t>
  </si>
  <si>
    <t xml:space="preserve">John Sulja, Melania Haro Peredo</t>
  </si>
  <si>
    <t xml:space="preserve">Air Canada, Deloitte</t>
  </si>
  <si>
    <t xml:space="preserve">Presentation: Winning travel demand in the age of AI</t>
  </si>
  <si>
    <t xml:space="preserve">Ravi Patel – Director, Enterprise, Profound
Matias Undurraga – Enterprise Technologist, AWS
Bethan Lynch – VP Customer Experience &amp; Loyalty, Virgin Atlantic</t>
  </si>
  <si>
    <t xml:space="preserve">Ravi Patel, Matias Undurraga, Bethan Lynch</t>
  </si>
  <si>
    <t xml:space="preserve">Profound, AWS, Virgin Atlantic</t>
  </si>
  <si>
    <t xml:space="preserve">Presentation: Beyond wayfinding: The evolution of the connected passenger experience</t>
  </si>
  <si>
    <t xml:space="preserve">Andrew Dallmann – Global Head of Product Management, Atrius</t>
  </si>
  <si>
    <t xml:space="preserve">Andrew Dallmann</t>
  </si>
  <si>
    <t xml:space="preserve">Atrius</t>
  </si>
  <si>
    <t xml:space="preserve">Presentation: Moving airline retailing from theory to practice: How to distil real value out of technical complexity</t>
  </si>
  <si>
    <t xml:space="preserve">Aras Kubilay – Global Head of Industry Engagement and Strategy, Hitit</t>
  </si>
  <si>
    <t xml:space="preserve">Aras Kubilay</t>
  </si>
  <si>
    <t xml:space="preserve">Hitit</t>
  </si>
  <si>
    <t xml:space="preserve">• A dreamy long-term vision for Airline Retailing beckons from beyond the horizon: More revenues and less cost for airlines, better and richer travel experience for passengers, smoother operations and cleaner financials on the ground. The current reality, however, is a rather messy and complicated web of different technologies and business processes, all in motion.
• Hitit, as the global leader in IATA’s “Airline Retailing Maturity” rankings, has been working with partner airlines from around the world to translate the technology into business impact. The session will explore several examples of how they managed to create a variety of tangible short-term benefits while still keeping the pace towards the future transition.</t>
  </si>
  <si>
    <t xml:space="preserve">Panel: Generating strong demand, conversion and creating a strong brand identity in Aviation</t>
  </si>
  <si>
    <t xml:space="preserve">Benedikt Sieweke – Chief Marketing Officer, Sunexpress Airlines
Gísli Brynjólfsson – Director Global Marketing, Icelandair
Christina O'Rourke – Director of Creative Strategy and Content, United Airlines
Karim Makhlouf – Chief Commercial Officer, Royal Jordanian Airlines
Maria McKinnon – Director, Global Brand and Marketing, oneworld
Mike Arnot – Principal, Juliett Alpha</t>
  </si>
  <si>
    <t xml:space="preserve">Benedikt Sieweke, Gísli Brynjólfsson, Christina O'Rourke, Karim Makhlouf, Maria McKinnon, Mike Arnot</t>
  </si>
  <si>
    <t xml:space="preserve">Sunexpress Airlines, Icelandair, United Airlines, Royal Jordanian Airlines, oneworld, Juliett Alpha</t>
  </si>
  <si>
    <t xml:space="preserve">• Standing out from the crowd: what does it takes for your brand to stand out in 2026
• Leveraging tech tools to identify new customer segments and generate demand
• Building a strong brand identity with memorable campaigns across different global platforms</t>
  </si>
  <si>
    <t xml:space="preserve">Panel: Elevating the onboard experience with new approaches to entertainment</t>
  </si>
  <si>
    <t xml:space="preserve">Eylem Unlu – Inflight Service Manager, SunExpress
Sameer Shaikh – Senior Manager - Onboard Digital Experience, United Airlines
Edwin Edillon – Head of Product, Entertainment, Viasat
Patrick Biggerstaff – Senior Director of Digital Solutions Products, Panasonic Avionics Corporation
Seth Miller – Industry Antagonist, PaxEx.Aero</t>
  </si>
  <si>
    <t xml:space="preserve">Eylem Unlu, Sameer Shaikh, Edwin Edillon, Patrick Biggerstaff, Seth Miller</t>
  </si>
  <si>
    <t xml:space="preserve">SunExpress, United Airlines, Viasat, Panasonic Avionics Corporation, PaxEx.Aero</t>
  </si>
  <si>
    <t xml:space="preserve">• What is next generation connectivity enabling for airlines in the realms of entertainment?
• How are airlines approaching the value of investing in premium entertainment and portals?
• Creating new customer value with in-flight connectivity</t>
  </si>
  <si>
    <t xml:space="preserve">Presentation: From Seat Spinning to Price Scraping: How Bots and AI Agents Are Reshaping the Threat to Airline Revenue and Customer Experience</t>
  </si>
  <si>
    <t xml:space="preserve">Mohamed Inshaff – Principal Solutions Architect, HUMAN Security</t>
  </si>
  <si>
    <t xml:space="preserve">Mohamed Inshaff</t>
  </si>
  <si>
    <t xml:space="preserve">HUMAN Security</t>
  </si>
  <si>
    <t xml:space="preserve">Panel: Agentic AI and automation in travel payments: transformation or hype?</t>
  </si>
  <si>
    <t xml:space="preserve">Bimali Malalasekara – Manager Digital Commerce, SriLankan Airlines Ltd
Patrick Uckermark – Chief Technology and Product Officer, CellPoint
Keli Sandeman – Payment Strategy Manager, Virgin Atlantic Airways
Greg Toussaint – Director, Edgar, Dunn &amp; Company</t>
  </si>
  <si>
    <t xml:space="preserve">Bimali Malalasekara, Patrick Uckermark, Keli Sandeman, Greg Toussaint</t>
  </si>
  <si>
    <t xml:space="preserve">SriLankan Airlines Ltd, CellPoint, Virgin Atlantic Airways, Edgar, Dunn &amp; Company</t>
  </si>
  <si>
    <t xml:space="preserve">• As AI agents begin influencing how travellers search, shop and transact, who ultimately controls checkout and payment steering?
• Will tools like smarter routing, automated retries and payment recovery genuinely improve approval rates – or introduce new fraud risks?
• What guardrails and oversight frameworks are needed when machines begin making financial decisions?
• Loyalty and customer trust sit at the centre of airline commerce. How do airlines protect both if AI systems optimise purely for price or speed?
• What’s real in the next 12–18 months versus hype, where are airlines investing today?</t>
  </si>
  <si>
    <t xml:space="preserve">Panel: Baggage operations at capacity – how do we keep systems moving as airports and airlines get busier?</t>
  </si>
  <si>
    <t xml:space="preserve">Gus Naughton – Principal Software Engineer, Innovation, Alaska Airlines
FATMA AYDIN – Senior Program Manager, Ground Operations, Turkish Airlines
Matt Thome – Sr. CX &amp; Innovation Strategy Consultant, Southwest Airlines
Uschi Schulte-Sasse – Founder &amp; Principal, USS AviationConsulting</t>
  </si>
  <si>
    <t xml:space="preserve">Gus Naughton, FATMA AYDIN, Matt Thome, Uschi Schulte-Sasse</t>
  </si>
  <si>
    <t xml:space="preserve">Alaska Airlines, Turkish Airlines, Southwest Airlines, USS AviationConsulting</t>
  </si>
  <si>
    <t xml:space="preserve">• How close are many baggage systems to their operational limits, and what does that mean for reliability?
• How can airports increase baggage capacity through process redesign, automation and smarter system management rather than major infrastructure expansion?
• What can aviation learn from warehouse automation and logistics when redesigning baggage operations?
• Where are RFID, AI and IoT improving baggage flow and operational decision-making?
• How can better baggage tracking, communication and reliability improve the passenger experience?
• How can airports, airlines and handlers better align their processes to create more efficient baggage operations across terminals and systems?</t>
  </si>
  <si>
    <t xml:space="preserve">Panel: Redefining the customer experience of the future – how can airlines deliver effectively for all passengers?</t>
  </si>
  <si>
    <t xml:space="preserve">Karla Vargas – Director Customer Experience, Viva
Hakan Söğüt – Senior Vice President Customer Solutions, Turkish Airlines
Denise Bialek – VP, Business Development &amp; Partnerships, Travel Insured International, a Crum &amp; Forster Company
Jitender Mohan – EVP &amp; Business Unit Head, Travel &amp; Hospitality, WNS Global Services (UK) Limited
Jerry Angrave – Customer Experience Director, Empathyce</t>
  </si>
  <si>
    <t xml:space="preserve">Karla Vargas, Hakan Söğüt, Denise Bialek, Jitender Mohan, Jerry Angrave</t>
  </si>
  <si>
    <t xml:space="preserve">Viva, Turkish Airlines, Travel Insured International, a Crum &amp; Forster Company, WNS Global Services (UK) Limited, Empathyce</t>
  </si>
  <si>
    <t xml:space="preserve">• How is technology enabling a smooth experience for customers with varying needs and expectations?
• Gaining a 360 view of our travellers: how is personalisation and segmentation translating into impact?
• Catering for travellers with additional needs to across the customer journey
• Ensuring there is a smooth experience from airport to onboard: working effectively in collaboration</t>
  </si>
  <si>
    <t xml:space="preserve">Panel: The 2027 roadmap for 100% Offers &amp; Orders: Pipe dream or paradigm shift?</t>
  </si>
  <si>
    <t xml:space="preserve">Justin Jovignot – Director, Commercial Strategy and Distribution, Tap Air Portugal
Oleg Kit – Senior Manager Airline Retailing, IATA
Maddalena Mirai – VP IAG Group Commercial Strategy, IAG
Charu Jain – SVP, Merchandising and Innovation, Alaska Airlines
Aras Kubilay – Global Head of Industry Engagement and Strategy, Hitit
Tristan Thomas – Global Industry Leader, IBM
Henry Harteveldt – Travel Industry Analyst, Atmosphere Research Group</t>
  </si>
  <si>
    <t xml:space="preserve">Justin Jovignot, Oleg Kit, Maddalena Mirai, Charu Jain, Aras Kubilay, Tristan Thomas, Henry Harteveldt</t>
  </si>
  <si>
    <t xml:space="preserve">Tap Air Portugal, IATA, IAG, Alaska Airlines, Hitit, IBM, Atmosphere Research Group</t>
  </si>
  <si>
    <t xml:space="preserve">Panel: Identity, AI and changing cyber perimeter</t>
  </si>
  <si>
    <t xml:space="preserve">Chris Gorton – Cyber Security Certification Lead, UK Civil Aviation Authority
Patrick Mana – CybersecurityProgram Manager - EATM-CERT Manager, Eurocontrol
Luka Pace Bonello – Information Security Manager, Jetfly
Alexander Laurie – GTM CTO, PING IDENTITY
Fernando Almeida – Head of Information Security, Sata air açores
David Nieto – VP MEMBER SUCCESS, AVIATION ISAC</t>
  </si>
  <si>
    <t xml:space="preserve">Chris Gorton, Patrick Mana, Luka Pace Bonello, Alexander Laurie, Fernando Almeida, David Nieto</t>
  </si>
  <si>
    <t xml:space="preserve">UK Civil Aviation Authority, Eurocontrol, Jetfly, PING IDENTITY, Sata air açores, AVIATION ISAC</t>
  </si>
  <si>
    <t xml:space="preserve">• As aviation systems move to cloud platforms, digital services and connected infrastructure, how is the cyber perimeter changing?
• Automation and AI are increasingly used by both attackers and defenders. How is this changing the cyber threat landscape?
• What security challenges arise as aviation adopts new technologies such as biometrics, digital identity and connected passenger services?
• As cyber regulation and oversight increase globally, how can aviation organisations keep pace without slowing innovation or creating complexity?
• Looking ahead, what capabilities will define a secure aviation technology architecture over the next decade?</t>
  </si>
  <si>
    <t xml:space="preserve">How the Aviation Industry Buys Innovation - and Why the Best Product Rarely Gets Adopted</t>
  </si>
  <si>
    <t xml:space="preserve">Lou-Maïden Leroy – CEO, The Sales Copilots</t>
  </si>
  <si>
    <t xml:space="preserve">Lou-Maïden Leroy</t>
  </si>
  <si>
    <t xml:space="preserve">The Sales Copilots</t>
  </si>
  <si>
    <t xml:space="preserve">The Hidden Cost of Disconnected Crew Management</t>
  </si>
  <si>
    <t xml:space="preserve">Nicolas Saudreau – Co-Founder, SkAI Tech</t>
  </si>
  <si>
    <t xml:space="preserve">Nicolas Saudreau</t>
  </si>
  <si>
    <t xml:space="preserve">SkAI Tech</t>
  </si>
  <si>
    <t xml:space="preserve">The walkaround was done. Now prove it.</t>
  </si>
  <si>
    <t xml:space="preserve">Jaroslav Brezina – Founder, Walk-Check Systems</t>
  </si>
  <si>
    <t xml:space="preserve">Jaroslav Brezina</t>
  </si>
  <si>
    <t xml:space="preserve">Walk-Check Systems</t>
  </si>
  <si>
    <t xml:space="preserve">Can 5 AI Agents Really Run an Entire Airline Commercial Organization?</t>
  </si>
  <si>
    <t xml:space="preserve">Houman Goudarzi – Founder &amp; CEO, Vorsee</t>
  </si>
  <si>
    <t xml:space="preserve">Houman Goudarzi</t>
  </si>
  <si>
    <t xml:space="preserve">Vorsee</t>
  </si>
  <si>
    <t xml:space="preserve">The Magnetic Power of Autonomous AI to Unlock New Revenue: How to Super-Monetize Your Booking Journey</t>
  </si>
  <si>
    <t xml:space="preserve">Omri Ronen – Head of Business Development, fareplace</t>
  </si>
  <si>
    <t xml:space="preserve">Omri Ronen</t>
  </si>
  <si>
    <t xml:space="preserve">fareplace</t>
  </si>
  <si>
    <t xml:space="preserve">Fireside Chat: Shaping the customer experience to prioritise comfort, convenience and ease</t>
  </si>
  <si>
    <t xml:space="preserve">Rhonda Crawford – Senior Vice President Customer Experience Design &amp; Strategy, American airlines
Henry Harteveldt – Travel Industry Analyst, Atmosphere Research Group</t>
  </si>
  <si>
    <t xml:space="preserve">Rhonda Crawford, Henry Harteveldt</t>
  </si>
  <si>
    <t xml:space="preserve">American airlines, Atmosphere Research Group</t>
  </si>
  <si>
    <t xml:space="preserve">Keynote Stage Pavilion 2</t>
  </si>
  <si>
    <t xml:space="preserve">Presentation: Driving tangible benefits in airline operations with AI as the driving force</t>
  </si>
  <si>
    <t xml:space="preserve">Stéphane Billen – Strategy Lead GenAI &amp; Agentic Automation, IAG</t>
  </si>
  <si>
    <t xml:space="preserve">Stéphane Billen</t>
  </si>
  <si>
    <t xml:space="preserve">IAG</t>
  </si>
  <si>
    <t xml:space="preserve">Fireside Chat: Closing the loop: Payment reconciliation in the age of Offer &amp; Order</t>
  </si>
  <si>
    <t xml:space="preserve">Dennis Lore – Payments Reconciliations and Credit Risk Accountant Manager, Kenya Airways
Paul van Alfen – Travel Payments Strategist, Up in the Air - Travel Payment Consultancy</t>
  </si>
  <si>
    <t xml:space="preserve">Dennis Lore, Paul van Alfen</t>
  </si>
  <si>
    <t xml:space="preserve">Kenya Airways, Up in the Air - Travel Payment Consultancy</t>
  </si>
  <si>
    <t xml:space="preserve">Presentation: Investing in Proactive Customer Care to improve experiences for our customers at BA</t>
  </si>
  <si>
    <t xml:space="preserve">Finola OSullivan – Head of Customer Retention, British Airways</t>
  </si>
  <si>
    <t xml:space="preserve">Finola OSullivan</t>
  </si>
  <si>
    <t xml:space="preserve">Presentation: Training beyond the classroom – can technology solve aviation’s training bottleneck?</t>
  </si>
  <si>
    <t xml:space="preserve">Adam Sider – Head/Sr. Manager - Training Governance, Quality and Curriculum, Saudi Ground Services Co. – SGS</t>
  </si>
  <si>
    <t xml:space="preserve">Adam Sider</t>
  </si>
  <si>
    <t xml:space="preserve">Saudi Ground Services Co. – SGS</t>
  </si>
  <si>
    <t xml:space="preserve">Presentation: Where we are. Where we're going. How we'll get there.</t>
  </si>
  <si>
    <t xml:space="preserve">Seth Miller – Industry Antagonist, PaxEx.Aero
Jonas von Kruechten – Principal Advisor (dgtlsky), Dgtlsky</t>
  </si>
  <si>
    <t xml:space="preserve">Seth Miller, Jonas von Kruechten</t>
  </si>
  <si>
    <t xml:space="preserve">PaxEx.Aero, Dgtlsky</t>
  </si>
  <si>
    <t xml:space="preserve">Track 3 Pav 1</t>
  </si>
  <si>
    <t xml:space="preserve">Presentation: Navigating the future of revenue management</t>
  </si>
  <si>
    <t xml:space="preserve">Tolga Kurtulus – Senior RM System Specialist, Turkish Airlines</t>
  </si>
  <si>
    <t xml:space="preserve">Tolga Kurtulus</t>
  </si>
  <si>
    <t xml:space="preserve">Turkish Airlines</t>
  </si>
  <si>
    <t xml:space="preserve">Presentation: Reinventing travel in the age of AI: from automation to orchestrated journeys</t>
  </si>
  <si>
    <t xml:space="preserve">Ko Yamada – Director, All Nippon Airways - Future Frontier Fund (A3F)</t>
  </si>
  <si>
    <t xml:space="preserve">Ko Yamada</t>
  </si>
  <si>
    <t xml:space="preserve">All Nippon Airways - Future Frontier Fund (A3F)</t>
  </si>
  <si>
    <t xml:space="preserve">Fireside Chat: Marion Geoffroy, Group People Officer, Wizz Air</t>
  </si>
  <si>
    <t xml:space="preserve">Marion Geoffroy – Chief People Officer, Wizz Air Hungary Ltd
Veronica Hull – Transformation &amp; Change Execution Leader, Independent</t>
  </si>
  <si>
    <t xml:space="preserve">Marion Geoffroy, Veronica Hull</t>
  </si>
  <si>
    <t xml:space="preserve">Wizz Air Hungary Ltd, Independent</t>
  </si>
  <si>
    <t xml:space="preserve">Track 10, Pavillion 2</t>
  </si>
  <si>
    <t xml:space="preserve">PROS Workshop: The Value Blueprint: From Seats to Modern Offers : Where Airline Retail Value Is Created ** Registration Required**</t>
  </si>
  <si>
    <t xml:space="preserve">Suzanne Grimes</t>
  </si>
  <si>
    <t xml:space="preserve">Presentation: The evolution of Workbrain and Infor in airline timekeeping and scheduling</t>
  </si>
  <si>
    <t xml:space="preserve">Ally Vivoli – Sr Manager, Time &amp; Attendance, American Airlines
Jon LeBlanc – VP of Sales, Infor (United Kingdom) Ltd
Andrew Traeger – RVP Workforce Managment, Infor</t>
  </si>
  <si>
    <t xml:space="preserve">Ally Vivoli, Jon LeBlanc, Andrew Traeger</t>
  </si>
  <si>
    <t xml:space="preserve">American Airlines, Infor (United Kingdom) Ltd, Infor</t>
  </si>
  <si>
    <t xml:space="preserve">Track 7, Pav 2</t>
  </si>
  <si>
    <t xml:space="preserve">Panel: Are aviation organisations future-proofed and ready for the next decade of change?</t>
  </si>
  <si>
    <t xml:space="preserve">Juliet Thomson – Chief People Officer, Menzies Aviation
Elly Tomlins – Chief People Officer, EasyJet
Robert Fenech – Chief Officer People &amp; Culture, KM Malta Airlines
Marion Geoffroy – Chief People Officer, Wizz Air Hungary Ltd
Renato Covelo – Chief People &amp; Talent Officer, Avianca Group
Veronica Hull – Transformation &amp; Change Execution Leader, Independent</t>
  </si>
  <si>
    <t xml:space="preserve">Juliet Thomson, Elly Tomlins, Robert Fenech, Marion Geoffroy, Renato Covelo, Veronica Hull</t>
  </si>
  <si>
    <t xml:space="preserve">Menzies Aviation, EasyJet, KM Malta Airlines, Wizz Air Hungary Ltd, Avianca Group, Independent</t>
  </si>
  <si>
    <t xml:space="preserve">• Aviation labour markets are evolving very differently across regions – where are the biggest workforce pressures emerging today?
• Are organisational structures evolving fast enough to keep up with transformation across technology, sustainability, regulation and operations?
• How should we balance internal promotion with external hiring while retaining critical operational expertise?
• What can we learn from other industries that may be ahead in regards to HR strategy?
• A new generation is entering aviation with different expectations - how do we adapt to remain competitive?
• With shifting political attitudes toward DEI in some regions, how can aviation continue building diverse leadership and talent pipelines?</t>
  </si>
  <si>
    <t xml:space="preserve">Presentation: Price automation - price &amp; product optimization - offer engine - agentic sales channel: Our path to modern airline retailing</t>
  </si>
  <si>
    <t xml:space="preserve">Javier Jimenez – Co-Founder and COO, Airnguru</t>
  </si>
  <si>
    <t xml:space="preserve">Javier Jimenez</t>
  </si>
  <si>
    <t xml:space="preserve">Airnguru</t>
  </si>
  <si>
    <t xml:space="preserve">Pavilion 1, Track 5</t>
  </si>
  <si>
    <t xml:space="preserve">Presentation: The next chapter of passenger disruption — AI, changing expectations, and the future of passenger recovery</t>
  </si>
  <si>
    <t xml:space="preserve">Simon Dempsey – CCO, Plan3</t>
  </si>
  <si>
    <t xml:space="preserve">Simon Dempsey</t>
  </si>
  <si>
    <t xml:space="preserve">Plan3</t>
  </si>
  <si>
    <t xml:space="preserve">Track 4 (Pavilion1)</t>
  </si>
  <si>
    <t xml:space="preserve">Presentation: The intelligent airline: From fragmented systems to connected decisions</t>
  </si>
  <si>
    <t xml:space="preserve">Somit Goyal – CEO, IBS Software</t>
  </si>
  <si>
    <t xml:space="preserve">Somit Goyal</t>
  </si>
  <si>
    <t xml:space="preserve">IBS Software</t>
  </si>
  <si>
    <t xml:space="preserve">Keynote Stage, Pavilion 2</t>
  </si>
  <si>
    <t xml:space="preserve">Panel: How will the digital cabin unlock new opportunities for customer experience, ancillary product &amp; sales and customer insight?</t>
  </si>
  <si>
    <t xml:space="preserve">Ralph Wagner – CEO, Axinom
Ben Asmar – VP Strategy, Marketing &amp; Corporate Development, RAVE Aerospace
Bethan Lynch – VP Customer Experience &amp; Loyalty, Virgin Atlantic
Colleen Tynan – Vice President - Inflight Services, Porter Airlines
Jonas von Kruechten – Principal Advisor (dgtlsky), Dgtlsky</t>
  </si>
  <si>
    <t xml:space="preserve">Ralph Wagner, Ben Asmar, Bethan Lynch, Colleen Tynan, Jonas von Kruechten</t>
  </si>
  <si>
    <t xml:space="preserve">Axinom, RAVE Aerospace, Virgin Atlantic, Porter Airlines, Dgtlsky</t>
  </si>
  <si>
    <t xml:space="preserve">• Viewing connectivity as an enabler: how can airlines capitalise on new WiFi capabilities?
• Understanding the digital cabin: how does connectivity transform the onboard business, from CX to operations
• Optimising the crew capabilities: offering personalised and strategic prioritisation</t>
  </si>
  <si>
    <t xml:space="preserve">Presentation: The First and Last Fifty Miles – how AAM becomes a crucial product for airlines.</t>
  </si>
  <si>
    <t xml:space="preserve">Marjan Schoeke – Vice President Strategic Commercial Projects, Vertical Aerospace</t>
  </si>
  <si>
    <t xml:space="preserve">Marjan Schoeke</t>
  </si>
  <si>
    <t xml:space="preserve">Vertical Aerospace</t>
  </si>
  <si>
    <t xml:space="preserve">Panel: Payment orchestration at scale – managing cost, approval and performance</t>
  </si>
  <si>
    <t xml:space="preserve">Maris Zilgalvis – Head of Payments and Distribution, Air Baltic
Keli Sandeman – Payment Strategy Manager, Virgin Atlantic Airways
Peter Keenan – Co-Founder &amp; CEO, APEXX Global
Surya Kuchibotla – VP eCommerce, Ancillary and Retailing, OMAN AIR
Damien Cramer – Senior Vice President – Global Travel, Nuvei
Verity Kyley – Head of Payments, Agent UI &amp; CRM Platform, British Airways
Paul van Alfen – Travel Payments Strategist, Up in the Air - Travel Payment Consultancy</t>
  </si>
  <si>
    <t xml:space="preserve">Maris Zilgalvis, Keli Sandeman, Peter Keenan, Surya Kuchibotla, Damien Cramer, Verity Kyley, Paul van Alfen</t>
  </si>
  <si>
    <t xml:space="preserve">Air Baltic, Virgin Atlantic Airways, APEXX Global, OMAN AIR, Nuvei, British Airways, Up in the Air - Travel Payment Consultancy</t>
  </si>
  <si>
    <t xml:space="preserve">• Orchestration platforms are expanding beyond payments into loyalty and wider fintech infrastructure. Are airlines gaining flexibility – or introducing new platform dependencies?
• How are airlines balancing cost, approval rates, fraud signals and settlement timing when routing payments?
• Approval optimisation: domestic acquiring, network tokens, SCA strategies and retries – what’s actually moving the needle?
• When disruption hits, where do payment systems still break down across booking, servicing and refund flows?
• Should airlines build orchestration internally or rely on external platforms – and what trade-offs exist between speed, control and complexity?</t>
  </si>
  <si>
    <t xml:space="preserve">Presentation: How Turkish Airlines use AI to improve ground operations?</t>
  </si>
  <si>
    <t xml:space="preserve">Elif Rümeysa Erikel – Senior Program Manager, Ramp Operations, Turkish Airlines</t>
  </si>
  <si>
    <t xml:space="preserve">Elif Rümeysa Erikel</t>
  </si>
  <si>
    <t xml:space="preserve">Panel: What does innovation actually look like inside aviation today?</t>
  </si>
  <si>
    <t xml:space="preserve">Tom Garrison – Enterprise Architect - Emerging Trends, Innovation &amp; R&amp;D, Southwest Airlines
Lukas Kaestner – Co-Founder &amp; Chief Commercial Officer, Future Aero Lab
Henry Mwendia – Lead Innovation, Kenya Airways
Pablo Lopez Loeches – Head of Ideation &amp; Entrepreneurship Division, Aena
Jennifer Crusca – Operations &amp; Partnerships Principal, SKY VC
Murat Can Demir – Head of Startup Programs and Ecosystem, Turkish Airlines
Irra Ariella Khi – Chief Executive Officer, Zamna</t>
  </si>
  <si>
    <t xml:space="preserve">Tom Garrison, Lukas Kaestner, Henry Mwendia, Pablo Lopez Loeches, Jennifer Crusca, Murat Can Demir, Irra Ariella Khi</t>
  </si>
  <si>
    <t xml:space="preserve">Southwest Airlines, Future Aero Lab, Kenya Airways, Aena, SKY VC, Turkish Airlines, Zamna</t>
  </si>
  <si>
    <t xml:space="preserve">• How are we structuring innovation today – venture arms, incubators, partnerships or internal labs?
• Where are airlines and airports seeing the most meaningful progress: operations, customer experience, sustainability or commercial models?
• How do we avoid ‘innovation theatre’ and move promising pilots into scaled deployment?
• What role should startups play in aviation’s innovation ecosystem – and where do collaborations still struggle?
• How do we structure collaboration for results?
• Looking ahead, which emerging technologies or business models are most likely to reshape aviation over the next decade?</t>
  </si>
  <si>
    <t xml:space="preserve">What’s shaping airline profitability today?</t>
  </si>
  <si>
    <t xml:space="preserve">Łukasz Ponczek – Head of Revenue Management CEEME, PLL LOT
Laurent Lebard – Head of RM Strategy, Citizenplane
Greg Tarniowy – Revenue &amp; Pricing, Arajet Airlines
Henry Mooney – Commercial Director, Planitas
Sinead Finn – Founder, affinnity</t>
  </si>
  <si>
    <t xml:space="preserve">Łukasz Ponczek, Laurent Lebard, Greg Tarniowy, Henry Mooney, Sinead Finn</t>
  </si>
  <si>
    <t xml:space="preserve">PLL LOT, Citizenplane, Arajet Airlines, Planitas, affinnity</t>
  </si>
  <si>
    <t xml:space="preserve">• Within new trends in customer behaviour, what kind of new challenges and changes is the industry facing?
• With rising price sensitivity against a backdrop of high costs, what levers can RM teams using to protect margins and unlock revenue?
• How can Revenue Manager’s accurately forecast demand, optimise yields with changing geopolitics &amp; network planning?
• How will Offer/Order impact revenue management and planning?</t>
  </si>
  <si>
    <t xml:space="preserve">Panel: Ground operations under pressure – how do we build the workforce and ramp of the future?</t>
  </si>
  <si>
    <t xml:space="preserve">Adam Sider – Head/Sr. Manager - Training Governance, Quality and Curriculum, Saudi Ground Services Co. – SGS
Mohamed Abdelhamid – Manager Ground Safety, Emirates Group
Waleed Youssef – Director General, ASA World
Uschi Schulte-Sasse – Founder &amp; Principal, USS AviationConsulting</t>
  </si>
  <si>
    <t xml:space="preserve">Adam Sider, Mohamed Abdelhamid, Waleed Youssef, Uschi Schulte-Sasse</t>
  </si>
  <si>
    <t xml:space="preserve">Saudi Ground Services Co. – SGS, Emirates Group, ASA World, USS AviationConsulting</t>
  </si>
  <si>
    <t xml:space="preserve">• Labour shortages and tighter turnaround targets continue to pressure ramp operations. Where are the biggest challenges?
• Which automation, digital ramp and GSE technologies are delivering measurable operational improvements?
• How realistic is large-scale electrification given infrastructure, charging and operational constraints?
• How can we balance efficiency, safety and resilience as pressure on ramp operations continues to grow?
• Exploring how information sharing and collaboration across airline, ground handler and airport is essential for efficient handling?
• What will define the next generation of resilient ramp operations?</t>
  </si>
  <si>
    <t xml:space="preserve">Panel: COO Panel: Leading the tech-enabled airline</t>
  </si>
  <si>
    <t xml:space="preserve">Neal McMahon – Chief Operations Officer, Ryanair
Marc-Philippe Lumpé – Chief Operations Officer, Air Transat
Baris Findik – CTO, Pegasus Airlines
Captain Majed Al Marzouqi – Chief Operations and Guest Officer, Etihad
Ashish Sharma – CTO, Nagarro
Jens Koerner – Head of AI &amp; Analytics, Jeppesen
Tamara Bullock – Founder &amp; Managing Director, Altitude</t>
  </si>
  <si>
    <t xml:space="preserve">Neal McMahon, Marc-Philippe Lumpé, Baris Findik, Captain Majed Al Marzouqi, Ashish Sharma, Jens Koerner, Tamara Bullock</t>
  </si>
  <si>
    <t xml:space="preserve">Ryanair, Air Transat, Pegasus Airlines, Etihad, Nagarro, Jeppesen, Altitude</t>
  </si>
  <si>
    <t xml:space="preserve">• Scaling operational resilience with a unified data strategy and tech capabilities
• Transitioning from reactive to proactive operational planning – sharing where the real opportunity for optimisation lies
• How can airlines work effectively with the wider ecosystem across air control, airports, ground handlers and regulators to solve shared challenges?</t>
  </si>
  <si>
    <t xml:space="preserve">Can Airlines re-envision disruption as a moment to increase customer loyalty</t>
  </si>
  <si>
    <t xml:space="preserve">Finola OSullivan – Head of Customer Retention, British Airways
Heida Njola Gudbrandsdottir – Director Customer Experience, Icelandair
LUISA MARTINEZ – Customer Protection Center Head Manager, Aeromexico
Gemma Maidlow – Principle Solutions Consultant, 15below
Viktoriya Soubra – Sales Director, iCoupon
Alex Goman – Principal Consultant, STS Aero</t>
  </si>
  <si>
    <t xml:space="preserve">Finola OSullivan, Heida Njola Gudbrandsdottir, LUISA MARTINEZ, Gemma Maidlow, Viktoriya Soubra, Alex Goman</t>
  </si>
  <si>
    <t xml:space="preserve">British Airways, Icelandair, Aeromexico, 15below, iCoupon, STS Aero</t>
  </si>
  <si>
    <t xml:space="preserve">• Anticipating customer needs &amp; expectations effectively during disruption
• The role of self-service options in empowering stranded customers and where are colleagues necessary?
• Beating customer expectations: is it possible to impress during disruption?</t>
  </si>
  <si>
    <t xml:space="preserve">Customer Leaders Panel: Meeting customer expectations in Aviation: How airlines are innovating with the customer at its heart?</t>
  </si>
  <si>
    <t xml:space="preserve">Beatriz Guillen – Chief Customer Officer, Iberia
Sofia Lufinha – Chief Customer Officer, Tap Air Portugal
Mike Murchison – CEO &amp; Co-founder, Ada
Barry Chester – Head of Airlines, Cresta
Jerry Angrave – Customer Experience Director, Empathyce</t>
  </si>
  <si>
    <t xml:space="preserve">Beatriz Guillen, Sofia Lufinha, Mike Murchison, Barry Chester, Jerry Angrave</t>
  </si>
  <si>
    <t xml:space="preserve">Iberia, Tap Air Portugal, Ada, Cresta, Empathyce</t>
  </si>
  <si>
    <t xml:space="preserve">• Identifying your customer proposition, meeting customer expectations and a strong brand experience: how do these elements influence a great Customer Experience Strategy?
• How is the way airlines and customers communicate changing with the advent of Agentic AI and new communication tools?
• Minimising pain points for the customers with the use of technology: where do the real opportunities to remove frustration exist?
• How do leaders best identifying the trends that are here to stay from distracting fads?</t>
  </si>
  <si>
    <t xml:space="preserve">Aviation Connect: Session 2</t>
  </si>
  <si>
    <t xml:space="preserve">Presentation: Small airline, big impact: Delivering digital transformation without big budgets at Marabu</t>
  </si>
  <si>
    <t xml:space="preserve">Johannes Haage – Senior Head of Operational Development &amp; Strategy, Marabu Airlines</t>
  </si>
  <si>
    <t xml:space="preserve">Johannes Haage</t>
  </si>
  <si>
    <t xml:space="preserve">Marabu Airlines</t>
  </si>
  <si>
    <t xml:space="preserve">Fireside Chat: Building a culture of innovation – what role does culture play in enabling digital transformation?</t>
  </si>
  <si>
    <t xml:space="preserve">Juliet Thomson – Chief People Officer, Menzies Aviation
Julie Yates – Deputy Chief Information Officer, Menzies Aviation
Sumati Sharma – Partner at Oliver Wyman and, Founder &amp; Co-Chair of “Women in Aviation &amp; Aerospace Charter”, Oliver Wyman</t>
  </si>
  <si>
    <t xml:space="preserve">Juliet Thomson, Julie Yates, Sumati Sharma</t>
  </si>
  <si>
    <t xml:space="preserve">Menzies Aviation, Oliver Wyman</t>
  </si>
  <si>
    <t xml:space="preserve">Fireside Chat: Drew Wells, CCO, Allegient</t>
  </si>
  <si>
    <t xml:space="preserve">Drew Wells – Chief Commercial Officer, Allegiant Air
Jerry Angrave – Customer Experience Director, Empathyce</t>
  </si>
  <si>
    <t xml:space="preserve">Drew Wells, Jerry Angrave</t>
  </si>
  <si>
    <t xml:space="preserve">Allegiant Air, Empathyce</t>
  </si>
  <si>
    <t xml:space="preserve">Presentation: Winning global approval rates – what actually moves the needle?</t>
  </si>
  <si>
    <t xml:space="preserve">Laurie Gablehouse – Founder &amp; CEO, Pay Fly Stay</t>
  </si>
  <si>
    <t xml:space="preserve">Laurie Gablehouse</t>
  </si>
  <si>
    <t xml:space="preserve">Pay Fly Stay</t>
  </si>
  <si>
    <t xml:space="preserve">Presentation: Optimising easyJet’s onboard retail – getting the right product to the right place at the right time</t>
  </si>
  <si>
    <t xml:space="preserve">Matthew Kennington – Strategic Initiatives Lead, easyJet</t>
  </si>
  <si>
    <t xml:space="preserve">Matthew Kennington</t>
  </si>
  <si>
    <t xml:space="preserve">easyJet</t>
  </si>
  <si>
    <t xml:space="preserve">Presentation: How Aeroméxico and Volantio are rethinking demand reallocation through passenger choice</t>
  </si>
  <si>
    <t xml:space="preserve">JAIME HECTOR CASTRO LOPEZ – Vice President of E-commerce and Commercial Strategies, Aeromexico
Azim Barodawala – Co-Founder &amp; CEO, Volantio Inc.</t>
  </si>
  <si>
    <t xml:space="preserve">JAIME HECTOR CASTRO LOPEZ, Azim Barodawala</t>
  </si>
  <si>
    <t xml:space="preserve">Aeromexico, Volantio Inc.</t>
  </si>
  <si>
    <t xml:space="preserve">Presentation: From disruption to confidence: how digital is transforming customer experience</t>
  </si>
  <si>
    <t xml:space="preserve">Johanna Meyer-Freund – Digital Product Experience Manager - Disruption, Air France</t>
  </si>
  <si>
    <t xml:space="preserve">Johanna Meyer-Freund</t>
  </si>
  <si>
    <t xml:space="preserve">Air France</t>
  </si>
  <si>
    <t xml:space="preserve">Track 4, Pav 1</t>
  </si>
  <si>
    <t xml:space="preserve">2026 Lisbon airline distribution and retailing masterclass **REGISTRATION REQUIRED - access only for airline &amp; airport employees, anyone else will be turned away**</t>
  </si>
  <si>
    <t xml:space="preserve">Daniel Friedli
Daniel Langhage
Larissa Höcklin
Jason Balluck</t>
  </si>
  <si>
    <t xml:space="preserve">Daniel Friedli, Daniel Langhage, Larissa Höcklin, Jason Balluck</t>
  </si>
  <si>
    <t xml:space="preserve">AFRAA Workshop: Can African Airlines Cooperate Without Merging? Mapping Africa’s Path to Collective Strength</t>
  </si>
  <si>
    <t xml:space="preserve">Abderahmane Berthé – SECRETARY GENERAL, African Airlines Association (AFRAA)
Maureen Kahonge – Director Commercial &amp; Communications, African Airlines Association (AFRAA)</t>
  </si>
  <si>
    <t xml:space="preserve">Abderahmane Berthé, Maureen Kahonge</t>
  </si>
  <si>
    <t xml:space="preserve">African Airlines Association (AFRAA)</t>
  </si>
  <si>
    <t xml:space="preserve">• 30-minute presentation: Mr Abderahmane Berthé, Secretary General, AFRAA, and Ms Maureen Kahonge, Director Commercial &amp; Communications, AFRAA
• 30-minute audience Q&amp;A</t>
  </si>
  <si>
    <t xml:space="preserve">Fireside Chat: Robots in the Bag Room: From Early Conviction to Physical AI in Critical Operating Environments</t>
  </si>
  <si>
    <t xml:space="preserve">David Millard – CEO, Azalea Robotics
Anagh Tiwary – Managing Director, Zero Infinity Partners</t>
  </si>
  <si>
    <t xml:space="preserve">David Millard, Anagh Tiwary</t>
  </si>
  <si>
    <t xml:space="preserve">Azalea Robotics, Zero Infinity Partners</t>
  </si>
  <si>
    <t xml:space="preserve">A rapid-fire investor-founder conversation on the bet to automate one of aviation’s most stubbornly manual workflows: baggage handling. David and Anagh revisit the original thesis behind Azalea Robotics, assess the progress and proof points since, and unpack why labor pressures, automation economics, and advances in robotics are creating a new inflection point.</t>
  </si>
  <si>
    <t xml:space="preserve">Panel: Leading transformation: How do we build a truly tech-forward organisation?</t>
  </si>
  <si>
    <t xml:space="preserve">Marc-Philippe Lumpé – Chief Operations Officer, Air Transat
Kevin Lynn – Director – Crew Scheduling Technology, United Airlines
Shiv Nayak – Head of Data and AI Architecture, easyJet
Elizabeth Wright – Director of Customer &amp; Commercial Delivery, British Airways
Sumati Sharma – Partner at Oliver Wyman and, Founder &amp; Co-Chair of “Women in Aviation &amp; Aerospace Charter”, Oliver Wyman</t>
  </si>
  <si>
    <t xml:space="preserve">Marc-Philippe Lumpé, Kevin Lynn, Shiv Nayak, Elizabeth Wright, Sumati Sharma</t>
  </si>
  <si>
    <t xml:space="preserve">Air Transat, United Airlines, easyJet, British Airways, Oliver Wyman</t>
  </si>
  <si>
    <t xml:space="preserve">• Airlines are investing heavily in AI, automation and digital platforms but are their workforce evolving quickly enough to support this shift?
• How do we reconcile aviation’s need for safety and operational stability with rapid digital change?
• Why do digital transformation programmes often stall inside aviation organisations and how can leadership unlock momentum?
• How do we bridge the gap between digital teams, operational teams and leadership?
• As AI adoption accelerates, what new skills and leadership capabilities will become essential? How do we deal with AI-induced job insecurity?</t>
  </si>
  <si>
    <t xml:space="preserve">Retailing at 30,000 Feet: Reimagining onboard experience for loyalty and revenue growth</t>
  </si>
  <si>
    <t xml:space="preserve">Colleen Tynan – Vice President - Inflight Services, Porter Airlines
Nick Silvester – Europe, Airline Sales Director, Ses
Becky Byrne – Chief Product &amp; Technology Officer, Onboard Retail
Matthew Kennington – Strategic Initiatives Lead, easyJet
Jonas von Kruechten – Principal Advisor (dgtlsky), Dgtlsky</t>
  </si>
  <si>
    <t xml:space="preserve">Colleen Tynan, Nick Silvester, Becky Byrne, Matthew Kennington, Jonas von Kruechten</t>
  </si>
  <si>
    <t xml:space="preserve">Porter Airlines, Ses, Onboard Retail, easyJet, Dgtlsky</t>
  </si>
  <si>
    <t xml:space="preserve">TAP: The Payment Decisions Passengers Never See.</t>
  </si>
  <si>
    <t xml:space="preserve">Patrick Van Der Knoop – Global VP Airlines Sales &amp; Payment Strategies, Nuvei
Joao Frias – Head of Payments Strategy &amp; Global Fraud, Tap Air Portugal
Diogo Jacinto – Payments Strategy Manager, Tap Air Portugal</t>
  </si>
  <si>
    <t xml:space="preserve">Patrick Van Der Knoop, Joao Frias, Diogo Jacinto</t>
  </si>
  <si>
    <t xml:space="preserve">Nuvei, Tap Air Portugal</t>
  </si>
  <si>
    <t xml:space="preserve">TAP Air Portugal’s João Frias and Diogo Jacinto join Nuvei’s Patrick van der Knoop for a candid conversation on the realities of airline payments. Drawing on their experience across markets from Brazil to Europe, they discuss what works, where complexity emerges, and what airlines need from their payment partners, combining practical insight with some of the lighter moments that come with navigating payments in a complex global industry.</t>
  </si>
  <si>
    <t xml:space="preserve">Presentation: Driving service and revenue with proactive AI agents</t>
  </si>
  <si>
    <t xml:space="preserve">Erik Zahnlecker – Product Lead, Travel, Sierra Technologies, Inc.</t>
  </si>
  <si>
    <t xml:space="preserve">Erik Zahnlecker</t>
  </si>
  <si>
    <t xml:space="preserve">Sierra Technologies, Inc.</t>
  </si>
  <si>
    <t xml:space="preserve">Keynote 2 (Pavilion 2)</t>
  </si>
  <si>
    <t xml:space="preserve">Fireside Chat: The demand airlines don't see</t>
  </si>
  <si>
    <t xml:space="preserve">Vinay Varma – Senior Vice President and General Manager, RateGain
Jay Wardle – President &amp; GM, Sojern Corporate
Ann Cederhall – Owner, LeapShift</t>
  </si>
  <si>
    <t xml:space="preserve">Vinay Varma, Jay Wardle, Ann Cederhall</t>
  </si>
  <si>
    <t xml:space="preserve">RateGain, Sojern Corporate, LeapShift</t>
  </si>
  <si>
    <t xml:space="preserve">Presentation: Global oversight, local action: Rethinking IROPS through technology</t>
  </si>
  <si>
    <t xml:space="preserve">Thomas Sergnese – Co-CEO &amp; CCO, Value Group</t>
  </si>
  <si>
    <t xml:space="preserve">Thomas Sergnese</t>
  </si>
  <si>
    <t xml:space="preserve">Value Group</t>
  </si>
  <si>
    <t xml:space="preserve">Presentation: Cutting through the hype: AI in daily airline operations at Lufthansa Group</t>
  </si>
  <si>
    <t xml:space="preserve">Ali-Emil Naqwi – Senior Data Scientist, zeroG GmbH</t>
  </si>
  <si>
    <t xml:space="preserve">Ali-Emil Naqwi</t>
  </si>
  <si>
    <t xml:space="preserve">zeroG GmbH</t>
  </si>
  <si>
    <t xml:space="preserve">Panel: Delivering optimisation in aviation operations with AI &amp; data science</t>
  </si>
  <si>
    <t xml:space="preserve">Kenny Groszman – Head of Integrated Operations (iOps) &amp; Optimisation, British Airways
Beenish Qaiser – Director, Intelligent Operations, Finnair
Jani Ceder – VP, Airport Operations Control &amp; Insight, Finavia
Ignacio Tobias – Head of Flight Operations Control Centre, Air Europa
Yannick Nkengsa – Manager, Aircraft Software and Data, Air Canada
Tamara Bullock – Founder &amp; Managing Director, Altitude</t>
  </si>
  <si>
    <t xml:space="preserve">Kenny Groszman, Beenish Qaiser, Jani Ceder, Ignacio Tobias, Yannick Nkengsa, Tamara Bullock</t>
  </si>
  <si>
    <t xml:space="preserve">British Airways, Finnair, Finavia, Air Europa, Air Canada, Altitude</t>
  </si>
  <si>
    <t xml:space="preserve">Panel: How can airlines deliver a supportive experience for customers through disruption, leveraging technology</t>
  </si>
  <si>
    <t xml:space="preserve">Oliver Schmitt – CEO Digital Hangar Ecosystem &amp; SVP Digital Solutions, Lufthansa Group Digital Hangar GmbH
Amin Lalani – Product Leader of Airport &amp; Sky Club Digital Products &amp; Experiences, Delta Air Lines
Marco Barbosa – Directior of Guest Care and Delivery, Etihad
Sofia Lameira – Head of Disruption Management, Tap Air Portugal
Tara Spielhagen – Co-Founder &amp; CEO, Swiipr Technologies Ltd
Ashley Seed – Chief Commercial Officer, CMAC Group
Alex Goman – Principal Consultant, STS Aero</t>
  </si>
  <si>
    <t xml:space="preserve">Oliver Schmitt, Amin Lalani, Marco Barbosa, Sofia Lameira, Tara Spielhagen, Ashley Seed, Alex Goman</t>
  </si>
  <si>
    <t xml:space="preserve">Lufthansa Group Digital Hangar GmbH, Delta Air Lines, Etihad, Tap Air Portugal, Swiipr Technologies Ltd, CMAC Group, STS Aero</t>
  </si>
  <si>
    <t xml:space="preserve">Competition</t>
  </si>
  <si>
    <t xml:space="preserve">Startup Competition: Join us to hear from some of the most exciting startups disrupting the industry.</t>
  </si>
  <si>
    <t xml:space="preserve">Cara Whitehill – Operating Partner, Thayer Investment Partners
Dee Waddell – Global Head of Consumer, Travel &amp; Transportation Industries, IBM
Massimo Morin – Global Head, Travel, AWS for Travel and Hospitality, Amazon Web Services, Inc. (SEA54)
David Peller – General Partner &amp; Founder, If Not You Capital
Wale Adepoju – Investor &amp; Board Member, Quvia, Impetus Capital
Irra Ariella Khi – Chief Executive Officer, Zamna</t>
  </si>
  <si>
    <t xml:space="preserve">Cara Whitehill, Dee Waddell, Massimo Morin, David Peller, Wale Adepoju, Irra Ariella Khi</t>
  </si>
  <si>
    <t xml:space="preserve">Thayer Investment Partners, IBM, Amazon Web Services, Inc. (SEA54), If Not You Capital, Impetus Capital, Zamna</t>
  </si>
  <si>
    <t xml:space="preserve">• Startup Competition Finalists:
• Zerolook.ai
• Bonafide
• Altitude
• Gate Stream</t>
  </si>
  <si>
    <t xml:space="preserve">Tech-driven revenue optimisation: Reimagining airline growth</t>
  </si>
  <si>
    <t xml:space="preserve">Melissa Skluzacek – Director - Revenue Management &amp; Commercial Analytics, easyJet
Vickie Plevritis – Digital Technology Director, United Airlines
Charles Pierre – CTO &amp; Co-Founder, Wiremind
Catarina Silva – VP Marketing, PROS
Erika Moore – Chief Officer Strategy and Growth, TTH, Coforge U.k. Limited
Sinead Finn – Founder, affinnity</t>
  </si>
  <si>
    <t xml:space="preserve">Melissa Skluzacek, Vickie Plevritis, Charles Pierre, Catarina Silva, Erika Moore, Sinead Finn</t>
  </si>
  <si>
    <t xml:space="preserve">easyJet, United Airlines, Wiremind, PROS, Coforge U.k. Limited, affinnity</t>
  </si>
  <si>
    <t xml:space="preserve">• Leveraging AI and predictive analytics to optimise dynamic pricing, inventory control, and ancillary revenue strategies
• How is technology supporting dynamic pricing and revenue management strategies?
• What is the ultimate vision around using AI in RM and what are the building blocks to attain this goal?
• Balancing automation with commercial oversight: how airlines can deploy AI responsibly across revenue management functions to protect reputation and brand
• Separating hype from reality: assessing where AI is genuinely delivering measurable revenue management gains today and where human expertise is a necessity</t>
  </si>
  <si>
    <t xml:space="preserve">Presentation: The third digital channel: Unlocking the power of a connected seatback</t>
  </si>
  <si>
    <t xml:space="preserve">Andrew Mohr – Vice President of Digital Solutions, Panasonic Avionics Corp</t>
  </si>
  <si>
    <t xml:space="preserve">Andrew Mohr</t>
  </si>
  <si>
    <t xml:space="preserve">Panasonic Avionics Corp</t>
  </si>
  <si>
    <t xml:space="preserve">Panel: Beyond cards – A2A, wallets, BNPL and what genuinely improves conversion</t>
  </si>
  <si>
    <t xml:space="preserve">Nour ELKAMASH – Ecommerce &amp; Payment solutions Manager, AIR CAIRO
Chris Stacey – Vice President, Commercial, Flex Pay
Matthijs Bunschoten – Senior Relationship Manager, Worldline
Louis Wapler – Manager, Edgar, Dunn &amp; Company</t>
  </si>
  <si>
    <t xml:space="preserve">Nour ELKAMASH, Chris Stacey, Matthijs Bunschoten, Louis Wapler</t>
  </si>
  <si>
    <t xml:space="preserve">AIR CAIRO, Flex Pay, Worldline, Edgar, Dunn &amp; Company</t>
  </si>
  <si>
    <t xml:space="preserve">• Which alternative payment methods actually deliver measurable conversion uplift versus added cost and complexity?
• BNPL reality check: is it becoming a meaningful revenue lever for airlines, or still uneven in adoption?
• “Local wins” in global networks: how do airlines enable regional payment options without fragmenting checkout and reconciliation?
• More payment choice improves flexibility but complicates operations. How do airlines balance speed, fraud protection and compliance?
• As payments evolve, could embedded finance and payment partnerships unlock new airline revenue streams?</t>
  </si>
  <si>
    <t xml:space="preserve">Panel: Shaping the customer experience to prioritise comfort, convenience and ease</t>
  </si>
  <si>
    <t xml:space="preserve">Drew Wells – Chief Commercial Officer, Allegiant Air
Jack McCook – Chief of Staff, Strategic Programs - Office of Customer Strategy &amp; Innovation, United Airlines
Ella Schreiber – SVP and GM Fintech, Hopper Inc
Franziska Knuf – Regional Sales Manager Europe, Queue-it ApS
Jerry Angrave – Customer Experience Director, Empathyce</t>
  </si>
  <si>
    <t xml:space="preserve">Drew Wells, Jack McCook, Ella Schreiber, Franziska Knuf, Jerry Angrave</t>
  </si>
  <si>
    <t xml:space="preserve">Allegiant Air, United Airlines, Hopper Inc, Queue-it ApS, Empathyce</t>
  </si>
  <si>
    <t xml:space="preserve">• Where are airlines optimising customer experiences with new products and solutions?
• Identifying smart ancillary opportunities at the intersection of experience and revenue opportunity
• Understanding customer pain points, expectations and needs to design smart product development</t>
  </si>
  <si>
    <t xml:space="preserve">Welcome Drinks Reception</t>
  </si>
  <si>
    <t xml:space="preserve">Roundtable Area (Pavilion 2)</t>
  </si>
  <si>
    <t xml:space="preserve">Roundtable Zone, Pavilion 2</t>
  </si>
  <si>
    <t xml:space="preserve">Aviation Connect: Session 6</t>
  </si>
  <si>
    <t xml:space="preserve">Aviation Connect Zone Pavilion 2</t>
  </si>
  <si>
    <t xml:space="preserve">Official Welcome</t>
  </si>
  <si>
    <t xml:space="preserve">Carlos Oliveira – Chairman, Tap Air Portugal</t>
  </si>
  <si>
    <t xml:space="preserve">Carlos Oliveira</t>
  </si>
  <si>
    <t xml:space="preserve">Tap Air Portugal</t>
  </si>
  <si>
    <t xml:space="preserve">Keynote Stage 1 (Pavilion 1)</t>
  </si>
  <si>
    <t xml:space="preserve">Keynote Theatre (Pavilion 1)</t>
  </si>
  <si>
    <t xml:space="preserve">Official Airport Partner Welcome</t>
  </si>
  <si>
    <t xml:space="preserve">Thierry Ligonnière – Chief Executive Officer, ANA Aeroportos de Portugal</t>
  </si>
  <si>
    <t xml:space="preserve">Thierry Ligonnière</t>
  </si>
  <si>
    <t xml:space="preserve">ANA Aeroportos de Portugal</t>
  </si>
  <si>
    <t xml:space="preserve">Interview</t>
  </si>
  <si>
    <t xml:space="preserve">CEO Interview: Stefan Schulte, CEO, Fraport AG</t>
  </si>
  <si>
    <t xml:space="preserve">Stefan Schulte – Chief Executive Officer, Fraport AG
Ben Thompson – Presenter, BBC</t>
  </si>
  <si>
    <t xml:space="preserve">Stefan Schulte, Ben Thompson</t>
  </si>
  <si>
    <t xml:space="preserve">Fraport AG, BBC</t>
  </si>
  <si>
    <t xml:space="preserve">CEO Interview: Luis Rodrigues, CEO, TAP Air Portugal</t>
  </si>
  <si>
    <t xml:space="preserve">Luís Rodrigues – Chief Executive Officer, Tap Air Portugal
Peter Campbell – Global Transport Correspondent, Financial Times</t>
  </si>
  <si>
    <t xml:space="preserve">Luís Rodrigues, Peter Campbell</t>
  </si>
  <si>
    <t xml:space="preserve">Tap Air Portugal, Financial Times</t>
  </si>
  <si>
    <t xml:space="preserve">CEO Interview: Adrian Neuhauser, CEO, ABRA Group</t>
  </si>
  <si>
    <t xml:space="preserve">Adrian Neuhauser – Chief Executive Officer, Abra Group
Peter Campbell – Global Transport Correspondent, Financial Times</t>
  </si>
  <si>
    <t xml:space="preserve">Adrian Neuhauser, Peter Campbell</t>
  </si>
  <si>
    <t xml:space="preserve">Abra Group, Financial Times</t>
  </si>
  <si>
    <t xml:space="preserve">CEO Interview: Thierry Ligonnière, CEO, ANA - Aeroportos de Portugal</t>
  </si>
  <si>
    <t xml:space="preserve">Thierry Ligonnière – Chief Executive Officer, ANA Aeroportos de Portugal
Ben Thompson – Presenter, BBC</t>
  </si>
  <si>
    <t xml:space="preserve">Thierry Ligonnière, Ben Thompson</t>
  </si>
  <si>
    <t xml:space="preserve">ANA Aeroportos de Portugal, BBC</t>
  </si>
  <si>
    <t xml:space="preserve">CEO Interview: Pierre-Hugues Schmit, CEO, London Gatwick</t>
  </si>
  <si>
    <t xml:space="preserve">Pierre-Hugues Schmit – Chief Executive Officer, London Gatwick Airport
Ben Thompson – Presenter, BBC</t>
  </si>
  <si>
    <t xml:space="preserve">Pierre-Hugues Schmit, Ben Thompson</t>
  </si>
  <si>
    <t xml:space="preserve">London Gatwick Airport, BBC</t>
  </si>
  <si>
    <t xml:space="preserve">CEO Interview: Roberto Alvo, CEO, LATAM</t>
  </si>
  <si>
    <t xml:space="preserve">Roberto Alvo – CEO, Latam Airlines Group
Peter Campbell – Global Transport Correspondent, Financial Times</t>
  </si>
  <si>
    <t xml:space="preserve">Roberto Alvo, Peter Campbell</t>
  </si>
  <si>
    <t xml:space="preserve">Latam Airlines Group, Financial Times</t>
  </si>
  <si>
    <t xml:space="preserve">Keynote CEO Panel: Writing the next chapter of aviation history in an age of uncertainty</t>
  </si>
  <si>
    <t xml:space="preserve">Luís Rodrigues – Chief Executive Officer, Tap Air Portugal
Adrian Neuhauser – Chief Executive Officer, Abra Group
Roberto Alvo – CEO, Latam Airlines Group</t>
  </si>
  <si>
    <t xml:space="preserve">Luís Rodrigues, Adrian Neuhauser, Roberto Alvo</t>
  </si>
  <si>
    <t xml:space="preserve">Tap Air Portugal, Abra Group, Latam Airlines Group</t>
  </si>
  <si>
    <t xml:space="preserve">• Investing in the right areas for growth: identifying true game changes from the trendy fad
• Navigating geopolitical instability and preparing for unknowns to reduce the impact of disruption
• Long Term Strategy planning by optimising operations and working with industry to solve supply chain constraint
• Working as an industry to improve global challenges including sustainability, workforce challenges and safety</t>
  </si>
  <si>
    <t xml:space="preserve">CEO Interview: Paul Griffiths, CEO, Dubai Airports</t>
  </si>
  <si>
    <t xml:space="preserve">Paul Griffiths – Chief Executive Officer, Dubai Airports Company
Ben Thompson – Presenter, BBC</t>
  </si>
  <si>
    <t xml:space="preserve">Paul Griffiths, Ben Thompson</t>
  </si>
  <si>
    <t xml:space="preserve">Dubai Airports Company, BBC</t>
  </si>
  <si>
    <t xml:space="preserve">Keynote Panel: Growth without compromise – rethinking the airport model for sustainable growth</t>
  </si>
  <si>
    <t xml:space="preserve">Stefan Schulte – Chief Executive Officer, Fraport AG
Warwick Brady – President &amp; CEO, SWISSPORT
Paul Griffiths – Chief Executive Officer, Dubai Airports Company</t>
  </si>
  <si>
    <t xml:space="preserve">Stefan Schulte, Warwick Brady, Paul Griffiths</t>
  </si>
  <si>
    <t xml:space="preserve">Fraport AG, SWISSPORT, Dubai Airports Company</t>
  </si>
  <si>
    <t xml:space="preserve">• How can airports manage growth and capacity through both infrastructure development and smarter use of existing assets?
• As traffic rises, how do we maintain operational resilience while protecting the passenger experience?
• How can better coordination across airlines, airports and ground handlers reduce operational complexity?
• As competition between hubs intensifies, how can airports differentiate through efficiency, technology and experience?
• What investments in infrastructure, operations and digital capability will define the most competitive airports over the next 3-5 years?</t>
  </si>
  <si>
    <t xml:space="preserve">Table 01: FLYR Roundtable - Funding the move to Offer &amp; Order: Creating the right time for the right move</t>
  </si>
  <si>
    <t xml:space="preserve">Rodrigo López
Josh Crandall</t>
  </si>
  <si>
    <t xml:space="preserve">Rodrigo López, Josh Crandall</t>
  </si>
  <si>
    <t xml:space="preserve">Roundtable area, Pavilion 2</t>
  </si>
  <si>
    <t xml:space="preserve">Open</t>
  </si>
  <si>
    <t xml:space="preserve">Table 2: ATPCO Roundtable - Airline product catalogs: a foundation for retailing at scale</t>
  </si>
  <si>
    <t xml:space="preserve">Doug Sharpe
Megan Humphries</t>
  </si>
  <si>
    <t xml:space="preserve">Doug Sharpe, Megan Humphries</t>
  </si>
  <si>
    <t xml:space="preserve">Table 3: 15Below - 10 years of deploying AI in aviation: what works, what doesn’t and what we’ve learned</t>
  </si>
  <si>
    <t xml:space="preserve">Ali Tredinnick
Joe Bennett</t>
  </si>
  <si>
    <t xml:space="preserve">Ali Tredinnick, Joe Bennett</t>
  </si>
  <si>
    <t xml:space="preserve">Full</t>
  </si>
  <si>
    <t xml:space="preserve">Table 4: OneReg Roundtable - Continuous confidence: reimagining how aviation compliance works</t>
  </si>
  <si>
    <t xml:space="preserve">Billie Moore
Angel Matsis</t>
  </si>
  <si>
    <t xml:space="preserve">Billie Moore, Angel Matsis</t>
  </si>
  <si>
    <t xml:space="preserve">Table 5: Seatboost Roundtable - The gate-side goldmine: Gamification, dynamic pricing, and monetizing the premium cabin</t>
  </si>
  <si>
    <t xml:space="preserve">Kevin Stamler</t>
  </si>
  <si>
    <t xml:space="preserve">Table 6: Ping Identity Roundtable - Whose agent is it anyway?</t>
  </si>
  <si>
    <t xml:space="preserve">Alexander Laurie
Emanuela Maftieu</t>
  </si>
  <si>
    <t xml:space="preserve">Alexander Laurie, Emanuela Maftieu</t>
  </si>
  <si>
    <t xml:space="preserve">Table 7: ADA Roundtable - Agentic IROPs: Turning flight re-accom into your biggest loyalty moment</t>
  </si>
  <si>
    <t xml:space="preserve">Mike Murchison
Tatiana Deabreu</t>
  </si>
  <si>
    <t xml:space="preserve">Mike Murchison, Tatiana Deabreu</t>
  </si>
  <si>
    <t xml:space="preserve">Table 8: Lufthansa Industry Solutions Roundtable - How airports, airlines and partners can create value through collaboration</t>
  </si>
  <si>
    <t xml:space="preserve">Karina Mehl
Michael Kleinert</t>
  </si>
  <si>
    <t xml:space="preserve">Karina Mehl, Michael Kleinert</t>
  </si>
  <si>
    <t xml:space="preserve">Table 9: Chubb Roundtable - When delays happen, payouts shouldn't wait. Using parametrics to turn flight disruption into passenger loyalty.</t>
  </si>
  <si>
    <t xml:space="preserve">Ruben Rivero</t>
  </si>
  <si>
    <t xml:space="preserve">Table10: Intellicene Roundtable - The connected airport: Turning data into operational intelligence</t>
  </si>
  <si>
    <t xml:space="preserve">Matthew Maychrowitz
Rebecca Rea</t>
  </si>
  <si>
    <t xml:space="preserve">Matthew Maychrowitz, Rebecca Rea</t>
  </si>
  <si>
    <t xml:space="preserve">Table11: Thoughtspot Roundtable - From Insight to Action: How aviation leaders are scaling agentic analytics</t>
  </si>
  <si>
    <t xml:space="preserve">James Davies
Charlotte Ross</t>
  </si>
  <si>
    <t xml:space="preserve">James Davies, Charlotte Ross</t>
  </si>
  <si>
    <t xml:space="preserve">Open (you are registered)</t>
  </si>
  <si>
    <t xml:space="preserve">Table12: Volantio Roundtable - Beyond the AI hype: Can agents finally connect revenue, operations and customer experience?</t>
  </si>
  <si>
    <t xml:space="preserve">Ana Maria Escobar
Azim Barodawala</t>
  </si>
  <si>
    <t xml:space="preserve">Ana Maria Escobar, Azim Barodawala</t>
  </si>
  <si>
    <t xml:space="preserve">Table13: Signifyd Roundtable AI booked the flight. Who owns the risk?</t>
  </si>
  <si>
    <t xml:space="preserve">Nikhita Hyett
Amal Ahmed</t>
  </si>
  <si>
    <t xml:space="preserve">Nikhita Hyett, Amal Ahmed</t>
  </si>
  <si>
    <t xml:space="preserve">Table14: Endava Roundtable - From the basement to the boardroom - Why airline finance has earned a seat at the table</t>
  </si>
  <si>
    <t xml:space="preserve">Henry Harteveldt
Nives Nadoh</t>
  </si>
  <si>
    <t xml:space="preserve">Henry Harteveldt, Nives Nadoh</t>
  </si>
  <si>
    <t xml:space="preserve">Table15: Infosys Roundtable - How AI unlocks value: Building a resilient aviation ecosystem</t>
  </si>
  <si>
    <t xml:space="preserve">Samik Ghatak
RASHI GARG</t>
  </si>
  <si>
    <t xml:space="preserve">Samik Ghatak, RASHI GARG</t>
  </si>
  <si>
    <t xml:space="preserve">Table16: Airplane Roundtable - The cost of discovery: can airlines scale shopping without breaking the economics?</t>
  </si>
  <si>
    <t xml:space="preserve">Javier Esteve
Robert Mulet</t>
  </si>
  <si>
    <t xml:space="preserve">Javier Esteve, Robert Mulet</t>
  </si>
  <si>
    <t xml:space="preserve">Table17: OAG Roundtable - Beyond the AI headlines: what should aviation leaders believe?</t>
  </si>
  <si>
    <t xml:space="preserve">Ben Maynard
Sue Davidson</t>
  </si>
  <si>
    <t xml:space="preserve">Ben Maynard, Sue Davidson</t>
  </si>
  <si>
    <t xml:space="preserve">Table18: Telcotrend Roundtable - Beyond the cost of failure: Spotting the cracks before they widen</t>
  </si>
  <si>
    <t xml:space="preserve">Tamás Nacsák
Gabriella Solti</t>
  </si>
  <si>
    <t xml:space="preserve">Tamás Nacsák, Gabriella Solti</t>
  </si>
  <si>
    <t xml:space="preserve">Table19: PROS Roundtable - Beyond NDC: How AI agents are redefining airline retailing and distribution</t>
  </si>
  <si>
    <t xml:space="preserve">Boyan Manev
MARCELA Pasten</t>
  </si>
  <si>
    <t xml:space="preserve">Boyan Manev, MARCELA Pasten</t>
  </si>
  <si>
    <t xml:space="preserve">Table20: Zingly Roundtable - Case study: AI in production at Pegasus Airlines: Beyond deflection to completed passenger journeys</t>
  </si>
  <si>
    <t xml:space="preserve">Baris Findik
Gaurav Passi</t>
  </si>
  <si>
    <t xml:space="preserve">Aviation Connect: Session 3</t>
  </si>
  <si>
    <t xml:space="preserve">Chair Remarks</t>
  </si>
  <si>
    <t xml:space="preserve">Chair opening remarks</t>
  </si>
  <si>
    <t xml:space="preserve">Harald Deprosse – Partner, Envolved GmbH</t>
  </si>
  <si>
    <t xml:space="preserve">Harald Deprosse</t>
  </si>
  <si>
    <t xml:space="preserve">Envolved GmbH</t>
  </si>
  <si>
    <t xml:space="preserve">Fireside Chat: Growth without compromise – can airlines decarbonise while remaining competitive?</t>
  </si>
  <si>
    <t xml:space="preserve">Maria Whittaker – Chief Corporate Responsibility Officer, Abra Group
Patrick Edmond – Chief Commercial Officer, Future Energy Global</t>
  </si>
  <si>
    <t xml:space="preserve">Maria Whittaker, Patrick Edmond</t>
  </si>
  <si>
    <t xml:space="preserve">Abra Group, Future Energy Global</t>
  </si>
  <si>
    <t xml:space="preserve">Plusgrade Welcome</t>
  </si>
  <si>
    <t xml:space="preserve">Richard Wolfman – SVP Global Business Development, Plusgrade</t>
  </si>
  <si>
    <t xml:space="preserve">Richard Wolfman</t>
  </si>
  <si>
    <t xml:space="preserve">Plusgrade</t>
  </si>
  <si>
    <t xml:space="preserve">Track 3, Pav 1</t>
  </si>
  <si>
    <t xml:space="preserve">Presentation: Building tomorrow’s airline: AI-orchestrated, human-led</t>
  </si>
  <si>
    <t xml:space="preserve">Oliver Schmitt – CEO Digital Hangar Ecosystem &amp; SVP Digital Solutions, Lufthansa Group Digital Hangar GmbH</t>
  </si>
  <si>
    <t xml:space="preserve">Oliver Schmitt</t>
  </si>
  <si>
    <t xml:space="preserve">Lufthansa Group Digital Hangar GmbH</t>
  </si>
  <si>
    <t xml:space="preserve">Track 9, Pavilion 2</t>
  </si>
  <si>
    <t xml:space="preserve">Human connection, effortless digital experiences: premium CX in the age of AI</t>
  </si>
  <si>
    <t xml:space="preserve">Bethan Lynch – VP Customer Experience &amp; Loyalty, Virgin Atlantic
Jerry Angrave – Customer Experience Director, Empathyce</t>
  </si>
  <si>
    <t xml:space="preserve">Bethan Lynch, Jerry Angrave</t>
  </si>
  <si>
    <t xml:space="preserve">Virgin Atlantic, Empathyce</t>
  </si>
  <si>
    <t xml:space="preserve">• AI will transform how consumers plan, shop and make the most of travel. But what does the future look like for premium travellers who expect personalised, memorable experiences and genuine emotional connection?
• In this fireside chat, Virgin Atlantic’s VP Customer Experience &amp; Loyalty, Bethan Lynch, joins Jerry Angrave to share how the airline is embracing innovative use of AI to serve its customers more personally and seamlessly, while upholding its unique culture, built around its people and their unmistakeable warmth and flair. On its journey to become the most loved travel company, Bethan will explain how Virgin Atlantic sees AI as an extension of the human-centred experience. An opportunity to remove friction and make every interaction meaningful and distinctly Virgin, while enabling people to do what only people can do: create trust, build connection and make customers feel genuinely cared for.
• Combining humanity with innovation, also hear how Virgin Atlantic is doubling down on its premium experience across the customer journey, including the rollout of free, high speed Starlink Wi-Fi, new expanded Upper and Premium cabins, investment in award-winning Clubhouses, and a new app integrated with Virgin Atlantic Concierge, powered by OpenAI and built in partnership with Tomoro. Through its brand, people, and the award-winning experience they deliver, Virgin Atlantic is creating emotional connections that last long after the journey ends – building loyalty and enticing customers to choose Virgin Atlantic time and again.</t>
  </si>
  <si>
    <t xml:space="preserve">Fireside Chat: The future outlook for loyalty at Abra Group</t>
  </si>
  <si>
    <t xml:space="preserve">Ralph Piket – Chief Loyalty Officer, Abra Group
Harald Deprosse – Partner, Envolved GmbH</t>
  </si>
  <si>
    <t xml:space="preserve">Ralph Piket, Harald Deprosse</t>
  </si>
  <si>
    <t xml:space="preserve">Abra Group, Envolved GmbH</t>
  </si>
  <si>
    <t xml:space="preserve">Track 3, Pavilion 1</t>
  </si>
  <si>
    <t xml:space="preserve">Presentation: Project ConnectOps: Delivering highly contextualised and realtime information to optimise insights for crew, airport and operational staff</t>
  </si>
  <si>
    <t xml:space="preserve">Rachel Gaud – Ops Digital Transformation Lead, Etihad</t>
  </si>
  <si>
    <t xml:space="preserve">Rachel Gaud</t>
  </si>
  <si>
    <t xml:space="preserve">Etihad</t>
  </si>
  <si>
    <t xml:space="preserve">Fireside Chat: From mainframe to cloud: Air Canada’s modernisation playbook</t>
  </si>
  <si>
    <t xml:space="preserve">Mel Crocker – CIO, Air Canada
David Peller – General Partner &amp; Founder, If Not You Capital</t>
  </si>
  <si>
    <t xml:space="preserve">Mel Crocker, David Peller</t>
  </si>
  <si>
    <t xml:space="preserve">Air Canada, If Not You Capital</t>
  </si>
  <si>
    <t xml:space="preserve">Track 1 (Pavilion 1)</t>
  </si>
  <si>
    <t xml:space="preserve">Track 1(Pavilion 1)</t>
  </si>
  <si>
    <t xml:space="preserve">Presentation: Becoming a more data driven airport system – collaboration between all stakeholders</t>
  </si>
  <si>
    <t xml:space="preserve">Samuel C. Ehrat – Senior Project Leader, Zurich Airport
Lorenz Wolf – ICT Solution Architect, Zurich Airport</t>
  </si>
  <si>
    <t xml:space="preserve">Samuel C. Ehrat, Lorenz Wolf</t>
  </si>
  <si>
    <t xml:space="preserve">Zurich Airport</t>
  </si>
  <si>
    <t xml:space="preserve">Presentation: Lisette Looren de Jong-Vonk, Programme Manager Innovation Border Management, Ministry of Justice and Security – The Netherlands</t>
  </si>
  <si>
    <t xml:space="preserve">Lisette Looren de Jong – Programme Manager Innovation Border Management, Ministry of Justice and Security</t>
  </si>
  <si>
    <t xml:space="preserve">Lisette Looren de Jong</t>
  </si>
  <si>
    <t xml:space="preserve">Ministry of Justice and Security</t>
  </si>
  <si>
    <t xml:space="preserve">Presentation: Building the digital airport – using mobile and AI assistance to bridge the digital and physical airport experience</t>
  </si>
  <si>
    <t xml:space="preserve">Jorn Korbi – VP Digital Commercialization, Avinor</t>
  </si>
  <si>
    <t xml:space="preserve">Jorn Korbi</t>
  </si>
  <si>
    <t xml:space="preserve">Avinor</t>
  </si>
  <si>
    <t xml:space="preserve">Fireside Chat: Legacy to leader: What cultural and digital shift does the industry need for a modern retail transition?</t>
  </si>
  <si>
    <t xml:space="preserve">Julio Rodriguez – Chief Commercial Strategy Officer, IAG
Dennis Cary – Managing Director, Cary Strategic Advisory</t>
  </si>
  <si>
    <t xml:space="preserve">Julio Rodriguez, Dennis Cary</t>
  </si>
  <si>
    <t xml:space="preserve">IAG, Cary Strategic Advisory</t>
  </si>
  <si>
    <t xml:space="preserve">Presentation: The hardest part of Offer &amp; Order is not Offer &amp; Order</t>
  </si>
  <si>
    <t xml:space="preserve">Ozan Berk Karataş – Senior Program Manager, Airline Retailing &amp; Payments, Turkish Airlines</t>
  </si>
  <si>
    <t xml:space="preserve">Ozan Berk Karataş</t>
  </si>
  <si>
    <t xml:space="preserve">CEO Interview: Joerg Eberhart, CEO, ITA Airways</t>
  </si>
  <si>
    <t xml:space="preserve">Joerg Eberhart – Chief Executive Officer, ITA-Airways
Peter Campbell – Global Transport Correspondent, Financial Times</t>
  </si>
  <si>
    <t xml:space="preserve">Joerg Eberhart, Peter Campbell</t>
  </si>
  <si>
    <t xml:space="preserve">ITA-Airways, Financial Times</t>
  </si>
  <si>
    <t xml:space="preserve">Mission-Critical Legal: Why Departments Need an Operating System, Not Another Assistant</t>
  </si>
  <si>
    <t xml:space="preserve">Katja Nikolaus – CBDO, JUNE GmbH</t>
  </si>
  <si>
    <t xml:space="preserve">Katja Nikolaus</t>
  </si>
  <si>
    <t xml:space="preserve">JUNE GmbH</t>
  </si>
  <si>
    <t xml:space="preserve">Presentation: Airbus' Environmental Blueprint: Pioneering sustainable flight</t>
  </si>
  <si>
    <t xml:space="preserve">Bertrand Lestimé – HO Environment and Sustainability Marketing, Airbus S.A.S</t>
  </si>
  <si>
    <t xml:space="preserve">Bertrand Lestimé</t>
  </si>
  <si>
    <t xml:space="preserve">Airbus S.A.S</t>
  </si>
  <si>
    <t xml:space="preserve">A decade of innovative AI use cases at Lufthansa Group and the agentic AI future</t>
  </si>
  <si>
    <t xml:space="preserve">Dr. Philipp Schade – Head of Business Development &amp; Senior Data Scientist, zeroG</t>
  </si>
  <si>
    <t xml:space="preserve">Dr. Philipp Schade</t>
  </si>
  <si>
    <t xml:space="preserve">zeroG</t>
  </si>
  <si>
    <t xml:space="preserve">Presentation: AI agents and the new front door: How Alaska Airlines is reshaping customer experience</t>
  </si>
  <si>
    <t xml:space="preserve">Andrea Halverson – Director - Contact Center Experience and Innovation, Alaska Airlines
Barry Chester – Head of Airlines, Cresta</t>
  </si>
  <si>
    <t xml:space="preserve">Andrea Halverson, Barry Chester</t>
  </si>
  <si>
    <t xml:space="preserve">Alaska Airlines, Cresta</t>
  </si>
  <si>
    <t xml:space="preserve">Track 2, Pav 1</t>
  </si>
  <si>
    <t xml:space="preserve">Presentation: Leveraging travel fintech to protect revenues and passenger trust during global disruption</t>
  </si>
  <si>
    <t xml:space="preserve">Ella Schreiber – SVP and GM Fintech, Hopper Inc
Karen Romanchuk – Director, Ancillary Revenue, WestJet</t>
  </si>
  <si>
    <t xml:space="preserve">Ella Schreiber, Karen Romanchuk</t>
  </si>
  <si>
    <t xml:space="preserve">Hopper Inc, WestJet</t>
  </si>
  <si>
    <t xml:space="preserve">Presentation: What Offer &amp; Order Looks Like, Live at Riyadh Air</t>
  </si>
  <si>
    <t xml:space="preserve">Sam Chamberlain – Chief Product Officer, FLYR
Tristan Thomas – Global Industry Leader, IBM</t>
  </si>
  <si>
    <t xml:space="preserve">Sam Chamberlain, Tristan Thomas</t>
  </si>
  <si>
    <t xml:space="preserve">FLYR, IBM</t>
  </si>
  <si>
    <t xml:space="preserve">A demo of what was once impossible, and is now live</t>
  </si>
  <si>
    <t xml:space="preserve">Presentation: From transaction to trust – what actually drives airline customer behaviour today</t>
  </si>
  <si>
    <t xml:space="preserve">Peter Smith – SVP Travel, Cover Genius US Trading, LLC</t>
  </si>
  <si>
    <t xml:space="preserve">Peter Smith</t>
  </si>
  <si>
    <t xml:space="preserve">Cover Genius US Trading, LLC</t>
  </si>
  <si>
    <t xml:space="preserve">Transforming operations through connected resource and turnaround solutions</t>
  </si>
  <si>
    <t xml:space="preserve">Thomas Sermon – Global Client Director, ZestIoT Technologies B.V.</t>
  </si>
  <si>
    <t xml:space="preserve">Thomas Sermon</t>
  </si>
  <si>
    <t xml:space="preserve">ZestIoT Technologies B.V.</t>
  </si>
  <si>
    <t xml:space="preserve">Panel: Strategy in a Changing Commercial Landscape – What will define the airline loyalty industry as we move into 2027?</t>
  </si>
  <si>
    <t xml:space="preserve">Nejib Ben-Khedher – Divisional Senior Vice President, Skywards, EMIRATES GROUP
Ralph Piket – Chief Loyalty Officer, Abra Group
Pedro Ribeiro – Loyalty Director, Tap Air Portugal</t>
  </si>
  <si>
    <t xml:space="preserve">Nejib Ben-Khedher, Ralph Piket, Pedro Ribeiro</t>
  </si>
  <si>
    <t xml:space="preserve">EMIRATES GROUP, Abra Group, Tap Air Portugal</t>
  </si>
  <si>
    <t xml:space="preserve">Track 3 (Pavillion 1)</t>
  </si>
  <si>
    <t xml:space="preserve">• Process optimisation: How can we make smoother processes, where can I go with new business models, what could be used better
• Moving loyalty closer to the commercial and digital core: aligning with revenue management, sales, and marketing
• How can programs cut through AI buzzwords to examine real use cases and the ROI metrics that actually matter?
• What will define loyalty leadership in the next decade?</t>
  </si>
  <si>
    <t xml:space="preserve">Panel: The airport terminal is changing – how are airports rethinking non-aero revenue with the wider passenger experience in mind?</t>
  </si>
  <si>
    <t xml:space="preserve">Arturs Saveljevs – Board member and CCO, Riga International Airport
Jorn Korbi – VP Digital Commercialization, Avinor
Gintare Norvilaite-Tautevice – Chief Commercial Officer, Lithuanian Airports</t>
  </si>
  <si>
    <t xml:space="preserve">Arturs Saveljevs, Jorn Korbi, Gintare Norvilaite-Tautevice</t>
  </si>
  <si>
    <t xml:space="preserve">Riga International Airport, Avinor, Lithuanian Airports</t>
  </si>
  <si>
    <t xml:space="preserve">• As airports digitise more of the journey, how are they rethinking retail, services and the overall passenger experience?
• How do airports balance dwell time, flow and frictionless processing with the need to protect non-aero revenue?
• Lounges and premium services are growing- how are airports working with partners to expand these offerings?
• What new partnership models are emerging between airports, brands and commercial operators?
• Where is the gap between measured performance (OTP, flow) and perceived experience?
• How should we evolve when passenger expectations, capacity constraints and digital journeys are shifting?
• Where are airports seeing the most promising opportunities for future non-aero growth?</t>
  </si>
  <si>
    <t xml:space="preserve">Presentation: Payments that drive the CFO agenda</t>
  </si>
  <si>
    <t xml:space="preserve">Kevin Murphy – Group CEO, CellPoint</t>
  </si>
  <si>
    <t xml:space="preserve">Kevin Murphy</t>
  </si>
  <si>
    <t xml:space="preserve">CellPoint</t>
  </si>
  <si>
    <t xml:space="preserve">Presentation: A Shared Flight Path: Creating Value Through Airline–Airport Collaboration</t>
  </si>
  <si>
    <t xml:space="preserve">Jitender Mohan – EVP &amp; Business Unit Head, Travel &amp; Hospitality, WNS Global Services (UK) Limited
Matthew Robinson – Vice President, Airports, Capgemini</t>
  </si>
  <si>
    <t xml:space="preserve">Jitender Mohan, Matthew Robinson</t>
  </si>
  <si>
    <t xml:space="preserve">WNS Global Services (UK) Limited, Capgemini</t>
  </si>
  <si>
    <t xml:space="preserve">• Airlines and airports share a common goal of delivering seamless passenger journeys and operational excellence, yet often operate with different priorities and systems.
• As capacity constraints, operational complexity and passenger expectations intensify, greater collaboration presents an opportunity to unlock shared value.
• This session explores how airlines and airports can move beyond individual optimisation towards connected operations, shared insights and strategic partnerships that enhance passenger experience, improve efficiency and drive sustainable growth.
• Key Takeaways
• Shared Value: Moving beyond individual optimisation to unlock mutual benefits for airlines, airports and passengers.
• Passenger Experience &amp; Operational Excellence: Enabling seamless journeys, improved efficiency and better capacity utilisation through closer collaboration.
• Data-Driven Collaboration: Leveraging shared insights, connected technologies and strategic partnerships to drive smarter decisions and sustainable growth.</t>
  </si>
  <si>
    <t xml:space="preserve">ONE Order, Many Products: Holidays and Ancillaries in a Single Airline Order</t>
  </si>
  <si>
    <t xml:space="preserve">Pete Pohlschmidt – CCO, Altovo</t>
  </si>
  <si>
    <t xml:space="preserve">Pete Pohlschmidt</t>
  </si>
  <si>
    <t xml:space="preserve">Altovo</t>
  </si>
  <si>
    <t xml:space="preserve">Presentation: DPAX: The next generation of passenger disruption management</t>
  </si>
  <si>
    <t xml:space="preserve">Matias Escobar – EVP, Strategy and Innovation, Accommodations Plus International (API)</t>
  </si>
  <si>
    <t xml:space="preserve">Matias Escobar</t>
  </si>
  <si>
    <t xml:space="preserve">Accommodations Plus International (API)</t>
  </si>
  <si>
    <t xml:space="preserve">Fireside Chat: Route to Net Zero: Ambition, Regulation and Reality</t>
  </si>
  <si>
    <t xml:space="preserve">Owain Jones – Chief Corporate Officer, Wizz Air Hungary Ltd
Patrick Edmond – Chief Commercial Officer, Future Energy Global</t>
  </si>
  <si>
    <t xml:space="preserve">Owain Jones, Patrick Edmond</t>
  </si>
  <si>
    <t xml:space="preserve">Wizz Air Hungary Ltd, Future Energy Global</t>
  </si>
  <si>
    <t xml:space="preserve">Cleared for Take-Off: Building Cyber Resilience Across the Aviation Ecosystem</t>
  </si>
  <si>
    <t xml:space="preserve">Daniel Forrester – CEO, Cybernet Secure</t>
  </si>
  <si>
    <t xml:space="preserve">Daniel Forrester</t>
  </si>
  <si>
    <t xml:space="preserve">Cybernet Secure</t>
  </si>
  <si>
    <t xml:space="preserve">Presentation: Founded in data, powered by AI: Real-time answers for airline operations</t>
  </si>
  <si>
    <t xml:space="preserve">Eugenia Martinez – Solutions Engineer, ThoughtSpot</t>
  </si>
  <si>
    <t xml:space="preserve">Eugenia Martinez</t>
  </si>
  <si>
    <t xml:space="preserve">ThoughtSpot</t>
  </si>
  <si>
    <t xml:space="preserve">Panel: How can we enable customers to feel in-control during unavoidable disruption?</t>
  </si>
  <si>
    <t xml:space="preserve">Sheryl Lee – Senior Manager- IRROPS Programs &amp; Strategy, United Airlines
Emre Devrim – Product &amp; Customer Experience Manager, Ajet
Katy Cardwell – Director of Digital Customer Experience, British Airways</t>
  </si>
  <si>
    <t xml:space="preserve">Sheryl Lee, Emre Devrim, Katy Cardwell</t>
  </si>
  <si>
    <t xml:space="preserve">United Airlines, Ajet, British Airways</t>
  </si>
  <si>
    <t xml:space="preserve">• How is technology helping airlines to improve the impact and experience of disruption on cutomers?
• Empowering customers with facts, options and choice: is this vision achievable?
• The power of self-service: how have airlines empowered customers to determine their own experience</t>
  </si>
  <si>
    <t xml:space="preserve">CEO Interview: Marcus Schnabel, CEO, SunExpress</t>
  </si>
  <si>
    <t xml:space="preserve">Marcus Schnabel – CEO, SunExpress Airlines
Peter Campbell – Global Transport Correspondent, Financial Times</t>
  </si>
  <si>
    <t xml:space="preserve">Marcus Schnabel, Peter Campbell</t>
  </si>
  <si>
    <t xml:space="preserve">SunExpress Airlines, Financial Times</t>
  </si>
  <si>
    <t xml:space="preserve">Panel: Digital identity in aviation – who builds the trust layer for seamless travel?</t>
  </si>
  <si>
    <t xml:space="preserve">Maurice Jenkins – Chief Innovation Officer, Miami International Airport
Amin Lalani – Product Leader of Airport &amp; Sky Club Digital Products &amp; Experiences, Delta Air Lines
Lisette Looren de Jong – Programme Manager Innovation Border Management, Ministry of Justice and Security</t>
  </si>
  <si>
    <t xml:space="preserve">Maurice Jenkins, Amin Lalani, Lisette Looren de Jong</t>
  </si>
  <si>
    <t xml:space="preserve">Miami International Airport, Delta Air Lines, Ministry of Justice and Security</t>
  </si>
  <si>
    <t xml:space="preserve">• What has changed recently that could finally enable broader biometric travel deployment?
• Global interoperability: what role should standards like IATA One ID, ICAO Digital Travel Credentials and digital identity wallets play?
• What data exchange and connectivity infrastructure is needed to link airlines, airports and border agencies?
• Who ultimately owns and operates digital identity infrastructure across the ecosystem - airlines, airports, governments or global bodies?
• Looking ahead to 2030, will passengers realistically be able to travel end-to-end without presenting a traditional passport?</t>
  </si>
  <si>
    <t xml:space="preserve">Presentation: Beyond Legacy: The Uncomfortable Truth About Airline Payments</t>
  </si>
  <si>
    <t xml:space="preserve">Victor Gaarenstroom – Global Travel &amp; Mobility Lead, adyen
Greg Toussaint – Director, Edgar, Dunn &amp; Company</t>
  </si>
  <si>
    <t xml:space="preserve">Victor Gaarenstroom, Greg Toussaint</t>
  </si>
  <si>
    <t xml:space="preserve">adyen, Edgar, Dunn &amp; Company</t>
  </si>
  <si>
    <t xml:space="preserve">Fresh off the press: Adyen and Edgar, Dunn &amp; Company explore evolving traveler expectations and how airlines can break free from legacy payments that hold back innovation, speed and performance, and unlock the next frontier in airline payments.</t>
  </si>
  <si>
    <t xml:space="preserve">Next-gen ancillaries: algorithmic pricing, automation and regulatory shifts</t>
  </si>
  <si>
    <t xml:space="preserve">Julio Rodriguez – Chief Commercial Strategy Officer, IAG
Tiddo Veldhuis – VP Offer Management &amp; Ancillaries, Air France KLM
Juan Pablo Lafosse – CEO, TravelX</t>
  </si>
  <si>
    <t xml:space="preserve">Julio Rodriguez, Tiddo Veldhuis, Juan Pablo Lafosse</t>
  </si>
  <si>
    <t xml:space="preserve">IAG, Air France KLM, TravelX</t>
  </si>
  <si>
    <t xml:space="preserve">• How will new baggage regulations impact airlines’ revenue models and pricing strategies?
• Could predictive analytics help to drive the purchase of premium services?
• Can AI help to make prices clearer while still allowing airlines to offer unbundled ancillaries?
• How can airlines integrate high-margin lifestyle ancillaries, such as hotels or experiences, directly into the booking flow?
• How can real-time data orchestration automate instant payouts for flight delays to turn disruption into a service win?</t>
  </si>
  <si>
    <t xml:space="preserve">The human experience, both sides: where AI makes CX and where it breaks it</t>
  </si>
  <si>
    <t xml:space="preserve">Sindhu Shekharan – VP Customer Success, Sutherland Global Services Inc.</t>
  </si>
  <si>
    <t xml:space="preserve">Sindhu Shekharan</t>
  </si>
  <si>
    <t xml:space="preserve">Sutherland Global Services Inc.</t>
  </si>
  <si>
    <t xml:space="preserve">The customer journey. The talk walks through specific moments and shows the result at each one.Abstract: AI's effect on customer experience is not uniform. It depends on the moment. Across industries, the same technology that delights customers at booking frustrates them during disruption. we will maps where AI makes and breaks the human experience across key service moments, using evidence from multiple industries, and translates the findings into the airline journey: booking, disruption, refunds and rebooking.</t>
  </si>
  <si>
    <t xml:space="preserve">Presentation: Autopilot was never unsupervised</t>
  </si>
  <si>
    <t xml:space="preserve">Alexander Laurie – GTM CTO, PING IDENTITY</t>
  </si>
  <si>
    <t xml:space="preserve">Alexander Laurie</t>
  </si>
  <si>
    <t xml:space="preserve">PING IDENTITY</t>
  </si>
  <si>
    <t xml:space="preserve">What happens when AI Agents book the tickets, spend the miles and speak to your customers</t>
  </si>
  <si>
    <t xml:space="preserve">Panel: Airports are full of data – how do we turn this into better real-time decision making?</t>
  </si>
  <si>
    <t xml:space="preserve">Gyorgy Farkas – Head of IT Project and Innovation Management, Budapest Airport
Samuel í Hjøllum Rude – Vice President, Head of Operational Airport Services, Copenhagen Airports
Nishant Rao – Director, Aviation Business Development, Nieuport Aviation</t>
  </si>
  <si>
    <t xml:space="preserve">Gyorgy Farkas, Samuel í Hjøllum Rude, Nishant Rao</t>
  </si>
  <si>
    <t xml:space="preserve">Budapest Airport, Copenhagen Airports, Nieuport Aviation</t>
  </si>
  <si>
    <t xml:space="preserve">• Airports are collecting more operational data than ever, but where are operations team still struggling to turn it into action?
• Passenger flow, turnaround visibility and resource allocation are increasingly connected. How do airports bring these datasets together in a useful way?
• How do airports balance airline demand for slots with operational and capacity constraints? How does good data help here?
• AI is moving quickly, but weak data foundations still hold many projects back. What has to be fixed first?
• Looking ahead, what will define an intelligent airport operating model over the next five years?</t>
  </si>
  <si>
    <t xml:space="preserve">Passtination: Powering Loyalty Beyond the Flight</t>
  </si>
  <si>
    <t xml:space="preserve">Safir Jamal – Founder &amp; CEO, Passtination</t>
  </si>
  <si>
    <t xml:space="preserve">Safir Jamal</t>
  </si>
  <si>
    <t xml:space="preserve">Passtination</t>
  </si>
  <si>
    <t xml:space="preserve">Panel: Scaling sustainable aviation fuel – who carries the risk, cost and responsibility?</t>
  </si>
  <si>
    <t xml:space="preserve">Ulrike Ziegler – President of the Board of Directors, Impact on Sustainable Aviation
Maria Whittaker – Chief Corporate Responsibility Officer, Abra Group
Jan Petter Steinland – Director Strategic Analysis &amp; Transformation, Civil Aviation Authority Norway</t>
  </si>
  <si>
    <t xml:space="preserve">Ulrike Ziegler, Maria Whittaker, Jan Petter Steinland</t>
  </si>
  <si>
    <t xml:space="preserve">Impact on Sustainable Aviation, Abra Group, Civil Aviation Authority Norway</t>
  </si>
  <si>
    <t xml:space="preserve">• One year into policies like RefuelEU, what has changed and are airlines now facing uneven regional pressures?
• Is SAF still supply-constrained, or are investment risk, production economics and market demand now the biggest barriers to scale?
• Where is collaboration between airlines, fuel producers, airports and governments working, and where is it breaking down?
• As carbon pricing expands and compliance costs rise, how does this change the business case for SAF compared with other decarbonization pathways?
• As geopolitical uncertainty continues, how resilient is the long-term business case for SAF?
• What would a functioning SAF market look like by 2030?</t>
  </si>
  <si>
    <t xml:space="preserve">CEO Panel: Strategy, competition and innovation in a disruptive environment</t>
  </si>
  <si>
    <t xml:space="preserve">Marcus Schnabel – CEO, SunExpress Airlines
Theo Panagiotoulias – Chief Executive Officer, Star Alliance
Sunil John – CEO, PROS</t>
  </si>
  <si>
    <t xml:space="preserve">Marcus Schnabel, Theo Panagiotoulias, Sunil John</t>
  </si>
  <si>
    <t xml:space="preserve">SunExpress Airlines, Star Alliance, PROS</t>
  </si>
  <si>
    <t xml:space="preserve">• Investing in AI transformation to support long term goals
• Creating smart business models to compete effectively in a complex global market
• Identifying new opportunities for collaboration &amp; growth
• Creating next-gen products to meet the expectations of next-gen customers</t>
  </si>
  <si>
    <t xml:space="preserve">Panel: Creating safe &amp; effective foundations for AI transformation within the airline</t>
  </si>
  <si>
    <t xml:space="preserve">Ben Dias – Chief AI Scientist, IAG
Dirk Jungnickel – SVP Enterprise Data &amp; Analytics, Emirates Airline
Kevin Lynn – Director – Crew Scheduling Technology, United Airlines</t>
  </si>
  <si>
    <t xml:space="preserve">Ben Dias, Dirk Jungnickel, Kevin Lynn</t>
  </si>
  <si>
    <t xml:space="preserve">IAG, Emirates Airline, United Airlines</t>
  </si>
  <si>
    <t xml:space="preserve">• What are the priorities for leaders who are focused on creating a safe &amp; reliable AI frameworks?
• Building safety into the core of AI usage in Aviation: balancing innovation with risk integrity
• How can Airlines best measure the quality and sophistication of their AI maturity?
• Building today with tomorrow’s technology innovation in mind: how can leaders build IT platforms in a fast paced tech space</t>
  </si>
  <si>
    <t xml:space="preserve">Panel: Payments, retailing &amp; offer-order: what changes when retail changes?</t>
  </si>
  <si>
    <t xml:space="preserve">Yago Casasnovas – Head of Payments, Fraud Prevention and Distribution, Air Europa
Shaun Donaghey – Chief Commercial Officer, CellPoint
Dennis Lore – Payments Reconciliations and Credit Risk Accountant Manager, Kenya Airways</t>
  </si>
  <si>
    <t xml:space="preserve">Yago Casasnovas, Shaun Donaghey, Dennis Lore</t>
  </si>
  <si>
    <t xml:space="preserve">Air Europa, CellPoint, Kenya Airways</t>
  </si>
  <si>
    <t xml:space="preserve">• In an offer-order world, how must payment authorisation, settlement and refunds evolve to avoid operational complexity?
• As orders replace tickets, what new payment and servicing processes are required across the airline ecosystem?
• How can airlines reduce cost of sale across NDC, aggregators and OTAs without damaging conversion or partner reach?
• How are fintech and travel platforms reshaping ancillary revenue and the checkout experience?
• What is the future of agency payment - VCCs, A2A and new settlement models?
• How are airlines reorganising internally to align commercial, distribution and payments teams around retailing transformation?</t>
  </si>
  <si>
    <t xml:space="preserve">Panel: How do we drive revenue, resilience and measure return on tech investment?</t>
  </si>
  <si>
    <t xml:space="preserve">Mel Crocker – CIO, Air Canada
Dan Bartel – Chief Procurement Officer, American Airlines
Massimo Morin – Global Head, Travel, AWS for Travel and Hospitality, Amazon Web Services, Inc. (SEA54)</t>
  </si>
  <si>
    <t xml:space="preserve">Mel Crocker, Dan Bartel, Massimo Morin</t>
  </si>
  <si>
    <t xml:space="preserve">Air Canada, American Airlines, Amazon Web Services, Inc. (SEA54)</t>
  </si>
  <si>
    <t xml:space="preserve">• Where should airlines place their biggest technology bets for 2026–2028 – core systems modernisation, AI, cloud or infrastructure resilience?
• How do airlines modernise legacy systems while continuing to operate at scale without creating parallel complexity?
• When budgets tighten, how do we distinguish between essential investment and “nice to have” innovation?
• Which technology investments are genuinely delivering measurable value across the airline – from automation to AI and core platform upgrades?</t>
  </si>
  <si>
    <t xml:space="preserve">Panel: Supporting the full customer journey with effective customer care: From the importance of human touch to the power of digital</t>
  </si>
  <si>
    <t xml:space="preserve">Marco Barbosa – Directior of Guest Care and Delivery, Etihad
Jason Ward – Chief Customer Officer, Azul Airlines
Renato Ramos – Vice President Corporate Strategy, Star Alliance</t>
  </si>
  <si>
    <t xml:space="preserve">Marco Barbosa, Jason Ward, Renato Ramos</t>
  </si>
  <si>
    <t xml:space="preserve">Etihad, Azul Airlines, Star Alliance</t>
  </si>
  <si>
    <t xml:space="preserve">• How can airlines navigate smart multi-channel customer communications to optimise cost and increase customer support
• Supporting insights with relevant data streams for colleagues and tech support to support customers effectively and efficiently
• Shaping the long-term communications strategy: what will the future look like with AI and agentic AI in the mix?</t>
  </si>
  <si>
    <t xml:space="preserve">FlyBuddy: Guiding Passengers, Empowering Airports</t>
  </si>
  <si>
    <t xml:space="preserve">Eoin Mcnamara – Co-Founder &amp; Chief Operating Officer, FlyBuddy
Michael Murphy – Co-Founder &amp; Chief Executive Officer, FlyBuddy</t>
  </si>
  <si>
    <t xml:space="preserve">Eoin Mcnamara, Michael Murphy</t>
  </si>
  <si>
    <t xml:space="preserve">FlyBuddy</t>
  </si>
  <si>
    <t xml:space="preserve">From Information Desk to Personal AI Concierge: Turning Every Passenger Interaction into Experience and Revenue</t>
  </si>
  <si>
    <t xml:space="preserve">Samuel Chekroun – CEO, Hubway</t>
  </si>
  <si>
    <t xml:space="preserve">Samuel Chekroun</t>
  </si>
  <si>
    <t xml:space="preserve">Hubway</t>
  </si>
  <si>
    <t xml:space="preserve">IBS Workshop Transformation into an agentic AI lead loyalty and aviation organisation **REGISTRATION REQUIRED - Airline &amp; Airport access only anyone else will be turned away**</t>
  </si>
  <si>
    <t xml:space="preserve">Christopher Branagan</t>
  </si>
  <si>
    <t xml:space="preserve">Track3, Pavilion 1</t>
  </si>
  <si>
    <t xml:space="preserve">Connecting Airlines is only the beginning (From fragmented airline distribution to intelligent corporate travel management)</t>
  </si>
  <si>
    <t xml:space="preserve">Abdurrahman Ural – CCO, AIRVIATECH</t>
  </si>
  <si>
    <t xml:space="preserve">Abdurrahman Ural</t>
  </si>
  <si>
    <t xml:space="preserve">AIRVIATECH</t>
  </si>
  <si>
    <t xml:space="preserve">Adobe Workshop: Beyond the co-pilot: The next era of customer experience **REGISRATION REQUIRED**</t>
  </si>
  <si>
    <t xml:space="preserve">Gemma Carver
Bettina Pickl</t>
  </si>
  <si>
    <t xml:space="preserve">Gemma Carver, Bettina Pickl</t>
  </si>
  <si>
    <t xml:space="preserve">Track 2 (Pavilion 2)</t>
  </si>
  <si>
    <t xml:space="preserve">Track 2, Pavilion 2</t>
  </si>
  <si>
    <t xml:space="preserve">Operational resilience isn't built in the Ops center. It's built in the roster. **Registration required**</t>
  </si>
  <si>
    <t xml:space="preserve">Lauren Mann
Kevin Ma
Gregory Stephans</t>
  </si>
  <si>
    <t xml:space="preserve">Lauren Mann, Kevin Ma, Gregory Stephans</t>
  </si>
  <si>
    <t xml:space="preserve">OpenAir — Agentic Revolution for Airlines Customer Services</t>
  </si>
  <si>
    <t xml:space="preserve">Jaime Fernandez – CEO, Openair</t>
  </si>
  <si>
    <t xml:space="preserve">Jaime Fernandez</t>
  </si>
  <si>
    <t xml:space="preserve">Openair</t>
  </si>
  <si>
    <t xml:space="preserve">Star Alliance CEOs Panel: From fragmented to frictionless: Rethinking alliance travel</t>
  </si>
  <si>
    <t xml:space="preserve">Theo Panagiotoulias – Chief Executive Officer, Star Alliance
Luís Rodrigues – Chief Executive Officer, Tap Air Portugal
Joerg Eberhart – Chief Executive Officer, ITA-Airways</t>
  </si>
  <si>
    <t xml:space="preserve">Theo Panagiotoulias, Luís Rodrigues, Joerg Eberhart</t>
  </si>
  <si>
    <t xml:space="preserve">Star Alliance, Tap Air Portugal, ITA-Airways</t>
  </si>
  <si>
    <t xml:space="preserve">Your AI assistants are now booking your flights</t>
  </si>
  <si>
    <t xml:space="preserve">Dimitri Ewald – Head of Growth Europe, ALPIC</t>
  </si>
  <si>
    <t xml:space="preserve">Dimitri Ewald</t>
  </si>
  <si>
    <t xml:space="preserve">ALPIC</t>
  </si>
  <si>
    <t xml:space="preserve">Half of what we load is thrown away. Is a 25% waste rate achievable today?</t>
  </si>
  <si>
    <t xml:space="preserve">Manuel Hübschmann – Chief Solution Advisor, Viktio</t>
  </si>
  <si>
    <t xml:space="preserve">Manuel Hübschmann</t>
  </si>
  <si>
    <t xml:space="preserve">Viktio</t>
  </si>
  <si>
    <t xml:space="preserve">Aviation Connect: Session 4</t>
  </si>
  <si>
    <t xml:space="preserve">Commercial leaders fireside chat: Paul Verhagen, CCO, SAS</t>
  </si>
  <si>
    <t xml:space="preserve">Paul Verhagen – Executive Vice President and Chief Commercial Officer, SAS
Henry Harteveldt – Travel Industry Analyst, Atmosphere Research Group</t>
  </si>
  <si>
    <t xml:space="preserve">Paul Verhagen, Henry Harteveldt</t>
  </si>
  <si>
    <t xml:space="preserve">SAS, Atmosphere Research Group</t>
  </si>
  <si>
    <t xml:space="preserve">Keynote Stage, Pavilion 1</t>
  </si>
  <si>
    <t xml:space="preserve">Fireside Chat: Building an AI-led airline – from ambition to execution</t>
  </si>
  <si>
    <t xml:space="preserve">Ahmed Naeemi – Chief Information Officer, Gulf Air Group
Guido Woska – Chief Client Officer &amp; Executive Partner, Manyone</t>
  </si>
  <si>
    <t xml:space="preserve">Ahmed Naeemi, Guido Woska</t>
  </si>
  <si>
    <t xml:space="preserve">Gulf Air Group, Manyone</t>
  </si>
  <si>
    <t xml:space="preserve">Fireside chat: Putting the customer first with data driven decision making at Iberia</t>
  </si>
  <si>
    <t xml:space="preserve">Beatriz Guillen – Chief Customer Officer, Iberia
Jerry Angrave – Customer Experience Director, Empathyce</t>
  </si>
  <si>
    <t xml:space="preserve">Beatriz Guillen, Jerry Angrave</t>
  </si>
  <si>
    <t xml:space="preserve">Iberia, Empathyce</t>
  </si>
  <si>
    <t xml:space="preserve">Presentation: Driving efficiency in innovation with AI: finding real value and impact at TUI</t>
  </si>
  <si>
    <t xml:space="preserve">Manjinder Singh – Head of Airline Data Science &amp; Analytics, TUI GROUP</t>
  </si>
  <si>
    <t xml:space="preserve">Manjinder Singh</t>
  </si>
  <si>
    <t xml:space="preserve">TUI GROUP</t>
  </si>
  <si>
    <t xml:space="preserve">Fireside Chat: Bringing the benefits of NDC to corporates: Delivering seamless booking and travel management capabilities for high value travellers</t>
  </si>
  <si>
    <t xml:space="preserve">Paloma Sanz de Andino Jimenéz – NDC Onboarding and Operation Manager, Iberia
Dennis Cary – Managing Director, Cary Strategic Advisory
Rita Ribeiro – Head of General Services, EDP</t>
  </si>
  <si>
    <t xml:space="preserve">Paloma Sanz de Andino Jimenéz, Dennis Cary, Rita Ribeiro</t>
  </si>
  <si>
    <t xml:space="preserve">Iberia, Cary Strategic Advisory, EDP</t>
  </si>
  <si>
    <t xml:space="preserve">Fireside Chat with Cassie Schmid, Chief Strategy Officer, Philadelphia International Airport</t>
  </si>
  <si>
    <t xml:space="preserve">Cassie Schmid – Chief Strategy Officer, Philadelphia International Airport
Peta Wolmarans – Vice President, Ricondo</t>
  </si>
  <si>
    <t xml:space="preserve">Cassie Schmid, Peta Wolmarans</t>
  </si>
  <si>
    <t xml:space="preserve">Philadelphia International Airport, Ricondo</t>
  </si>
  <si>
    <t xml:space="preserve">Fireside Chat: Jan Petter Steinland, Director Strategic Analysis and Transformation, CAA Norway</t>
  </si>
  <si>
    <t xml:space="preserve">Jan Petter Steinland – Director Strategic Analysis &amp; Transformation, Civil Aviation Authority Norway
Patrick Edmond – Chief Commercial Officer, Future Energy Global</t>
  </si>
  <si>
    <t xml:space="preserve">Jan Petter Steinland, Patrick Edmond</t>
  </si>
  <si>
    <t xml:space="preserve">Civil Aviation Authority Norway, Future Energy Global</t>
  </si>
  <si>
    <t xml:space="preserve">Presentation: Airline retailing progress - what do airline employees really think?</t>
  </si>
  <si>
    <t xml:space="preserve">Ann Cederhall – Owner, LeapShift</t>
  </si>
  <si>
    <t xml:space="preserve">Ann Cederhall</t>
  </si>
  <si>
    <t xml:space="preserve">LeapShift</t>
  </si>
  <si>
    <t xml:space="preserve">From Frequent Flyer to Founder: The Story Behind Stand-By Transforming the Boarding Experience</t>
  </si>
  <si>
    <t xml:space="preserve">Cesar Hueso – Founder, Stand-By CHO Systems</t>
  </si>
  <si>
    <t xml:space="preserve">Cesar Hueso</t>
  </si>
  <si>
    <t xml:space="preserve">Stand-By CHO Systems</t>
  </si>
  <si>
    <t xml:space="preserve">Fireside Chat: Airline &amp; airport partnerships – aligning operations, experience and commercial outcomes</t>
  </si>
  <si>
    <t xml:space="preserve">Girish Nair – Chief Operating Officer, Bangalore International Airport
Simon Wilcox – Founder and CEO, Wordsworth Consulting Ltd</t>
  </si>
  <si>
    <t xml:space="preserve">Girish Nair, Simon Wilcox</t>
  </si>
  <si>
    <t xml:space="preserve">Bangalore International Airport, Wordsworth Consulting Ltd</t>
  </si>
  <si>
    <t xml:space="preserve">Fireside Chat: The customer side of airline payments – trust, loyalty and engagement</t>
  </si>
  <si>
    <t xml:space="preserve">Joao Frias – Head of Payments Strategy &amp; Global Fraud, Tap Air Portugal
Louis Wapler – Manager, Edgar, Dunn &amp; Company</t>
  </si>
  <si>
    <t xml:space="preserve">Joao Frias, Louis Wapler</t>
  </si>
  <si>
    <t xml:space="preserve">Tap Air Portugal, Edgar, Dunn &amp; Company</t>
  </si>
  <si>
    <t xml:space="preserve">Fireside Chat: Chasing the golden goose: Optimising revenue whilst protecting loyalty value in a pressurised environment.</t>
  </si>
  <si>
    <t xml:space="preserve">DANIEL BRETT – Manager, Revenue Management - Loyalty Programs &amp; Flight Pass, Air Canada
Harald Deprosse – Partner, Envolved GmbH</t>
  </si>
  <si>
    <t xml:space="preserve">DANIEL BRETT, Harald Deprosse</t>
  </si>
  <si>
    <t xml:space="preserve">Air Canada, Envolved GmbH</t>
  </si>
  <si>
    <t xml:space="preserve">Presentation: Sustainability strategy - delivering carbon neutrality in a competitive low-cost model</t>
  </si>
  <si>
    <t xml:space="preserve">Takuya MATSUO – Executive officer/CMO, Strategy Lead, ZIPAIR Tokyo</t>
  </si>
  <si>
    <t xml:space="preserve">Takuya MATSUO</t>
  </si>
  <si>
    <t xml:space="preserve">Presentation: An introduction to beyond: Turkish Technology modern airline retailing platform</t>
  </si>
  <si>
    <t xml:space="preserve">Serdar Gurbuz – CEO, Turkish Technology</t>
  </si>
  <si>
    <t xml:space="preserve">Serdar Gurbuz</t>
  </si>
  <si>
    <t xml:space="preserve">Turkish Technology</t>
  </si>
  <si>
    <t xml:space="preserve">Why 89% of Travel Checkouts Fail – and How Identity Fixes It</t>
  </si>
  <si>
    <t xml:space="preserve">Kameron Bertine – CEO and Cofounder, Movmo</t>
  </si>
  <si>
    <t xml:space="preserve">Kameron Bertine</t>
  </si>
  <si>
    <t xml:space="preserve">Movmo</t>
  </si>
  <si>
    <t xml:space="preserve">Fireside Chat: Inside the OCC: what really works with data and Ai</t>
  </si>
  <si>
    <t xml:space="preserve">Paulo Aguiar – VP of Airline Solutions &amp; Strategy, Amach
Choorah Singh Ark – Managing Director, Ark Advisory</t>
  </si>
  <si>
    <t xml:space="preserve">Paulo Aguiar, Choorah Singh Ark</t>
  </si>
  <si>
    <t xml:space="preserve">Amach, Ark Advisory</t>
  </si>
  <si>
    <t xml:space="preserve">Choorah Singh, who has led operations at Air India and Ryanair, joins Paulo Aguiar from Amach for an honest conversation from inside the Operations Control Centre: what really works with data and AI when the day goes wrong, what doesn’t, and what every airline should fix before buying its next AI tool.</t>
  </si>
  <si>
    <t xml:space="preserve">Fireside Chat: Elevating economy: How TAP Air Portugal is redefining the premium experience to drive growth</t>
  </si>
  <si>
    <t xml:space="preserve">Henri-Charles Ozarovsky – Group Head of Strategy &amp; SVP Strategy, Alliances &amp; Partnerships, Tap Air Portugal</t>
  </si>
  <si>
    <t xml:space="preserve">Henri-Charles Ozarovsky</t>
  </si>
  <si>
    <t xml:space="preserve">Track 2, Pavilion 1</t>
  </si>
  <si>
    <t xml:space="preserve">Presentation: Beyond discoverability: Who owns the offer in the age of AI?</t>
  </si>
  <si>
    <t xml:space="preserve">Schafer Newman – Strategy and Insights Manager, ZS Associates
Massimo Morin – Global Head, Travel, AWS for Travel and Hospitality, Amazon Web Services, Inc. (SEA54)</t>
  </si>
  <si>
    <t xml:space="preserve">Schafer Newman, Massimo Morin</t>
  </si>
  <si>
    <t xml:space="preserve">ZS Associates, Amazon Web Services, Inc. (SEA54)</t>
  </si>
  <si>
    <t xml:space="preserve">Panel: The 'Everyday' Ecosystem – Integrating real-time loyalty into the daily life</t>
  </si>
  <si>
    <t xml:space="preserve">Phillip Dugaw – Director partner strategy, American airlines
Kai Paroma – Manager, Loyalty Partnerships, Finnair
Yilmaz Gorali – Vice President, Airline Retailing - Product Development, Turkish Technology</t>
  </si>
  <si>
    <t xml:space="preserve">Phillip Dugaw, Kai Paroma, Yilmaz Gorali</t>
  </si>
  <si>
    <t xml:space="preserve">American airlines, Finnair, Turkish Technology</t>
  </si>
  <si>
    <t xml:space="preserve">Presentation: Beyond trends and analytics: The rise of connected aviation intelligence</t>
  </si>
  <si>
    <t xml:space="preserve">Cam Price – Senior Data Scientist, Cirium</t>
  </si>
  <si>
    <t xml:space="preserve">Cam Price</t>
  </si>
  <si>
    <t xml:space="preserve">Cirium</t>
  </si>
  <si>
    <t xml:space="preserve">• Aviation organizations have more data than ever before, yet critical decisions still depend on analysts manually piecing together information across disconnected systems, teams and datasets. As data volumes grow and AI becomes more widely available, the challenge is no longer accessing information, it's turning it into intelligence.
• This session explores how aviation can move from fragmented data to connected intelligence. Through real-world examples, discover how combining trusted aviation data, AI-powered analytics and connected relationships across organizations, assets, operations and market dynamics can reveal impacts faster, enabling organizations to improve performance and make more confident decisions.</t>
  </si>
  <si>
    <t xml:space="preserve">Presentation: Aeronova: Building the intelligent enterprise for the next generation airline</t>
  </si>
  <si>
    <t xml:space="preserve">Erika Moore – Chief Officer Strategy and Growth, TTH, Coforge U.k. Limited</t>
  </si>
  <si>
    <t xml:space="preserve">Erika Moore</t>
  </si>
  <si>
    <t xml:space="preserve">Coforge U.k. Limited</t>
  </si>
  <si>
    <t xml:space="preserve">Presentation: Train for the Disruption: Building Operational Resilience Before Things Go Wrong</t>
  </si>
  <si>
    <t xml:space="preserve">Enzo Skandella – VP Commercial – Global Aviation, Draxon</t>
  </si>
  <si>
    <t xml:space="preserve">Enzo Skandella</t>
  </si>
  <si>
    <t xml:space="preserve">Draxon</t>
  </si>
  <si>
    <t xml:space="preserve">Fireside Chat: Why flexible payments are becoming a revenue driver for airlines, not just a checkout feature.</t>
  </si>
  <si>
    <t xml:space="preserve">Samer Alhaider – Senior Manager Online Sales, Emirates Airline
Bryony Macdonald – Head of Partner Success, UK, Klarna</t>
  </si>
  <si>
    <t xml:space="preserve">Samer Alhaider, Bryony Macdonald</t>
  </si>
  <si>
    <t xml:space="preserve">Emirates Airline, Klarna</t>
  </si>
  <si>
    <t xml:space="preserve">From Friction to Flow: How TravelDoc Compliance Shapes the Passenger Experience</t>
  </si>
  <si>
    <t xml:space="preserve">Harry Owen – Product Solutions Manager, ICTS Europe Systems</t>
  </si>
  <si>
    <t xml:space="preserve">Harry Owen</t>
  </si>
  <si>
    <t xml:space="preserve">ICTS Europe Systems</t>
  </si>
  <si>
    <t xml:space="preserve">Fireside Chat: Every minute matters: how Ryanair is digitising fuel operations at scale</t>
  </si>
  <si>
    <t xml:space="preserve">Alex Mattos – Co-Founder &amp; Managing Director, i6 Group
Steven Fitzgerald – Director of Sustainability &amp; Finance, Ryanair Holdings PLC</t>
  </si>
  <si>
    <t xml:space="preserve">Alex Mattos, Steven Fitzgerald</t>
  </si>
  <si>
    <t xml:space="preserve">i6 Group, Ryanair Holdings PLC</t>
  </si>
  <si>
    <t xml:space="preserve">Aviation Digitised Every Document Except One: Why Pet Documents Never Made the Transition</t>
  </si>
  <si>
    <t xml:space="preserve">Lauren Anders Brown – CEO &amp; Founder, PadsPass</t>
  </si>
  <si>
    <t xml:space="preserve">Lauren Anders Brown</t>
  </si>
  <si>
    <t xml:space="preserve">PadsPass</t>
  </si>
  <si>
    <t xml:space="preserve">Presentation: When machines shop: The new rules of airline retailing</t>
  </si>
  <si>
    <t xml:space="preserve">Surain Adyanthaya – President, PROS</t>
  </si>
  <si>
    <t xml:space="preserve">Surain Adyanthaya</t>
  </si>
  <si>
    <t xml:space="preserve">PROS</t>
  </si>
  <si>
    <t xml:space="preserve">• AI assistants are changing how travelers discover flights and which businesses capture their bookings. PROS research across 80 carriers found that AI referrals drove flight search initiation, a validated proxy for booking, more than seven percentage points above Google Organic. Yet the majority of AI answers naming an airline included no direct link to the carrier.
• What happens when the machine becomes the shopper? This session explores the implications for airline visibility, retailing, and distribution and why being recommended by AI may not be enough to win the customer.</t>
  </si>
  <si>
    <t xml:space="preserve">Presentation: The agentic IROPS: Automating cancellation and passenger recovery at scale</t>
  </si>
  <si>
    <t xml:space="preserve">Alex Desbans – Lead FDE, HappyRobot</t>
  </si>
  <si>
    <t xml:space="preserve">Alex Desbans</t>
  </si>
  <si>
    <t xml:space="preserve">HappyRobot</t>
  </si>
  <si>
    <t xml:space="preserve">Panel: Data platforms, interoperability and AI – are our foundations ready for scale?</t>
  </si>
  <si>
    <t xml:space="preserve">Mustafa Egilmezbilek – CIO, SunExpress Airlines
Ahmed Naeemi – Chief Information Officer, Gulf Air Group
Paulo Aguiar – VP of Airline Solutions &amp; Strategy, Amach</t>
  </si>
  <si>
    <t xml:space="preserve">Mustafa Egilmezbilek, Ahmed Naeemi, Paulo Aguiar</t>
  </si>
  <si>
    <t xml:space="preserve">SunExpress Airlines, Gulf Air Group, Amach</t>
  </si>
  <si>
    <t xml:space="preserve">• What does a modern data foundation look like across airline operations, commercial platforms and customer systems?
• How are we using cloud to unify data, scale platforms and support real-time decision making?
• How critical is interoperability between core systems, distribution, operations and partners to unlocking real value?
• Where are airlines still constrained – legacy architecture, integration complexity or fragmented data ownership?
• How do we ensure AI enhances decision-making rather than amplifying poor data or disconnected systems?
• At what point do advanced analytics and AI move from isolated use cases to embedded operational capabilities?</t>
  </si>
  <si>
    <t xml:space="preserve">The Intelligent Cabin: Live Announcement Captioning, Real-Time Translation &amp; a Flight-Aware AI Concierge</t>
  </si>
  <si>
    <t xml:space="preserve">Ali Akbarian – CEO, InovativAI Ltd.</t>
  </si>
  <si>
    <t xml:space="preserve">Ali Akbarian</t>
  </si>
  <si>
    <t xml:space="preserve">InovativAI Ltd.</t>
  </si>
  <si>
    <t xml:space="preserve">How are airlines and their partners are reshaping distribution, retail and the commercial landscape for the modern world</t>
  </si>
  <si>
    <t xml:space="preserve">Maddalena Mirai – VP IAG Group Commercial Strategy, IAG
Ivan Ordas Villamandos – Head of Distribution and Alliances, Frontier Airlines
Rolf Thomke – Head of Digital Distribution Europe, Singapore Airlines Limited</t>
  </si>
  <si>
    <t xml:space="preserve">Maddalena Mirai, Ivan Ordas Villamandos, Rolf Thomke</t>
  </si>
  <si>
    <t xml:space="preserve">IAG, Frontier Airlines, Singapore Airlines Limited</t>
  </si>
  <si>
    <t xml:space="preserve">• What role will AI play in offer creation, pricing, merchandising and servicing over the next five years?
• Where are airlines seeing the greatest commercial returns from NDC, dynamic offers and modern retailing?
• Has the industry moved beyond simply implementing NDC to delivering genuine retail transformation?</t>
  </si>
  <si>
    <t xml:space="preserve">Panel: Beyond transactions – loyalty, embedded finance and the future of customer engagement?</t>
  </si>
  <si>
    <t xml:space="preserve">Sean Holdstock – Head of Aviation EMEA, Antom
Joao Frias – Head of Payments Strategy &amp; Global Fraud, Tap Air Portugal
Ian Citulsky – SVP Air and Canada, Flex Pay</t>
  </si>
  <si>
    <t xml:space="preserve">Sean Holdstock, Joao Frias, Ian Citulsky</t>
  </si>
  <si>
    <t xml:space="preserve">Antom, Tap Air Portugal, Flex Pay</t>
  </si>
  <si>
    <t xml:space="preserve">• Are airline financial products becoming core to customer strategy?
• How do payment experiences influence loyalty and retention?
• Where do wallets, BNPL and flexible payments genuinely improve customer experience?
• How are airlines balancing monetisation with trust?
• What role does personalisation play in airline commerce?
• Could airlines evolve into broader travel-financial ecosystems?</t>
  </si>
  <si>
    <t xml:space="preserve">Presentation: Scaling insight-driven action with agentic AI</t>
  </si>
  <si>
    <t xml:space="preserve">Danielle Harvey – VP, Travel &amp; Hospitality Strategy, Quantum Metric (UK) Limited</t>
  </si>
  <si>
    <t xml:space="preserve">Danielle Harvey</t>
  </si>
  <si>
    <t xml:space="preserve">Quantum Metric (UK) Limited</t>
  </si>
  <si>
    <t xml:space="preserve">Panel: Building joint operational resilience - how do airports, airlines and handlers move beyond parallel responses?</t>
  </si>
  <si>
    <t xml:space="preserve">Adam Schipper – Global Aviation Lead, Ericsson
Chamith Seneviratne – Manager, Airport Operations, Air Canada
Marc-Philippe Lumpé – Chief Operations Officer, Air Transat</t>
  </si>
  <si>
    <t xml:space="preserve">Adam Schipper, Chamith Seneviratne, Marc-Philippe Lumpé</t>
  </si>
  <si>
    <t xml:space="preserve">Ericsson, Air Canada, Air Transat</t>
  </si>
  <si>
    <t xml:space="preserve">• During disruption, where do responsibilities still fracture across airports, airlines and ground handlers?
• What real-time data sharing is needed to move from reactive responses to proactive joint decision-making?
• How can we align incentives when operational KPIs and performance metrics differ?
• Which digital tools are genuinely improving operational coordination across the ecosystem?
• What would a truly integrated and resilient airport operating model look like over the next five years?</t>
  </si>
  <si>
    <t xml:space="preserve">Panel: What is the future for airline ancillary products? Exploring new opportunities, products and services customers value</t>
  </si>
  <si>
    <t xml:space="preserve">Surya Kuchibotla – VP eCommerce, Ancillary and Retailing, OMAN AIR
Sharon Huetson – Head of Proposition, easyJet
Patrick Dowling – VP Partnerships, Airalo</t>
  </si>
  <si>
    <t xml:space="preserve">Surya Kuchibotla, Sharon Huetson, Patrick Dowling</t>
  </si>
  <si>
    <t xml:space="preserve">OMAN AIR, easyJet, Airalo</t>
  </si>
  <si>
    <t xml:space="preserve">• There has been a rise in airlines launching full holiday packages: what is the right strategy for airlines wanting to enter this market?
• What trends are our panellists seeing in ancillary products, where are customers truly willing to spend?
• How can airlines encourage further ancillary spend with personalised and smart upgrade offerings?</t>
  </si>
  <si>
    <t xml:space="preserve">Panel: Designing seamless passenger journeys in an increasingly complex airport environment</t>
  </si>
  <si>
    <t xml:space="preserve">Anvar Kasimov – Head of the Strategic Development, Project Management and International Relations Department, Uzbekistan Airports JSC
Cassie Schmid – Chief Strategy Officer, Philadelphia International Airport
Mike Hardaker – Chief Asset and Development Officer, Manchester Airport Group</t>
  </si>
  <si>
    <t xml:space="preserve">Anvar Kasimov, Cassie Schmid, Mike Hardaker</t>
  </si>
  <si>
    <t xml:space="preserve">Uzbekistan Airports JSC, Philadelphia International Airport, Manchester Airport Group</t>
  </si>
  <si>
    <t xml:space="preserve">• Where are passengers still experiencing unnecessary friction across the airport journey?
• How can airports deliver additional capacity and improve passenger flow?
• What digital foundations and connected infrastructure need to be in place to enable smarter airport operations and seamless passenger journeys?
• Where are biometrics, digital identity and automation genuinely improving accessibility, confidence and the passenger experience?
• How do airports balance long-term infrastructure investment with ongoing operations, commercial priorities and changing passenger expectations?
• As airports expand and modernise, how do we integrate legacy infrastructure with the next generation of connected airports?</t>
  </si>
  <si>
    <t xml:space="preserve">Presentation: Rethinking sustainability innovation – from pilots to real infrastructure</t>
  </si>
  <si>
    <t xml:space="preserve">Alexandra Halberg Hüneburg-Møller – Senior Innovation Manager, CPH Airport</t>
  </si>
  <si>
    <t xml:space="preserve">Alexandra Halberg Hüneburg-Møller</t>
  </si>
  <si>
    <t xml:space="preserve">CPH Airport</t>
  </si>
  <si>
    <t xml:space="preserve">The Future of Baggage Identification: Identify, Track &amp; Assess Damage from a Photo</t>
  </si>
  <si>
    <t xml:space="preserve">Dilan Toplu – Sales Manager, PixoAnalytics</t>
  </si>
  <si>
    <t xml:space="preserve">Dilan Toplu</t>
  </si>
  <si>
    <t xml:space="preserve">PixoAnalytics</t>
  </si>
  <si>
    <t xml:space="preserve">Commercial Leaders Panel: Shaping smart commercial strategy in the age of AI &amp; heightened competition</t>
  </si>
  <si>
    <t xml:space="preserve">Paul Verhagen – Executive Vice President and Chief Commercial Officer, SAS
Karim Makhlouf – Chief Commercial Officer, Royal Jordanian Airlines
Henri-Charles Ozarovsky – Group Head of Strategy &amp; SVP Strategy, Alliances &amp; Partnerships, Tap Air Portugal</t>
  </si>
  <si>
    <t xml:space="preserve">Paul Verhagen, Karim Makhlouf, Henri-Charles Ozarovsky</t>
  </si>
  <si>
    <t xml:space="preserve">SAS, Royal Jordanian Airlines, Tap Air Portugal</t>
  </si>
  <si>
    <t xml:space="preserve">• How are airlines navigating a dynamic and complex pricing environment to drive growth?
• What will the future of customer behaviour with AI mean for visibility, sales and brand recognition?
• What are the new opportunities for ancillary sales? Identifying growth from onboard connectivity to premiumisation?
• How is technology creating new levels of insight for commercial decision making and investment?
• How are we understanding customer behaviour in an age of increasing geopolitical uncertainty?</t>
  </si>
  <si>
    <t xml:space="preserve">Presentation: Dr. Sebastian Stiebel, Business Development Manager Green Hydrogen &amp; Carbon Management, Fraunhofer UMSICHT</t>
  </si>
  <si>
    <t xml:space="preserve">Sebastian Stiessel – Business Development Manager Green Hydrogen &amp; Carbon Management, Fraunhofer UMSICHT</t>
  </si>
  <si>
    <t xml:space="preserve">Sebastian Stiessel</t>
  </si>
  <si>
    <t xml:space="preserve">Fraunhofer UMSICHT</t>
  </si>
  <si>
    <t xml:space="preserve">Panel: Shaping a data driven customer experience strategy with cutting edge customer insights</t>
  </si>
  <si>
    <t xml:space="preserve">Maciej Kowalówczany – Head of Customer Experience Strategy, LOT Polish Airlines
Frank de Boer – Director Data and Technology | Customer Loyalty | Flying Blue, Air France / KLM
Matthew Walker – Head of Marketing, Plan3</t>
  </si>
  <si>
    <t xml:space="preserve">Maciej Kowalówczany, Frank de Boer, Matthew Walker</t>
  </si>
  <si>
    <t xml:space="preserve">LOT Polish Airlines, Air France / KLM, Plan3</t>
  </si>
  <si>
    <t xml:space="preserve">• Exploring the benefits of prioritising data-driven decision making
• How are airlines using data &amp; AI to shape smart customer experience strategy?
• Adopting an agile mindset within a structured strategy to test and innovate faster to identify golden opportunities
• Sharing how data insights influence investment decisions and product development</t>
  </si>
  <si>
    <t xml:space="preserve">Panel: Sharing insights into embedding Agentic AI across the Aviation business</t>
  </si>
  <si>
    <t xml:space="preserve">Shiv Nayak – Head of Data and AI Architecture, easyJet
Ihsan Bari – Head of Contracts &amp; Performance, Etihad Airways
Abdulrahman Alkhatabi – Senior Manager Crew Utilization, Saudia</t>
  </si>
  <si>
    <t xml:space="preserve">Shiv Nayak, Ihsan Bari, Abdulrahman Alkhatabi</t>
  </si>
  <si>
    <t xml:space="preserve">easyJet, Etihad Airways, Saudia</t>
  </si>
  <si>
    <t xml:space="preserve">Closing the airline data-to-decision gap: Detecting revenue leakage and prioritizing commercial action</t>
  </si>
  <si>
    <t xml:space="preserve">Thibaut Gardien – CEO &amp; Co-Founder, Xairlerate</t>
  </si>
  <si>
    <t xml:space="preserve">Thibaut Gardien</t>
  </si>
  <si>
    <t xml:space="preserve">Xairlerate</t>
  </si>
  <si>
    <t xml:space="preserve">Panel: Smarter fuelling &amp; operational efficiency – how digital operations can reduce emissions today</t>
  </si>
  <si>
    <t xml:space="preserve">Jonathan Hankin – Head of ESG, Menzies Aviation
Alex Mattos – Co-Founder &amp; Managing Director, i6 Group
David Buckley – Flight Operations Manager - Efficiencies &amp; Sustainability, easyJet</t>
  </si>
  <si>
    <t xml:space="preserve">Jonathan Hankin, Alex Mattos, David Buckley</t>
  </si>
  <si>
    <t xml:space="preserve">Menzies Aviation, i6 Group, easyJet</t>
  </si>
  <si>
    <t xml:space="preserve">• Where do disconnected fuelling and turnaround workflows still create delays and fuel waste?
• How can real-time fuel data improve operational efficiency and reporting accuracy?
• What operational gains are airlines seeing from digital fuelling and integrated turnaround systems?
• How do operators balance efficiency, resilience and sustainability targets?
• Which operational technologies are delivering measurable emissions reductions today?
• Why do so many operational sustainability projects fail to scale?</t>
  </si>
  <si>
    <t xml:space="preserve">Diagnosing the Customer Experience: From Metrics to Meaningful Action</t>
  </si>
  <si>
    <t xml:space="preserve">Laura Shrimpling – Founder, Wayfinding CXi</t>
  </si>
  <si>
    <t xml:space="preserve">Laura Shrimpling</t>
  </si>
  <si>
    <t xml:space="preserve">Wayfinding CXi</t>
  </si>
  <si>
    <t xml:space="preserve">Chair closing remarks</t>
  </si>
  <si>
    <t xml:space="preserve">Presentation: Driving Airline Revenue with AI: A Live Case Study</t>
  </si>
  <si>
    <t xml:space="preserve">Yuval Hochberg – VP Product Strategy &amp; Sales, Fetcherr Ltd
Felix Velazquez – Chief Revenue Officer, Vivaaerobus</t>
  </si>
  <si>
    <t xml:space="preserve">Yuval Hochberg, Felix Velazquez</t>
  </si>
  <si>
    <t xml:space="preserve">Fetcherr Ltd, Vivaaerobus</t>
  </si>
  <si>
    <t xml:space="preserve">Data Leaders Panel: Maximising benefits for aviation with smart data strategies and AI investment</t>
  </si>
  <si>
    <t xml:space="preserve">Ben Dias – Chief AI Scientist, IAG
Mustafa Egilmezbilek – CIO, SunExpress Airlines
Ben Maynard – Director AI &amp; Customer Experience, OAG</t>
  </si>
  <si>
    <t xml:space="preserve">Ben Dias, Mustafa Egilmezbilek, Ben Maynard</t>
  </si>
  <si>
    <t xml:space="preserve">IAG, SunExpress Airlines, OAG</t>
  </si>
  <si>
    <t xml:space="preserve">• What are the biggest barriers for airlines to truly harness the power of science &amp; AI?
• In our panellists view, will AI dramatically disrupt the aviation industry or are the benefits over-hyped?
• Where will the most impactful benefits from AI and ML come in the aviation business and where are our panellists investing?
• As a quickly evolving technology, how are organisations preparing a solid platform for future innovation: investing in guardrails, safety and strong data foundations
• Evaluating the threat of agentic AI: will AI Agents turn the aviation business model on its head?</t>
  </si>
  <si>
    <t xml:space="preserve">Aviation Connect: Session 7</t>
  </si>
  <si>
    <t xml:space="preserve">Fast &amp; Slow Social: Driving engagement with smart social media strategy</t>
  </si>
  <si>
    <t xml:space="preserve">Michael Corcoran – Co-Founder, Slice Social
Oisin Lunny – Event MC, Journalist, Podcast and Webinar Host, Galaxy of OM, S.L.</t>
  </si>
  <si>
    <t xml:space="preserve">Michael Corcoran, Oisin Lunny</t>
  </si>
  <si>
    <t xml:space="preserve">Slice Social, Galaxy of OM, S.L.</t>
  </si>
  <si>
    <t xml:space="preserve">Keynote Interview with Lars Redeligx, CEO, Düsseldorf Airport</t>
  </si>
  <si>
    <t xml:space="preserve">Lars Redeligx – CEO, Dusseldorf Airport
Luis Felipe De Oliveira – Executive Director and CEO, Exactly Consulting and Services Sarl</t>
  </si>
  <si>
    <t xml:space="preserve">Lars Redeligx, Luis Felipe De Oliveira</t>
  </si>
  <si>
    <t xml:space="preserve">Dusseldorf Airport, Exactly Consulting and Services Sarl</t>
  </si>
  <si>
    <t xml:space="preserve">Fireside Chat with Amy Burr, CEO, SKY VC</t>
  </si>
  <si>
    <t xml:space="preserve">Amy Burr – CEO, SKY VC
Lennart Dobravsky – Managing Director, Research+Attitude</t>
  </si>
  <si>
    <t xml:space="preserve">Amy Burr, Lennart Dobravsky</t>
  </si>
  <si>
    <t xml:space="preserve">SKY VC, Research+Attitude</t>
  </si>
  <si>
    <t xml:space="preserve">Keynote Panel: Defining the airport of the future – technology, partnerships and people</t>
  </si>
  <si>
    <t xml:space="preserve">Lars Redeligx – CEO, Dusseldorf Airport
Olubunmi Kuku – Managing Director/Chief Executive, FEDERAL AIRPORTS AUTHORITY OF NIGERIA
Javlonbek Umarkhodjaev – Chairman of the Management Board, Uzbekistan Airports JSC</t>
  </si>
  <si>
    <t xml:space="preserve">Lars Redeligx, Olubunmi Kuku, Javlonbek Umarkhodjaev</t>
  </si>
  <si>
    <t xml:space="preserve">Dusseldorf Airport, FEDERAL AIRPORTS AUTHORITY OF NIGERIA, Uzbekistan Airports JSC</t>
  </si>
  <si>
    <t xml:space="preserve">• How are airports evolving beyond transport infrastructure into mobility, economic and community hubs?
• As automation and digital services expand, how do we preserve the human side of travel?
• What role do airlines, airports and ground handlers each play in shaping the passenger journey?
• How can the industry collaborate more effectively to deliver growth, resilience and sustainability?
• What will distinguish the leading airports of the next decade?</t>
  </si>
  <si>
    <t xml:space="preserve">Investor Panel: Innovation at a crossroads – where are aviation’s next big bets?</t>
  </si>
  <si>
    <t xml:space="preserve">Amy Burr – CEO, SKY VC
Cara Whitehill – Operating Partner, Thayer Investment Partners
Amir Amidi – Managing Partner, Plug and Play Tech Center</t>
  </si>
  <si>
    <t xml:space="preserve">Amy Burr, Cara Whitehill, Amir Amidi</t>
  </si>
  <si>
    <t xml:space="preserve">SKY VC, Thayer Investment Partners, Plug and Play Tech Center</t>
  </si>
  <si>
    <t xml:space="preserve">Aviation Connect: Session 5</t>
  </si>
  <si>
    <t xml:space="preserve">Your chatbot knows everything. Except how to help.</t>
  </si>
  <si>
    <t xml:space="preserve">Tiernan Mines – CEO &amp; Co-Founder, Hello Airport</t>
  </si>
  <si>
    <t xml:space="preserve">Tiernan Mines</t>
  </si>
  <si>
    <t xml:space="preserve">Hello Airport</t>
  </si>
  <si>
    <t xml:space="preserve">Fireside Chat: Executing Offer &amp; Order – balancing innovation with operational reality</t>
  </si>
  <si>
    <t xml:space="preserve">Dan Fischer – Head of Digital Product, Strategy &amp; Design, Virgin Australia
Mark Lenahan – Consultant, Lenahan Consulting Ltd</t>
  </si>
  <si>
    <t xml:space="preserve">Dan Fischer, Mark Lenahan</t>
  </si>
  <si>
    <t xml:space="preserve">Virgin Australia, Lenahan Consulting Ltd</t>
  </si>
  <si>
    <t xml:space="preserve">The Growing Threat of Brand Hijacking to Airline Direct Bookings</t>
  </si>
  <si>
    <t xml:space="preserve">Shlomi Beer – Co-founder &amp; CEO, ImpersonAlly</t>
  </si>
  <si>
    <t xml:space="preserve">Shlomi Beer</t>
  </si>
  <si>
    <t xml:space="preserve">ImpersonAlly</t>
  </si>
  <si>
    <t xml:space="preserve">CEO Interview: Eivind Roald, CEO, Norse Atlantic Airlines</t>
  </si>
  <si>
    <t xml:space="preserve">Eivind Roald – President &amp; CEO, Norse Atlantic Airways
John Strickland – Director, JLS Consulting</t>
  </si>
  <si>
    <t xml:space="preserve">Eivind Roald, John Strickland</t>
  </si>
  <si>
    <t xml:space="preserve">Norse Atlantic Airways, JLS Consulting</t>
  </si>
  <si>
    <t xml:space="preserve">Fireside Chat: Beyond AODP - redesigning the airport’s digital foundation</t>
  </si>
  <si>
    <t xml:space="preserve">Iyad Hindiyeh – CDO, GAL - GMR Group
Maurice Jenkins – Chief Innovation Officer, Miami International Airport</t>
  </si>
  <si>
    <t xml:space="preserve">Iyad Hindiyeh, Maurice Jenkins</t>
  </si>
  <si>
    <t xml:space="preserve">GAL - GMR Group, Miami International Airport</t>
  </si>
  <si>
    <t xml:space="preserve">Presentation: How should an airline’s loyalty program position itself within the airline for maximum impact?</t>
  </si>
  <si>
    <t xml:space="preserve">Tiffany Funk – Head of Flying Blue, VP Loyalty, Air France KLM</t>
  </si>
  <si>
    <t xml:space="preserve">Tiffany Funk</t>
  </si>
  <si>
    <t xml:space="preserve">Air France KLM</t>
  </si>
  <si>
    <t xml:space="preserve">The agentic Airline of the future: Lessons from Air India’s enterprise AI journey</t>
  </si>
  <si>
    <t xml:space="preserve">Murali Karthik – Head of EA, Governance, Data &amp; AI, Agentic COE, Air India</t>
  </si>
  <si>
    <t xml:space="preserve">Murali Karthik</t>
  </si>
  <si>
    <t xml:space="preserve">Air India</t>
  </si>
  <si>
    <t xml:space="preserve">Presentation: Disrupting the status quo: Air Europa’s successful distribution journey</t>
  </si>
  <si>
    <t xml:space="preserve">Yago Casasnovas – Head of Payments, Fraud Prevention and Distribution, Air Europa
Daniel Langhage – Managing Director, Oystin Advisory GmbH</t>
  </si>
  <si>
    <t xml:space="preserve">Yago Casasnovas, Daniel Langhage</t>
  </si>
  <si>
    <t xml:space="preserve">Air Europa, Oystin Advisory GmbH</t>
  </si>
  <si>
    <t xml:space="preserve">Presentation: Gear Up NRT</t>
  </si>
  <si>
    <t xml:space="preserve">Yusuke Izawa – Project Manager, Global Business Department, Narita International Airport Corp.</t>
  </si>
  <si>
    <t xml:space="preserve">Yusuke Izawa</t>
  </si>
  <si>
    <t xml:space="preserve">Narita International Airport Corp.</t>
  </si>
  <si>
    <t xml:space="preserve">Expanding Capacity, Driving Innovation, Overseas Business</t>
  </si>
  <si>
    <t xml:space="preserve">Making better commercial decisions in a world that's never been more complicated</t>
  </si>
  <si>
    <t xml:space="preserve">Alex Matson – COO, telos</t>
  </si>
  <si>
    <t xml:space="preserve">Alex Matson</t>
  </si>
  <si>
    <t xml:space="preserve">telos</t>
  </si>
  <si>
    <t xml:space="preserve">Presentation: Agentic AI and the future of airline competitiveness</t>
  </si>
  <si>
    <t xml:space="preserve">Lars Schwabe – Chief Technology Officer, Lufthansa Industry Solutions</t>
  </si>
  <si>
    <t xml:space="preserve">Lars Schwabe</t>
  </si>
  <si>
    <t xml:space="preserve">Lufthansa Industry Solutions</t>
  </si>
  <si>
    <t xml:space="preserve">Panel: Scaling airport innovation – moving from pilot projects to operational deployment</t>
  </si>
  <si>
    <t xml:space="preserve">Vanesa Calvo – Head of Funding and Innovation Trends, A.E.N.A.
Sanne Cox – Innovation Manager, Royal Schiphol Group
Eric Boromisa – Founder | Managing Partner, Numbers &amp; Letters Advisory</t>
  </si>
  <si>
    <t xml:space="preserve">Vanesa Calvo, Sanne Cox, Eric Boromisa</t>
  </si>
  <si>
    <t xml:space="preserve">A.E.N.A., Royal Schiphol Group, Numbers &amp; Letters Advisory</t>
  </si>
  <si>
    <t xml:space="preserve">• Airports are piloting more tools than ever across AI, automation, robotics and digital passenger services. What actually moves beyond the pilot stage?
• Capacity constraints are forcing airports to get more from existing infrastructure. Where is innovation delivering the biggest operational gains?
• Some innovations reduce cost, some improve experience, and some create new revenue. How do airports decide what matters most?
• What internal conditions really determine whether an innovation scale – governance, funding, culture or partner buy-in?
• Looking ahead, where should airports be placing their smartest innovation bets?</t>
  </si>
  <si>
    <t xml:space="preserve">Fireside Chat: From infrastructure to intelligence: How ATPCO is building airline retailing's AI-ready foundation</t>
  </si>
  <si>
    <t xml:space="preserve">Anand Mishra – VP of Technology, ATPCO
Sinead Finn – Founder, affinnity</t>
  </si>
  <si>
    <t xml:space="preserve">Anand Mishra, Sinead Finn</t>
  </si>
  <si>
    <t xml:space="preserve">ATPCO, affinnity</t>
  </si>
  <si>
    <t xml:space="preserve">• Airline retailing is being fundamentally reimagined and the companies that will shape its future aren't just building smarter products, they're building smarter foundations. ATPCO Vice President of Technology Anand Mishra will explore how the industry's most trusted neutral data layer is evolving to meet the moment, as agentic AI moves from concept to commercial reality. With nearly two-thirds of adult travelers under 45 already turning to AI for travel recommendations and AI-driven booking accelerating fast, the window to establish trusted, structured data foundations is open, but for how long?
• Anand will pull back the curtain on recent ATPCO's experiments: including those that ask a simple but high-stakes question — can ATPCO's structured data turn general AI into a trusted source for airline retailing? The answer was a resounding yes, and Anand will dive into some of the learnings.
• Attendees will leave with a clear view of where airline retailing's AI transformation is heading over the next 18 to 36 months, why the standards and data layer will be the defining battleground, and how ATPCO is positioning itself, and the industry, to make sure that transformation happens for us, not to us</t>
  </si>
  <si>
    <t xml:space="preserve">FROM FILED FARES TO FLEXIBLE FUTURES OF FARE FILING - MODERNIZE TODAY. BUILD TOMORROW</t>
  </si>
  <si>
    <t xml:space="preserve">Christoph Both – Head of Customer, Business Development &amp; Controlling, Lufthansa Process Management</t>
  </si>
  <si>
    <t xml:space="preserve">Christoph Both</t>
  </si>
  <si>
    <t xml:space="preserve">Lufthansa Process Management</t>
  </si>
  <si>
    <t xml:space="preserve">Presentation: 638 Days to Go: Transforming the LAX Passenger Experience for the 2028 Olympics and Paralympics</t>
  </si>
  <si>
    <t xml:space="preserve">Erin Trapp – Chief Strategy &amp; External Affairs Officer, Los Angeles World Airports</t>
  </si>
  <si>
    <t xml:space="preserve">Erin Trapp</t>
  </si>
  <si>
    <t xml:space="preserve">Los Angeles World Airports</t>
  </si>
  <si>
    <t xml:space="preserve">Presentation: Beyond miles and seats: building the future of travel loyalty</t>
  </si>
  <si>
    <t xml:space="preserve">Ofir Goldman – Director of Global Marketing &amp; Digital, EL AL Israel Airlines
Benny Yonovich – Co-Founder &amp; CEO, Arbitrip</t>
  </si>
  <si>
    <t xml:space="preserve">Ofir Goldman, Benny Yonovich</t>
  </si>
  <si>
    <t xml:space="preserve">EL AL Israel Airlines, Arbitrip</t>
  </si>
  <si>
    <t xml:space="preserve">How can airlines turn hotel bookings into a new engine for growth? EL AL and Arbitrip will share the story behind EL AL Travel, showcasing how their partnership brings hotels into the airline’s core offering. The session will explore how airlines can expand beyond flights, generate incremental revenue from hotels and ancillary services, and strengthen customer loyalty by making the entire travel experience part of their brand.</t>
  </si>
  <si>
    <t xml:space="preserve">Crew Feedback: From Qualitative to Quantitative Data</t>
  </si>
  <si>
    <t xml:space="preserve">Tuur Willio – Junior Commercial Associate, JiGSO</t>
  </si>
  <si>
    <t xml:space="preserve">Tuur Willio</t>
  </si>
  <si>
    <t xml:space="preserve">JiGSO</t>
  </si>
  <si>
    <t xml:space="preserve">Panel: Delivering modern airline retailing – how do we make offer &amp; order work?</t>
  </si>
  <si>
    <t xml:space="preserve">Jörg Ahrens – Head of IT Commercial Systems, Condor Flugdienst GmbH
Bhaskara Guntreddy – Senior Vice President, Product, PROS
Marco Contento – VP Aviation Business Services, IBS Software</t>
  </si>
  <si>
    <t xml:space="preserve">Jörg Ahrens, Bhaskara Guntreddy, Marco Contento</t>
  </si>
  <si>
    <t xml:space="preserve">Condor Flugdienst GmbH, PROS, IBS Software</t>
  </si>
  <si>
    <t xml:space="preserve">• Where are airlines actually live with Offer &amp; Order today - and what has it taken to get there?
• How are teams connecting commercial, distribution and IT to move from roadmap to delivery?
• What are the toughest integration challenges across PSS, pricing, payments and fulfilment? How do we work through these?
• What delivery models are emerging - phased rollouts, parallel systems or full migration?
• What defines success when modern airline retailing is fully embedded into core systems?</t>
  </si>
  <si>
    <t xml:space="preserve">Panel: Dynamic bundling: Rethinking systems and products for the intuitive traveller</t>
  </si>
  <si>
    <t xml:space="preserve">Tiddo Veldhuis – VP Offer Management &amp; Ancillaries, Air France KLM
Sharon Huetson – Head of Proposition, easyJet
Jay Sorensen – President, IdeaWorksCompany</t>
  </si>
  <si>
    <t xml:space="preserve">Tiddo Veldhuis, Sharon Huetson, Jay Sorensen</t>
  </si>
  <si>
    <t xml:space="preserve">Air France KLM, easyJet, IdeaWorksCompany</t>
  </si>
  <si>
    <t xml:space="preserve">• Moving away from rigid "Basic/Flex" fare structures toward AI-generated bundles created on-the-fly based on real-time traveller intent
• Navigating personalised pricing to ensure it remains a value-add rather than a regulatory or reputational risk
• Strategies for seamlessly integrating lifestyle and non-air ancillaries, such as hotels, tours, and carbon offsets, into the initial booking flow
• Why has personalisation historically failed to meet expectations and do personalisation tactics in ancillary sales need a rethink?</t>
  </si>
  <si>
    <t xml:space="preserve">Panel: Who owns the passenger &amp; captures the value – and are airports and airlines ready for co-ownership?</t>
  </si>
  <si>
    <t xml:space="preserve">Arturs Saveljevs – Board member and CCO, Riga International Airport
Iyad Hindiyeh – CDO, GAL - GMR Group
Mihai Tica – CIO, Dusseldorf Airport</t>
  </si>
  <si>
    <t xml:space="preserve">Arturs Saveljevs, Iyad Hindiyeh, Mihai Tica</t>
  </si>
  <si>
    <t xml:space="preserve">Riga International Airport, GAL - GMR Group, Dusseldorf Airport</t>
  </si>
  <si>
    <t xml:space="preserve">• Who truly owns passenger data across the journey - and how does that ownership shift between booking, airport and arrival?
• What is the real commercial upside of sharing data and which joint revenue opportunities (retail, e-commerce, ancillaries) depend on it?
• Where do competitive sensitivities, loyalty programmes and margin pressures still block deeper collaboration?
• Can airports build meaningful data platforms without airlines or is joint architecture across airlines, alliances and groups of airports essential?
• Looking ahead, will passenger data sit in collaborative platforms, or remain siloed within airline and airport ecosystems?</t>
  </si>
  <si>
    <t xml:space="preserve">Unpacking the next evolution of AI and personalisation within airline loyalty</t>
  </si>
  <si>
    <t xml:space="preserve">Tiffany Funk – Head of Flying Blue, VP Loyalty, Air France KLM
Omer Faruk Sonmez – Senior Vice President Marketing, Turkish Airlines
Nejib Ben-Khedher – Divisional Senior Vice President, Skywards, EMIRATES GROUP</t>
  </si>
  <si>
    <t xml:space="preserve">Tiffany Funk, Omer Faruk Sonmez, Nejib Ben-Khedher</t>
  </si>
  <si>
    <t xml:space="preserve">Air France KLM, Turkish Airlines, EMIRATES GROUP</t>
  </si>
  <si>
    <t xml:space="preserve">• Moving beyond tier-based recognition
• Using loyalty data when the journey goes wrong
• Extending member value across the travel ecosystem
• Taking AI-powered loyalty from isolated use cases to scale</t>
  </si>
  <si>
    <t xml:space="preserve">Presentation: One memory, every touchpoint: How AI can connect the traveller journey from app to gate to seat</t>
  </si>
  <si>
    <t xml:space="preserve">Mahesh Veda – Managing Director, United Airlines
Raj Sivakumar – Corporate Senior Vice President, WNS Global Services (UK) Limited</t>
  </si>
  <si>
    <t xml:space="preserve">Mahesh Veda, Raj Sivakumar</t>
  </si>
  <si>
    <t xml:space="preserve">United Airlines, WNS Global Services (UK) Limited</t>
  </si>
  <si>
    <t xml:space="preserve">• Every airline delivers personalization across multiple channels, but continuity often breaks as the traveler moves from one touchpoint to another.
• What changes when AI moves beyond recommending and starts anticipating?
• In this session, Mahesh Veda of United Airlines and Jitender Mohan of WNS will explore how airlines can create a connected, context-aware understanding of each traveler across the app, airport, gate and onboard experience.
• The discussion will examine how AI, loyalty data and real-time customer insight can come together to simplify journeys, strengthen engagement and unlock new revenue opportunities.
• Key Themes
• Moving from channel-level personalization to journey-level continuity
• Using AI to anticipate traveler needs and determine the next best action
• Connecting digital, airport and onboard experiences
• Bringing together eCommerce, loyalty, customer data and operations
• Converting personalization into stronger engagement, loyalty and enterprise value</t>
  </si>
  <si>
    <t xml:space="preserve">Insights from deploying AI across 50'000 flights per month</t>
  </si>
  <si>
    <t xml:space="preserve">Nikita Kaeshko – Co-founder, Overwatch AI</t>
  </si>
  <si>
    <t xml:space="preserve">Nikita Kaeshko</t>
  </si>
  <si>
    <t xml:space="preserve">Overwatch AI</t>
  </si>
  <si>
    <t xml:space="preserve">What a System of Action can do for an Airline</t>
  </si>
  <si>
    <t xml:space="preserve">Jim Stathopoulos – Co-founder, dCortex</t>
  </si>
  <si>
    <t xml:space="preserve">Jim Stathopoulos</t>
  </si>
  <si>
    <t xml:space="preserve">dCortex</t>
  </si>
  <si>
    <t xml:space="preserve">Panel: Discussing the challenges of driving successful strategic AI adoption, impactful solutions and evaluating the financial return</t>
  </si>
  <si>
    <t xml:space="preserve">Ivan Karlovic – Director of data, analytics, and AI, Norwegian
Kushal Pasari – Director - AI/ML Engineering &amp; Platforms, United Airlines
Tauseef Khan – Manager of Data &amp; AI, Air Canada</t>
  </si>
  <si>
    <t xml:space="preserve">Ivan Karlovic, Kushal Pasari, Tauseef Khan</t>
  </si>
  <si>
    <t xml:space="preserve">Norwegian, United Airlines, Air Canada</t>
  </si>
  <si>
    <t xml:space="preserve">• How can airlines lay the foundations for effective AI implementation in a rapidly evolving ecosystem?
• Working across the business to evaluate impactful opportunities for AI powered solutions to change the game
• How are airlines planning to scale data-science powered innovation effectively?</t>
  </si>
  <si>
    <t xml:space="preserve">SeatMaps of Record: data &amp; visualizations for airlines and channel.</t>
  </si>
  <si>
    <t xml:space="preserve">Terje Tjostolvsen – Adviser, Seatmaps Ltd</t>
  </si>
  <si>
    <t xml:space="preserve">Terje Tjostolvsen</t>
  </si>
  <si>
    <t xml:space="preserve">Seatmaps Ltd</t>
  </si>
  <si>
    <t xml:space="preserve">Building ReLUGG - solving your own problem as a founder</t>
  </si>
  <si>
    <t xml:space="preserve">Melilizwe Gqobo – CEO &amp; Co-founder, ReLUGG</t>
  </si>
  <si>
    <t xml:space="preserve">Melilizwe Gqobo</t>
  </si>
  <si>
    <t xml:space="preserve">ReLUGG</t>
  </si>
  <si>
    <t xml:space="preserve">AEROMOND – The Next-Gen On-Board Service Experience</t>
  </si>
  <si>
    <t xml:space="preserve">Sebastian Pruckmair – Founder &amp; CEO, AEROMOND Services e.u.</t>
  </si>
  <si>
    <t xml:space="preserve">Sebastian Pruckmair</t>
  </si>
  <si>
    <t xml:space="preserve">AEROMOND Services e.u.</t>
  </si>
  <si>
    <t xml:space="preserve">Portugal in the Future Aviation Ecosystem: Clean Aviation, AAM &amp; MR **Registration required</t>
  </si>
  <si>
    <t xml:space="preserve">Rui Santos
Jose Rui Marcelino
Margarida Pinto
Dário Pedro
Nelson Vaz
David Cruz</t>
  </si>
  <si>
    <t xml:space="preserve">Rui Santos, Jose Rui Marcelino, Margarida Pinto, Dário Pedro, Nelson Vaz, David Cruz</t>
  </si>
  <si>
    <t xml:space="preserve">Track 5, Pavilion 1</t>
  </si>
  <si>
    <t xml:space="preserve">Beyond the Forecast: Turning Weather into Aviation Intelligence</t>
  </si>
  <si>
    <t xml:space="preserve">Sevim Aydın Kotil – Head of Business Development, Buluttan Weather Intelligence</t>
  </si>
  <si>
    <t xml:space="preserve">Sevim Aydın Kotil</t>
  </si>
  <si>
    <t xml:space="preserve">Buluttan Weather Intelligence</t>
  </si>
  <si>
    <t xml:space="preserve">Competition: Ancillary Arena</t>
  </si>
  <si>
    <t xml:space="preserve">Beatriz Guillen – Chief Customer Officer, Iberia
Surya Kuchibotla – VP eCommerce, Ancillary and Retailing, OMAN AIR
Lissette Castaneda – Head of Ancillary Revenue, Tap Air Portugal</t>
  </si>
  <si>
    <t xml:space="preserve">Beatriz Guillen, Surya Kuchibotla, Lissette Castaneda</t>
  </si>
  <si>
    <t xml:space="preserve">Iberia, OMAN AIR, Tap Air Portugal</t>
  </si>
  <si>
    <t xml:space="preserve">Keynote Stage (Pavilion 1)</t>
  </si>
  <si>
    <t xml:space="preserve">• We are on the hunt for the next big ancillary product or service. Join this session to hear from our 5 finalist companies who will be pitching their solution to our expert panel:
• Riyadh Air (PointsXchange)
• InterLnkd (NEXORA)
• Retailaer
• VINI (Flyvbird GmbH)
• Roamon</t>
  </si>
  <si>
    <t xml:space="preserve">Bonafide AI: Context is Everything</t>
  </si>
  <si>
    <t xml:space="preserve">Chris Brown – Founder, Chief Product Officer, Bonafide</t>
  </si>
  <si>
    <t xml:space="preserve">Chris Brown</t>
  </si>
  <si>
    <t xml:space="preserve">Bonafide</t>
  </si>
  <si>
    <t xml:space="preserve">Roundtable 1: The Augmented Manager: Empowering middle management in the age of AI</t>
  </si>
  <si>
    <t xml:space="preserve">Dirk Jungnickel</t>
  </si>
  <si>
    <t xml:space="preserve">Round Table Area, Pavilion 2</t>
  </si>
  <si>
    <t xml:space="preserve">Roundtable 2: AI Is Moving Faster Than Us: How Do We Get Our People Ready?</t>
  </si>
  <si>
    <t xml:space="preserve">Ben Dias</t>
  </si>
  <si>
    <t xml:space="preserve">Built From Scratch: Insights from female founders</t>
  </si>
  <si>
    <t xml:space="preserve">Barbara Bassi Modalek – CEO &amp; Founder, Virtuwella
emna TOUIHRI – Co-founder&amp;CEO, AERAUT
Sally Bunnell – CEO &amp; Founder, Navi Savi Video Travel Marketplace</t>
  </si>
  <si>
    <t xml:space="preserve">Barbara Bassi Modalek, emna TOUIHRI, Sally Bunnell</t>
  </si>
  <si>
    <t xml:space="preserve">Virtuwella, AERAUT, Navi Savi Video Travel Marketplace</t>
  </si>
  <si>
    <t xml:space="preserve">Fireside Chat: From roadmap to delivery – what it takes to execute digital at scale</t>
  </si>
  <si>
    <t xml:space="preserve">Uma Gopinath – SVP and Chief Information Officer, Porter Airlines
Mark Lenahan – Consultant, Lenahan Consulting Ltd</t>
  </si>
  <si>
    <t xml:space="preserve">Uma Gopinath, Mark Lenahan</t>
  </si>
  <si>
    <t xml:space="preserve">Porter Airlines, Lenahan Consulting Ltd</t>
  </si>
  <si>
    <t xml:space="preserve">Fireside chat: Promise &amp; Execution: creating loyalty benefit alignment and delivery across 15+ airlines</t>
  </si>
  <si>
    <t xml:space="preserve">Gilbert Ott – Director, Loyalty, oneworld Alliance
Harald Deprosse – Partner, Envolved GmbH</t>
  </si>
  <si>
    <t xml:space="preserve">Gilbert Ott, Harald Deprosse</t>
  </si>
  <si>
    <t xml:space="preserve">oneworld Alliance, Envolved GmbH</t>
  </si>
  <si>
    <t xml:space="preserve">Fireside Chat: Co-creating the future journey: how CVG turns airport pilots into shared value</t>
  </si>
  <si>
    <t xml:space="preserve">Adam Kressler – Vice President of Customer Experience, Cincinnati/Northern Kentucky International Airport (CVG)
Luis Felipe De Oliveira – Executive Director and CEO, Exactly Consulting and Services Sarl</t>
  </si>
  <si>
    <t xml:space="preserve">Adam Kressler, Luis Felipe De Oliveira</t>
  </si>
  <si>
    <t xml:space="preserve">Cincinnati/Northern Kentucky International Airport (CVG), Exactly Consulting and Services Sarl</t>
  </si>
  <si>
    <t xml:space="preserve">Fireside Chat: AI in airports – from experimentation to operational impact</t>
  </si>
  <si>
    <t xml:space="preserve">Annemijn Schoenmaker – Head of Business Platform Infrastructure &amp; IT Projects, Schiphol Group
Oliver Hendry – Program Director, Airports AI Alliance</t>
  </si>
  <si>
    <t xml:space="preserve">Annemijn Schoenmaker, Oliver Hendry</t>
  </si>
  <si>
    <t xml:space="preserve">Schiphol Group, Airports AI Alliance</t>
  </si>
  <si>
    <t xml:space="preserve">When the Chatbot Speaks for your Airline: Building Trust in Customer-Facing AI</t>
  </si>
  <si>
    <t xml:space="preserve">Balamurali Boggu – Airline Domain Expert, TestSolutions
Anupam Krishnamurthy – Head of AI Testing, TestSolutions</t>
  </si>
  <si>
    <t xml:space="preserve">Balamurali Boggu, Anupam Krishnamurthy</t>
  </si>
  <si>
    <t xml:space="preserve">TestSolutions</t>
  </si>
  <si>
    <t xml:space="preserve">Panel: Designing the passenger journey together – how do airports, airlines and partners deliver a truly shared experience?</t>
  </si>
  <si>
    <t xml:space="preserve">Karen Ellis – Airport Assistant General Manager - Chief Customer Experience Officer, City of Atlanta/ Hartsfield- Jackson International Airport
Harry Barrett – Assistant Director of Airports, Sacramento County International Airport
Girish Nair – Chief Operating Officer, Bangalore International Airport</t>
  </si>
  <si>
    <t xml:space="preserve">Karen Ellis, Harry Barrett, Girish Nair</t>
  </si>
  <si>
    <t xml:space="preserve">City of Atlanta/ Hartsfield- Jackson International Airport, Sacramento County International Airport, Bangalore International Airport</t>
  </si>
  <si>
    <t xml:space="preserve">• Where are airports, airlines and partners still redesigning the journey in isolation rather than taking an end-to-end passenger view?
• Can joint experimentation and testbeds reduce duplication and help scale innovations faster?
• How do we connect physical and digital journeys? Terminal design, baggage systems and intermodal links with apps and digital tools?
• How should performance metrics evolve so NPS, OTP, dwell time and spend reflect joint ownership of the passenger experience?
• What will make partnerships across airlines, airports and suppliers work to deliver a joint-up experience?
• By 2030, what should passengers tangibly experience if airports and airlines are truly innovating together?</t>
  </si>
  <si>
    <t xml:space="preserve">The Loyalty Value Equation – Balancing profitability and customer trust</t>
  </si>
  <si>
    <t xml:space="preserve">Jason Cooper – CEO, Gyoza Flights
Harald Deprosse – Partner, Envolved GmbH
Gilbert Ott – Director, Loyalty, oneworld Alliance</t>
  </si>
  <si>
    <t xml:space="preserve">Jason Cooper, Harald Deprosse, Gilbert Ott</t>
  </si>
  <si>
    <t xml:space="preserve">Gyoza Flights, Envolved GmbH, oneworld Alliance</t>
  </si>
  <si>
    <t xml:space="preserve">• Maintaining the balance between airline profitability and perceived customer value in loyalty programs
• How is tech reshaping the loyalty value equation, considering dynamic rewards, flexible redemption, and real-time pricing of benefits?
• Transactional vs emotional loyalty in the age of automation: can technology strengthen customer trust rather than erode it?
• Creating value from the customer data loyalty schemes create: how is loyalty data being interrogated to support commercial decisions?</t>
  </si>
  <si>
    <t xml:space="preserve">Panel: Turning strategy into delivery - how do we build technology the business actually needs?</t>
  </si>
  <si>
    <t xml:space="preserve">Mariana Zaparolli – Director - Digital Capabilities and Accelerators, LATAM Airlines
Edem Akan – Director, Enterprise Transformation, Porter Airlines
Mustafa Al-Ausaje – Executive consultant, Director, Technology Strategy and Transformation, Greater Toronto Airports Authority</t>
  </si>
  <si>
    <t xml:space="preserve">Mariana Zaparolli, Edem Akan, Mustafa Al-Ausaje</t>
  </si>
  <si>
    <t xml:space="preserve">LATAM Airlines, Porter Airlines, Greater Toronto Airports Authority</t>
  </si>
  <si>
    <t xml:space="preserve">• How do airlines prioritise technology investment against real business outcomes?
• Where do digital transformation programmes most often lose momentum?
• How do IT, product and business teams share ownership of delivery?
• How do airlines avoid building technology that adds complexity instead of solving problems?
• What separates airlines that consistently turn digital investment into measurable business value?</t>
  </si>
  <si>
    <t xml:space="preserve">Sharing achievements and learnings from rapid innovation with AI: what solutions progressed beyond POC?</t>
  </si>
  <si>
    <t xml:space="preserve">Mark Wallace – Head of Data Science, easyJet
Şeniz Gayde Ayata – Vice President Data &amp; AI, Turkish Airlines
Murali Karthik – Head of EA, Governance, Data &amp; AI, Agentic COE, Air India</t>
  </si>
  <si>
    <t xml:space="preserve">Mark Wallace, Şeniz Gayde Ayata, Murali Karthik</t>
  </si>
  <si>
    <t xml:space="preserve">easyJet, Turkish Airlines, Air India</t>
  </si>
  <si>
    <t xml:space="preserve">Digital Product Panel: What is next for digital platforms in an increasingly online world</t>
  </si>
  <si>
    <t xml:space="preserve">Carlos Faxas – Vice President, Digital Products, Air Canada
Sara Walter de Freitas – Director Digital &amp; e-Commerce, Tap Air Portugal
Ofir Goldman – Director of Global Marketing &amp; Digital, EL AL Israel Airlines</t>
  </si>
  <si>
    <t xml:space="preserve">Carlos Faxas, Sara Walter de Freitas, Ofir Goldman</t>
  </si>
  <si>
    <t xml:space="preserve">Air Canada, Tap Air Portugal, EL AL Israel Airlines</t>
  </si>
  <si>
    <t xml:space="preserve">• How are our panellists building AI into the development of digital platforms today to support innovation tomorrow?
• Delivering seamless and relevant online experience across the full customer journey
• How are airlines increasing relevant personalisation and contextualised communication whilst maintaining customer trust?
• Supporting colleagues effectively with digital platforms &amp; insights to optimise job satisfaction, efficiency and value</t>
  </si>
  <si>
    <t xml:space="preserve">How to Cut Boarding Time in Half</t>
  </si>
  <si>
    <t xml:space="preserve">Romaric Régnaud – CEO, Gate Stream</t>
  </si>
  <si>
    <t xml:space="preserve">Romaric Régnaud</t>
  </si>
  <si>
    <t xml:space="preserve">Gate Stream</t>
  </si>
  <si>
    <t xml:space="preserve">Battle of the Apps</t>
  </si>
  <si>
    <t xml:space="preserve">Oisin Lunny – Event MC, Journalist, Podcast and Webinar Host, Galaxy of OM, S.L.
Glenn Morgan – Partner, SkiesFifty
Jonas von Kruechten – Principal Advisor (dgtlsky), Dgtlsky</t>
  </si>
  <si>
    <t xml:space="preserve">Oisin Lunny, Glenn Morgan, Jonas von Kruechten</t>
  </si>
  <si>
    <t xml:space="preserve">Galaxy of OM, S.L., SkiesFifty, Dgtlsky</t>
  </si>
  <si>
    <t xml:space="preserve">Name</t>
  </si>
  <si>
    <t xml:space="preserve">Job Title</t>
  </si>
  <si>
    <t xml:space="preserve">Organisation</t>
  </si>
  <si>
    <t xml:space="preserve">Role</t>
  </si>
  <si>
    <t xml:space="preserve">Secretary of State for Infrastructure</t>
  </si>
  <si>
    <t xml:space="preserve">Speaker</t>
  </si>
  <si>
    <t xml:space="preserve">Tamur Goudarzi Pour</t>
  </si>
  <si>
    <t xml:space="preserve">EVP Strategy &amp; Member of the Group Executive Committee</t>
  </si>
  <si>
    <t xml:space="preserve">Lufthansa Group</t>
  </si>
  <si>
    <t xml:space="preserve">Henry Harteveldt</t>
  </si>
  <si>
    <t xml:space="preserve">Travel Industry Analyst</t>
  </si>
  <si>
    <t xml:space="preserve">Atmosphere Research Group</t>
  </si>
  <si>
    <t xml:space="preserve">Bobby Healy</t>
  </si>
  <si>
    <t xml:space="preserve">Co-Founder &amp; Chief Technology Officer</t>
  </si>
  <si>
    <t xml:space="preserve">Meili Travel Technology Ltd.</t>
  </si>
  <si>
    <t xml:space="preserve">Alex Levy</t>
  </si>
  <si>
    <t xml:space="preserve">Director of Business Development</t>
  </si>
  <si>
    <t xml:space="preserve">Director - Inflight Crew Strategy &amp; Transformation</t>
  </si>
  <si>
    <t xml:space="preserve">Head of Integrated Operations (iOps) &amp; Optimisation</t>
  </si>
  <si>
    <t xml:space="preserve">Samuel í Hjøllum Rude</t>
  </si>
  <si>
    <t xml:space="preserve">Vice President, Head of Operational Airport Services</t>
  </si>
  <si>
    <t xml:space="preserve">Copenhagen Airports</t>
  </si>
  <si>
    <t xml:space="preserve">Uschi Schulte-Sasse</t>
  </si>
  <si>
    <t xml:space="preserve">Founder &amp; Principal</t>
  </si>
  <si>
    <t xml:space="preserve">USS AviationConsulting</t>
  </si>
  <si>
    <t xml:space="preserve">Natalie Randall</t>
  </si>
  <si>
    <t xml:space="preserve">Day of Travel Experience Manager</t>
  </si>
  <si>
    <t xml:space="preserve">Jerry Angrave</t>
  </si>
  <si>
    <t xml:space="preserve">Customer Experience Director</t>
  </si>
  <si>
    <t xml:space="preserve">Empathyce</t>
  </si>
  <si>
    <t xml:space="preserve">CIO, VP of IT Strategy and Development</t>
  </si>
  <si>
    <t xml:space="preserve">Surya Kuchibotla</t>
  </si>
  <si>
    <t xml:space="preserve">VP eCommerce, Ancillary and Retailing</t>
  </si>
  <si>
    <t xml:space="preserve">OMAN AIR</t>
  </si>
  <si>
    <t xml:space="preserve">Paul van Alfen</t>
  </si>
  <si>
    <t xml:space="preserve">Travel Payments Strategist</t>
  </si>
  <si>
    <t xml:space="preserve">Up in the Air - Travel Payment Consultancy</t>
  </si>
  <si>
    <t xml:space="preserve">Craig Barrington</t>
  </si>
  <si>
    <t xml:space="preserve">Head of Cyber Threat Exposure</t>
  </si>
  <si>
    <t xml:space="preserve">David Nieto</t>
  </si>
  <si>
    <t xml:space="preserve">VP MEMBER SUCCESS</t>
  </si>
  <si>
    <t xml:space="preserve">AVIATION ISAC</t>
  </si>
  <si>
    <t xml:space="preserve">CEO</t>
  </si>
  <si>
    <t xml:space="preserve">Jim Davidson</t>
  </si>
  <si>
    <t xml:space="preserve">Vice Chairman</t>
  </si>
  <si>
    <t xml:space="preserve">Accelya</t>
  </si>
  <si>
    <t xml:space="preserve">Massimo Morin</t>
  </si>
  <si>
    <t xml:space="preserve">Global Head, Travel, AWS for Travel and Hospitality</t>
  </si>
  <si>
    <t xml:space="preserve">Amazon Web Services, Inc. (SEA54)</t>
  </si>
  <si>
    <t xml:space="preserve">Head of Customer Operations</t>
  </si>
  <si>
    <t xml:space="preserve">Marcin Pilarczyk</t>
  </si>
  <si>
    <t xml:space="preserve">Head of Data Science</t>
  </si>
  <si>
    <t xml:space="preserve">Ryanair</t>
  </si>
  <si>
    <t xml:space="preserve">Abdulrahman Alkhatabi</t>
  </si>
  <si>
    <t xml:space="preserve">Senior Manager Crew Utilization</t>
  </si>
  <si>
    <t xml:space="preserve">Saudia</t>
  </si>
  <si>
    <t xml:space="preserve">Luca De Angelis</t>
  </si>
  <si>
    <t xml:space="preserve">CEO Crew Solutions</t>
  </si>
  <si>
    <t xml:space="preserve">HRS GmbH</t>
  </si>
  <si>
    <t xml:space="preserve">Malek Trimeche</t>
  </si>
  <si>
    <t xml:space="preserve">Aviation entrepreneur / Podcast Host : The Gate Talk</t>
  </si>
  <si>
    <t xml:space="preserve">Wendy Ward</t>
  </si>
  <si>
    <t xml:space="preserve">Chief Marketing Officer</t>
  </si>
  <si>
    <t xml:space="preserve">UATP</t>
  </si>
  <si>
    <t xml:space="preserve">Benjamin Sibbald</t>
  </si>
  <si>
    <t xml:space="preserve">Vice President - Head of Payments</t>
  </si>
  <si>
    <t xml:space="preserve">Hahn Air Lines GmbH</t>
  </si>
  <si>
    <t xml:space="preserve">Tom Cunningham</t>
  </si>
  <si>
    <t xml:space="preserve">Consultant</t>
  </si>
  <si>
    <t xml:space="preserve">TreviPay</t>
  </si>
  <si>
    <t xml:space="preserve">Field CTO</t>
  </si>
  <si>
    <t xml:space="preserve">Executive Vice President</t>
  </si>
  <si>
    <t xml:space="preserve">Chief Executive Officer</t>
  </si>
  <si>
    <t xml:space="preserve">Mario Cruz</t>
  </si>
  <si>
    <t xml:space="preserve">Chief Commercial &amp; Revenue Officer</t>
  </si>
  <si>
    <t xml:space="preserve">Cemal Kaya</t>
  </si>
  <si>
    <t xml:space="preserve">Chief Commercial Officer</t>
  </si>
  <si>
    <t xml:space="preserve">Ajet</t>
  </si>
  <si>
    <t xml:space="preserve">Amit Khandelwal</t>
  </si>
  <si>
    <t xml:space="preserve">Senior VP - Revenue Optimization</t>
  </si>
  <si>
    <t xml:space="preserve">Emirates Airline</t>
  </si>
  <si>
    <t xml:space="preserve">Alan Dunne</t>
  </si>
  <si>
    <t xml:space="preserve">Chief Product Officer</t>
  </si>
  <si>
    <t xml:space="preserve">Datalex Ireland Ltd</t>
  </si>
  <si>
    <t xml:space="preserve">Zachary Wynne</t>
  </si>
  <si>
    <t xml:space="preserve">Head of EMEA</t>
  </si>
  <si>
    <t xml:space="preserve">ATPCO</t>
  </si>
  <si>
    <t xml:space="preserve">Mohamed Hanno</t>
  </si>
  <si>
    <t xml:space="preserve">Group Executive Chairman &amp; CEO</t>
  </si>
  <si>
    <t xml:space="preserve">ASE GROUP</t>
  </si>
  <si>
    <t xml:space="preserve">Panos Nicolaidis</t>
  </si>
  <si>
    <t xml:space="preserve">Chief Ground Operations Officer</t>
  </si>
  <si>
    <t xml:space="preserve">Aegean Airlines</t>
  </si>
  <si>
    <t xml:space="preserve">Simon Cox</t>
  </si>
  <si>
    <t xml:space="preserve">Director - Ground Operations</t>
  </si>
  <si>
    <t xml:space="preserve">Soren Charles</t>
  </si>
  <si>
    <t xml:space="preserve">Sales Director</t>
  </si>
  <si>
    <t xml:space="preserve">easie by ICRON</t>
  </si>
  <si>
    <t xml:space="preserve">Chloe Lapeyre</t>
  </si>
  <si>
    <t xml:space="preserve">PORTWAY HANDLING</t>
  </si>
  <si>
    <t xml:space="preserve">Head of Airline Data Science &amp; Analytics</t>
  </si>
  <si>
    <t xml:space="preserve">Ivan Baruta</t>
  </si>
  <si>
    <t xml:space="preserve">Innovation Project Manager</t>
  </si>
  <si>
    <t xml:space="preserve">Eurocontrol</t>
  </si>
  <si>
    <t xml:space="preserve">Michael Clarke</t>
  </si>
  <si>
    <t xml:space="preserve">Director, Product Management</t>
  </si>
  <si>
    <t xml:space="preserve">Flightscape</t>
  </si>
  <si>
    <t xml:space="preserve">Alex Goman</t>
  </si>
  <si>
    <t xml:space="preserve">Principal Consultant</t>
  </si>
  <si>
    <t xml:space="preserve">STS Aero</t>
  </si>
  <si>
    <t xml:space="preserve">Justyna Valente</t>
  </si>
  <si>
    <t xml:space="preserve">Head of Marketing &amp; Branding</t>
  </si>
  <si>
    <t xml:space="preserve">Julia Fedor</t>
  </si>
  <si>
    <t xml:space="preserve">Director, Brand Marketing Operations</t>
  </si>
  <si>
    <t xml:space="preserve">Sabina Jasinska</t>
  </si>
  <si>
    <t xml:space="preserve">LILT</t>
  </si>
  <si>
    <t xml:space="preserve">Mike Arnot</t>
  </si>
  <si>
    <t xml:space="preserve">Principal</t>
  </si>
  <si>
    <t xml:space="preserve">Juliett Alpha</t>
  </si>
  <si>
    <t xml:space="preserve">Daniel Lapera</t>
  </si>
  <si>
    <t xml:space="preserve">Strategic Planning Director</t>
  </si>
  <si>
    <t xml:space="preserve">Plus Ultra Líneas Aéreas</t>
  </si>
  <si>
    <t xml:space="preserve">Ercan Demirtaş</t>
  </si>
  <si>
    <t xml:space="preserve">Senior Vice President Payment Systems</t>
  </si>
  <si>
    <t xml:space="preserve">Adam Kissane</t>
  </si>
  <si>
    <t xml:space="preserve">International Travel Lead</t>
  </si>
  <si>
    <t xml:space="preserve">Juspay Europe Limited</t>
  </si>
  <si>
    <t xml:space="preserve">Nada Badawy</t>
  </si>
  <si>
    <t xml:space="preserve">Airline Digital Commerce &amp; Payments Strategist</t>
  </si>
  <si>
    <t xml:space="preserve">Aviation Industry Speaker</t>
  </si>
  <si>
    <t xml:space="preserve">Founder &amp; CEO</t>
  </si>
  <si>
    <t xml:space="preserve">Hein De Jonge</t>
  </si>
  <si>
    <t xml:space="preserve">KLM Digital strategy</t>
  </si>
  <si>
    <t xml:space="preserve">Klm</t>
  </si>
  <si>
    <t xml:space="preserve">Vandhana Bhaskaran</t>
  </si>
  <si>
    <t xml:space="preserve">Director of User Experience and Digital Accessibility</t>
  </si>
  <si>
    <t xml:space="preserve">Michael Robichaud</t>
  </si>
  <si>
    <t xml:space="preserve">Head of BA.com &amp; App</t>
  </si>
  <si>
    <t xml:space="preserve">Mariya Stoyanova</t>
  </si>
  <si>
    <t xml:space="preserve">Vice President of Product, Strategy &amp; Business Development</t>
  </si>
  <si>
    <t xml:space="preserve">Thales Group</t>
  </si>
  <si>
    <t xml:space="preserve">Abby Godee</t>
  </si>
  <si>
    <t xml:space="preserve">Chief Experience Officer</t>
  </si>
  <si>
    <t xml:space="preserve">Publicis Sapient</t>
  </si>
  <si>
    <t xml:space="preserve">Ewa Pilat</t>
  </si>
  <si>
    <t xml:space="preserve">CISO</t>
  </si>
  <si>
    <t xml:space="preserve">IATA</t>
  </si>
  <si>
    <t xml:space="preserve">António Carrilho</t>
  </si>
  <si>
    <t xml:space="preserve">Cybersecurity Director</t>
  </si>
  <si>
    <t xml:space="preserve">Jon Hill</t>
  </si>
  <si>
    <t xml:space="preserve">Senior Vice President of Global Revenue</t>
  </si>
  <si>
    <t xml:space="preserve">Kasada</t>
  </si>
  <si>
    <t xml:space="preserve">Amit Jain</t>
  </si>
  <si>
    <t xml:space="preserve">Executive Vice President and Global Head, Cybersecurity Services</t>
  </si>
  <si>
    <t xml:space="preserve">HCLTech</t>
  </si>
  <si>
    <t xml:space="preserve">Krishna Sampigethaya</t>
  </si>
  <si>
    <t xml:space="preserve">Chair and Professor, Cyber Intelligence &amp; Security Dept.</t>
  </si>
  <si>
    <t xml:space="preserve">Embry-Riddle Aeronautical University</t>
  </si>
  <si>
    <t xml:space="preserve">João Annes</t>
  </si>
  <si>
    <t xml:space="preserve">ANA Aeroportos de Portugal SA</t>
  </si>
  <si>
    <t xml:space="preserve">Co-founder&amp;CEO</t>
  </si>
  <si>
    <t xml:space="preserve">Eugenio Donati</t>
  </si>
  <si>
    <t xml:space="preserve">Co-Founder</t>
  </si>
  <si>
    <t xml:space="preserve">AeroVect</t>
  </si>
  <si>
    <t xml:space="preserve">David Millard</t>
  </si>
  <si>
    <t xml:space="preserve">Azalea Robotics</t>
  </si>
  <si>
    <t xml:space="preserve">Javier Vidal</t>
  </si>
  <si>
    <t xml:space="preserve">Moonware</t>
  </si>
  <si>
    <t xml:space="preserve">Todd Sullivan</t>
  </si>
  <si>
    <t xml:space="preserve">Co-Founder/CEO</t>
  </si>
  <si>
    <t xml:space="preserve">Humoniq</t>
  </si>
  <si>
    <t xml:space="preserve">Anagh Tiwary</t>
  </si>
  <si>
    <t xml:space="preserve">Managing Director</t>
  </si>
  <si>
    <t xml:space="preserve">Zero Infinity Partners</t>
  </si>
  <si>
    <t xml:space="preserve">Charu Jain</t>
  </si>
  <si>
    <t xml:space="preserve">SVP, Merchandising and Innovation</t>
  </si>
  <si>
    <t xml:space="preserve">Yago Casasnovas</t>
  </si>
  <si>
    <t xml:space="preserve">Head of Payments, Fraud Prevention and Distribution</t>
  </si>
  <si>
    <t xml:space="preserve">Marty Farrar</t>
  </si>
  <si>
    <t xml:space="preserve">Director Operations Control</t>
  </si>
  <si>
    <t xml:space="preserve">WestJet</t>
  </si>
  <si>
    <t xml:space="preserve">Principal Software Engineer, Innovation</t>
  </si>
  <si>
    <t xml:space="preserve">Director</t>
  </si>
  <si>
    <t xml:space="preserve">Marketing Director</t>
  </si>
  <si>
    <t xml:space="preserve">Sinead Quinn</t>
  </si>
  <si>
    <t xml:space="preserve">Director of Inflight</t>
  </si>
  <si>
    <t xml:space="preserve">Ryanair - Europe's Favourite Airline</t>
  </si>
  <si>
    <t xml:space="preserve">Hugo Oliveira</t>
  </si>
  <si>
    <t xml:space="preserve">Training Director</t>
  </si>
  <si>
    <t xml:space="preserve">Portugália Airlines</t>
  </si>
  <si>
    <t xml:space="preserve">Richard Cooke</t>
  </si>
  <si>
    <t xml:space="preserve">Boris Padovan</t>
  </si>
  <si>
    <t xml:space="preserve">Barbara Moreno</t>
  </si>
  <si>
    <t xml:space="preserve">Baris Findik</t>
  </si>
  <si>
    <t xml:space="preserve">CTO</t>
  </si>
  <si>
    <t xml:space="preserve">Pegasus Airlines</t>
  </si>
  <si>
    <t xml:space="preserve">Gaurav Passi</t>
  </si>
  <si>
    <t xml:space="preserve">CEO/Founder</t>
  </si>
  <si>
    <t xml:space="preserve">Zingly.ai</t>
  </si>
  <si>
    <t xml:space="preserve">Sadaqat Ali Soomro</t>
  </si>
  <si>
    <t xml:space="preserve">VP Strategy &amp; Innovation</t>
  </si>
  <si>
    <t xml:space="preserve">Qatar Airways</t>
  </si>
  <si>
    <t xml:space="preserve">Suzanne Williamson</t>
  </si>
  <si>
    <t xml:space="preserve">MD IOC</t>
  </si>
  <si>
    <t xml:space="preserve">American Airlines</t>
  </si>
  <si>
    <t xml:space="preserve">Rob Miller</t>
  </si>
  <si>
    <t xml:space="preserve">SVP Business Development</t>
  </si>
  <si>
    <t xml:space="preserve">TACONNECTIONS</t>
  </si>
  <si>
    <t xml:space="preserve">Jose Antonio Coimbra</t>
  </si>
  <si>
    <t xml:space="preserve">Business Development Manager Airlines &amp; eTravel</t>
  </si>
  <si>
    <t xml:space="preserve">Ivan Guerrero</t>
  </si>
  <si>
    <t xml:space="preserve">Global Head Airlines &amp; Travel</t>
  </si>
  <si>
    <t xml:space="preserve">Mahesh Veda</t>
  </si>
  <si>
    <t xml:space="preserve">Srini Kasthoori</t>
  </si>
  <si>
    <t xml:space="preserve">Head of Americas</t>
  </si>
  <si>
    <t xml:space="preserve">DXC Technology</t>
  </si>
  <si>
    <t xml:space="preserve">Senior Project Manager</t>
  </si>
  <si>
    <t xml:space="preserve">John Sulja</t>
  </si>
  <si>
    <t xml:space="preserve">Air Canada</t>
  </si>
  <si>
    <t xml:space="preserve">Melania Haro Peredo</t>
  </si>
  <si>
    <t xml:space="preserve">Partner</t>
  </si>
  <si>
    <t xml:space="preserve">Deloitte</t>
  </si>
  <si>
    <t xml:space="preserve">Ravi Patel</t>
  </si>
  <si>
    <t xml:space="preserve">Director, Enterprise</t>
  </si>
  <si>
    <t xml:space="preserve">Profound</t>
  </si>
  <si>
    <t xml:space="preserve">Matias Undurraga</t>
  </si>
  <si>
    <t xml:space="preserve">Enterprise Technologist</t>
  </si>
  <si>
    <t xml:space="preserve">AWS</t>
  </si>
  <si>
    <t xml:space="preserve">Bethan Lynch</t>
  </si>
  <si>
    <t xml:space="preserve">VP Customer Experience &amp; Loyalty</t>
  </si>
  <si>
    <t xml:space="preserve">Virgin Atlantic</t>
  </si>
  <si>
    <t xml:space="preserve">Global Head of Product Management</t>
  </si>
  <si>
    <t xml:space="preserve">Global Head of Industry Engagement and Strategy</t>
  </si>
  <si>
    <t xml:space="preserve">Gísli Brynjólfsson</t>
  </si>
  <si>
    <t xml:space="preserve">Director Global Marketing</t>
  </si>
  <si>
    <t xml:space="preserve">Icelandair</t>
  </si>
  <si>
    <t xml:space="preserve">Christina O'Rourke</t>
  </si>
  <si>
    <t xml:space="preserve">Director of Creative Strategy and Content</t>
  </si>
  <si>
    <t xml:space="preserve">Karim Makhlouf</t>
  </si>
  <si>
    <t xml:space="preserve">Royal Jordanian Airlines</t>
  </si>
  <si>
    <t xml:space="preserve">Maria McKinnon</t>
  </si>
  <si>
    <t xml:space="preserve">Director, Global Brand and Marketing</t>
  </si>
  <si>
    <t xml:space="preserve">oneworld</t>
  </si>
  <si>
    <t xml:space="preserve">Eylem Unlu</t>
  </si>
  <si>
    <t xml:space="preserve">Inflight Service Manager</t>
  </si>
  <si>
    <t xml:space="preserve">SunExpress</t>
  </si>
  <si>
    <t xml:space="preserve">Sameer Shaikh</t>
  </si>
  <si>
    <t xml:space="preserve">Senior Manager - Onboard Digital Experience</t>
  </si>
  <si>
    <t xml:space="preserve">Edwin Edillon</t>
  </si>
  <si>
    <t xml:space="preserve">Head of Product, Entertainment</t>
  </si>
  <si>
    <t xml:space="preserve">Viasat</t>
  </si>
  <si>
    <t xml:space="preserve">Patrick Biggerstaff</t>
  </si>
  <si>
    <t xml:space="preserve">Senior Director of Digital Solutions Products</t>
  </si>
  <si>
    <t xml:space="preserve">Panasonic Avionics Corporation</t>
  </si>
  <si>
    <t xml:space="preserve">Seth Miller</t>
  </si>
  <si>
    <t xml:space="preserve">Industry Antagonist</t>
  </si>
  <si>
    <t xml:space="preserve">PaxEx.Aero</t>
  </si>
  <si>
    <t xml:space="preserve">Principal Solutions Architect</t>
  </si>
  <si>
    <t xml:space="preserve">Bimali Malalasekara</t>
  </si>
  <si>
    <t xml:space="preserve">Manager Digital Commerce</t>
  </si>
  <si>
    <t xml:space="preserve">SriLankan Airlines Ltd</t>
  </si>
  <si>
    <t xml:space="preserve">Patrick Uckermark</t>
  </si>
  <si>
    <t xml:space="preserve">Chief Technology and Product Officer</t>
  </si>
  <si>
    <t xml:space="preserve">Keli Sandeman</t>
  </si>
  <si>
    <t xml:space="preserve">Payment Strategy Manager</t>
  </si>
  <si>
    <t xml:space="preserve">Virgin Atlantic Airways</t>
  </si>
  <si>
    <t xml:space="preserve">Greg Toussaint</t>
  </si>
  <si>
    <t xml:space="preserve">Edgar, Dunn &amp; Company</t>
  </si>
  <si>
    <t xml:space="preserve">FATMA AYDIN</t>
  </si>
  <si>
    <t xml:space="preserve">Senior Program Manager, Ground Operations</t>
  </si>
  <si>
    <t xml:space="preserve">Matt Thome</t>
  </si>
  <si>
    <t xml:space="preserve">Sr. CX &amp; Innovation Strategy Consultant</t>
  </si>
  <si>
    <t xml:space="preserve">Southwest Airlines</t>
  </si>
  <si>
    <t xml:space="preserve">Karla Vargas</t>
  </si>
  <si>
    <t xml:space="preserve">Director Customer Experience</t>
  </si>
  <si>
    <t xml:space="preserve">Viva</t>
  </si>
  <si>
    <t xml:space="preserve">Hakan Söğüt</t>
  </si>
  <si>
    <t xml:space="preserve">Senior Vice President Customer Solutions</t>
  </si>
  <si>
    <t xml:space="preserve">Denise Bialek</t>
  </si>
  <si>
    <t xml:space="preserve">VP, Business Development &amp; Partnerships</t>
  </si>
  <si>
    <t xml:space="preserve">Travel Insured International, a Crum &amp; Forster Company</t>
  </si>
  <si>
    <t xml:space="preserve">Jitender Mohan</t>
  </si>
  <si>
    <t xml:space="preserve">EVP &amp; Business Unit Head, Travel &amp; Hospitality</t>
  </si>
  <si>
    <t xml:space="preserve">WNS Global Services (UK) Limited</t>
  </si>
  <si>
    <t xml:space="preserve">Justin Jovignot</t>
  </si>
  <si>
    <t xml:space="preserve">Director, Commercial Strategy and Distribution</t>
  </si>
  <si>
    <t xml:space="preserve">Oleg Kit</t>
  </si>
  <si>
    <t xml:space="preserve">Senior Manager Airline Retailing</t>
  </si>
  <si>
    <t xml:space="preserve">Maddalena Mirai</t>
  </si>
  <si>
    <t xml:space="preserve">VP IAG Group Commercial Strategy</t>
  </si>
  <si>
    <t xml:space="preserve">Tristan Thomas</t>
  </si>
  <si>
    <t xml:space="preserve">Global Industry Leader</t>
  </si>
  <si>
    <t xml:space="preserve">IBM</t>
  </si>
  <si>
    <t xml:space="preserve">Chris Gorton</t>
  </si>
  <si>
    <t xml:space="preserve">Cyber Security Certification Lead</t>
  </si>
  <si>
    <t xml:space="preserve">UK Civil Aviation Authority</t>
  </si>
  <si>
    <t xml:space="preserve">Patrick Mana</t>
  </si>
  <si>
    <t xml:space="preserve">CybersecurityProgram Manager - EATM-CERT Manager</t>
  </si>
  <si>
    <t xml:space="preserve">Luka Pace Bonello</t>
  </si>
  <si>
    <t xml:space="preserve">Information Security Manager</t>
  </si>
  <si>
    <t xml:space="preserve">Jetfly</t>
  </si>
  <si>
    <t xml:space="preserve">GTM CTO</t>
  </si>
  <si>
    <t xml:space="preserve">Fernando Almeida</t>
  </si>
  <si>
    <t xml:space="preserve">Head of Information Security</t>
  </si>
  <si>
    <t xml:space="preserve">Sata air açores</t>
  </si>
  <si>
    <t xml:space="preserve">Founder</t>
  </si>
  <si>
    <t xml:space="preserve">Head of Business Development</t>
  </si>
  <si>
    <t xml:space="preserve">Rhonda Crawford</t>
  </si>
  <si>
    <t xml:space="preserve">Senior Vice President Customer Experience Design &amp; Strategy</t>
  </si>
  <si>
    <t xml:space="preserve">American airlines</t>
  </si>
  <si>
    <t xml:space="preserve">Strategy Lead GenAI &amp; Agentic Automation</t>
  </si>
  <si>
    <t xml:space="preserve">Dennis Lore</t>
  </si>
  <si>
    <t xml:space="preserve">Payments Reconciliations and Credit Risk Accountant Manager</t>
  </si>
  <si>
    <t xml:space="preserve">Kenya Airways</t>
  </si>
  <si>
    <t xml:space="preserve">Head of Customer Retention</t>
  </si>
  <si>
    <t xml:space="preserve">Head/Sr. Manager - Training Governance, Quality and Curriculum</t>
  </si>
  <si>
    <t xml:space="preserve">Jonas von Kruechten</t>
  </si>
  <si>
    <t xml:space="preserve">Principal Advisor (dgtlsky)</t>
  </si>
  <si>
    <t xml:space="preserve">Dgtlsky</t>
  </si>
  <si>
    <t xml:space="preserve">Senior RM System Specialist</t>
  </si>
  <si>
    <t xml:space="preserve">Marion Geoffroy</t>
  </si>
  <si>
    <t xml:space="preserve">Chief People Officer</t>
  </si>
  <si>
    <t xml:space="preserve">Wizz Air Hungary Ltd</t>
  </si>
  <si>
    <t xml:space="preserve">Veronica Hull</t>
  </si>
  <si>
    <t xml:space="preserve">Transformation &amp; Change Execution Leader</t>
  </si>
  <si>
    <t xml:space="preserve">Independent</t>
  </si>
  <si>
    <t xml:space="preserve">Ally Vivoli</t>
  </si>
  <si>
    <t xml:space="preserve">Sr Manager, Time &amp; Attendance</t>
  </si>
  <si>
    <t xml:space="preserve">Jon LeBlanc</t>
  </si>
  <si>
    <t xml:space="preserve">VP of Sales</t>
  </si>
  <si>
    <t xml:space="preserve">Infor (United Kingdom) Ltd</t>
  </si>
  <si>
    <t xml:space="preserve">Andrew Traeger</t>
  </si>
  <si>
    <t xml:space="preserve">RVP Workforce Managment</t>
  </si>
  <si>
    <t xml:space="preserve">Infor</t>
  </si>
  <si>
    <t xml:space="preserve">Juliet Thomson</t>
  </si>
  <si>
    <t xml:space="preserve">Menzies Aviation</t>
  </si>
  <si>
    <t xml:space="preserve">Elly Tomlins</t>
  </si>
  <si>
    <t xml:space="preserve">EasyJet</t>
  </si>
  <si>
    <t xml:space="preserve">Robert Fenech</t>
  </si>
  <si>
    <t xml:space="preserve">Chief Officer People &amp; Culture</t>
  </si>
  <si>
    <t xml:space="preserve">KM Malta Airlines</t>
  </si>
  <si>
    <t xml:space="preserve">Renato Covelo</t>
  </si>
  <si>
    <t xml:space="preserve">Chief People &amp; Talent Officer</t>
  </si>
  <si>
    <t xml:space="preserve">Avianca Group</t>
  </si>
  <si>
    <t xml:space="preserve">Co-Founder and COO</t>
  </si>
  <si>
    <t xml:space="preserve">CCO</t>
  </si>
  <si>
    <t xml:space="preserve">Ralph Wagner</t>
  </si>
  <si>
    <t xml:space="preserve">Axinom</t>
  </si>
  <si>
    <t xml:space="preserve">Ben Asmar</t>
  </si>
  <si>
    <t xml:space="preserve">VP Strategy, Marketing &amp; Corporate Development</t>
  </si>
  <si>
    <t xml:space="preserve">RAVE Aerospace</t>
  </si>
  <si>
    <t xml:space="preserve">Colleen Tynan</t>
  </si>
  <si>
    <t xml:space="preserve">Vice President - Inflight Services</t>
  </si>
  <si>
    <t xml:space="preserve">Porter Airlines</t>
  </si>
  <si>
    <t xml:space="preserve">Vice President Strategic Commercial Projects</t>
  </si>
  <si>
    <t xml:space="preserve">Maris Zilgalvis</t>
  </si>
  <si>
    <t xml:space="preserve">Head of Payments and Distribution</t>
  </si>
  <si>
    <t xml:space="preserve">Air Baltic</t>
  </si>
  <si>
    <t xml:space="preserve">Peter Keenan</t>
  </si>
  <si>
    <t xml:space="preserve">Co-Founder &amp; CEO</t>
  </si>
  <si>
    <t xml:space="preserve">APEXX Global</t>
  </si>
  <si>
    <t xml:space="preserve">Damien Cramer</t>
  </si>
  <si>
    <t xml:space="preserve">Senior Vice President – Global Travel</t>
  </si>
  <si>
    <t xml:space="preserve">Nuvei</t>
  </si>
  <si>
    <t xml:space="preserve">Verity Kyley</t>
  </si>
  <si>
    <t xml:space="preserve">Head of Payments, Agent UI &amp; CRM Platform</t>
  </si>
  <si>
    <t xml:space="preserve">Senior Program Manager, Ramp Operations</t>
  </si>
  <si>
    <t xml:space="preserve">Tom Garrison</t>
  </si>
  <si>
    <t xml:space="preserve">Enterprise Architect - Emerging Trends, Innovation &amp; R&amp;D</t>
  </si>
  <si>
    <t xml:space="preserve">Lukas Kaestner</t>
  </si>
  <si>
    <t xml:space="preserve">Co-Founder &amp; Chief Commercial Officer</t>
  </si>
  <si>
    <t xml:space="preserve">Future Aero Lab</t>
  </si>
  <si>
    <t xml:space="preserve">Henry Mwendia</t>
  </si>
  <si>
    <t xml:space="preserve">Lead Innovation</t>
  </si>
  <si>
    <t xml:space="preserve">Pablo Lopez Loeches</t>
  </si>
  <si>
    <t xml:space="preserve">Head of Ideation &amp; Entrepreneurship Division</t>
  </si>
  <si>
    <t xml:space="preserve">Aena</t>
  </si>
  <si>
    <t xml:space="preserve">Jennifer Crusca</t>
  </si>
  <si>
    <t xml:space="preserve">Operations &amp; Partnerships Principal</t>
  </si>
  <si>
    <t xml:space="preserve">SKY VC</t>
  </si>
  <si>
    <t xml:space="preserve">Murat Can Demir</t>
  </si>
  <si>
    <t xml:space="preserve">Head of Startup Programs and Ecosystem</t>
  </si>
  <si>
    <t xml:space="preserve">Irra Ariella Khi</t>
  </si>
  <si>
    <t xml:space="preserve">Zamna</t>
  </si>
  <si>
    <t xml:space="preserve">Łukasz Ponczek</t>
  </si>
  <si>
    <t xml:space="preserve">Head of Revenue Management CEEME</t>
  </si>
  <si>
    <t xml:space="preserve">PLL LOT</t>
  </si>
  <si>
    <t xml:space="preserve">Laurent Lebard</t>
  </si>
  <si>
    <t xml:space="preserve">Head of RM Strategy</t>
  </si>
  <si>
    <t xml:space="preserve">Citizenplane</t>
  </si>
  <si>
    <t xml:space="preserve">Greg Tarniowy</t>
  </si>
  <si>
    <t xml:space="preserve">Revenue &amp; Pricing</t>
  </si>
  <si>
    <t xml:space="preserve">Arajet Airlines</t>
  </si>
  <si>
    <t xml:space="preserve">Henry Mooney</t>
  </si>
  <si>
    <t xml:space="preserve">Commercial Director</t>
  </si>
  <si>
    <t xml:space="preserve">Planitas</t>
  </si>
  <si>
    <t xml:space="preserve">Sinead Finn</t>
  </si>
  <si>
    <t xml:space="preserve">affinnity</t>
  </si>
  <si>
    <t xml:space="preserve">Mohamed Abdelhamid</t>
  </si>
  <si>
    <t xml:space="preserve">Manager Ground Safety</t>
  </si>
  <si>
    <t xml:space="preserve">Emirates Group</t>
  </si>
  <si>
    <t xml:space="preserve">Waleed Youssef</t>
  </si>
  <si>
    <t xml:space="preserve">Director General</t>
  </si>
  <si>
    <t xml:space="preserve">ASA World</t>
  </si>
  <si>
    <t xml:space="preserve">Neal McMahon</t>
  </si>
  <si>
    <t xml:space="preserve">Chief Operations Officer</t>
  </si>
  <si>
    <t xml:space="preserve">Marc-Philippe Lumpé</t>
  </si>
  <si>
    <t xml:space="preserve">Air Transat</t>
  </si>
  <si>
    <t xml:space="preserve">Captain Majed Al Marzouqi</t>
  </si>
  <si>
    <t xml:space="preserve">Chief Operations and Guest Officer</t>
  </si>
  <si>
    <t xml:space="preserve">Ashish Sharma</t>
  </si>
  <si>
    <t xml:space="preserve">Nagarro</t>
  </si>
  <si>
    <t xml:space="preserve">Jens Koerner</t>
  </si>
  <si>
    <t xml:space="preserve">Head of AI &amp; Analytics</t>
  </si>
  <si>
    <t xml:space="preserve">Jeppesen</t>
  </si>
  <si>
    <t xml:space="preserve">Tamara Bullock</t>
  </si>
  <si>
    <t xml:space="preserve">Founder &amp; Managing Director</t>
  </si>
  <si>
    <t xml:space="preserve">Altitude</t>
  </si>
  <si>
    <t xml:space="preserve">Heida Njola Gudbrandsdottir</t>
  </si>
  <si>
    <t xml:space="preserve">LUISA MARTINEZ</t>
  </si>
  <si>
    <t xml:space="preserve">Customer Protection Center Head Manager</t>
  </si>
  <si>
    <t xml:space="preserve">Aeromexico</t>
  </si>
  <si>
    <t xml:space="preserve">Gemma Maidlow</t>
  </si>
  <si>
    <t xml:space="preserve">Principle Solutions Consultant</t>
  </si>
  <si>
    <t xml:space="preserve">15below</t>
  </si>
  <si>
    <t xml:space="preserve">Viktoriya Soubra</t>
  </si>
  <si>
    <t xml:space="preserve">iCoupon</t>
  </si>
  <si>
    <t xml:space="preserve">Beatriz Guillen</t>
  </si>
  <si>
    <t xml:space="preserve">Chief Customer Officer</t>
  </si>
  <si>
    <t xml:space="preserve">Iberia</t>
  </si>
  <si>
    <t xml:space="preserve">Sofia Lufinha</t>
  </si>
  <si>
    <t xml:space="preserve">Mike Murchison</t>
  </si>
  <si>
    <t xml:space="preserve">CEO &amp; Co-founder</t>
  </si>
  <si>
    <t xml:space="preserve">Ada</t>
  </si>
  <si>
    <t xml:space="preserve">Barry Chester</t>
  </si>
  <si>
    <t xml:space="preserve">Head of Airlines</t>
  </si>
  <si>
    <t xml:space="preserve">Cresta</t>
  </si>
  <si>
    <t xml:space="preserve">Senior Head of Operational Development &amp; Strategy</t>
  </si>
  <si>
    <t xml:space="preserve">Julie Yates</t>
  </si>
  <si>
    <t xml:space="preserve">Deputy Chief Information Officer</t>
  </si>
  <si>
    <t xml:space="preserve">Sumati Sharma</t>
  </si>
  <si>
    <t xml:space="preserve">Partner at Oliver Wyman and, Founder &amp; Co-Chair of “Women in Aviation &amp; Aerospace Charter”</t>
  </si>
  <si>
    <t xml:space="preserve">Oliver Wyman</t>
  </si>
  <si>
    <t xml:space="preserve">Drew Wells</t>
  </si>
  <si>
    <t xml:space="preserve">Allegiant Air</t>
  </si>
  <si>
    <t xml:space="preserve">Strategic Initiatives Lead</t>
  </si>
  <si>
    <t xml:space="preserve">JAIME HECTOR CASTRO LOPEZ</t>
  </si>
  <si>
    <t xml:space="preserve">Vice President of E-commerce and Commercial Strategies</t>
  </si>
  <si>
    <t xml:space="preserve">Azim Barodawala</t>
  </si>
  <si>
    <t xml:space="preserve">Volantio Inc.</t>
  </si>
  <si>
    <t xml:space="preserve">Digital Product Experience Manager - Disruption</t>
  </si>
  <si>
    <t xml:space="preserve">Daniel Friedli</t>
  </si>
  <si>
    <t xml:space="preserve">Daniel Langhage</t>
  </si>
  <si>
    <t xml:space="preserve">Larissa Höcklin</t>
  </si>
  <si>
    <t xml:space="preserve">Jason Balluck</t>
  </si>
  <si>
    <t xml:space="preserve">Abderahmane Berthé</t>
  </si>
  <si>
    <t xml:space="preserve">SECRETARY GENERAL</t>
  </si>
  <si>
    <t xml:space="preserve">Maureen Kahonge</t>
  </si>
  <si>
    <t xml:space="preserve">Director Commercial &amp; Communications</t>
  </si>
  <si>
    <t xml:space="preserve">Kevin Lynn</t>
  </si>
  <si>
    <t xml:space="preserve">Director – Crew Scheduling Technology</t>
  </si>
  <si>
    <t xml:space="preserve">Shiv Nayak</t>
  </si>
  <si>
    <t xml:space="preserve">Head of Data and AI Architecture</t>
  </si>
  <si>
    <t xml:space="preserve">Elizabeth Wright</t>
  </si>
  <si>
    <t xml:space="preserve">Director of Customer &amp; Commercial Delivery</t>
  </si>
  <si>
    <t xml:space="preserve">Nick Silvester</t>
  </si>
  <si>
    <t xml:space="preserve">Europe, Airline Sales Director</t>
  </si>
  <si>
    <t xml:space="preserve">Ses</t>
  </si>
  <si>
    <t xml:space="preserve">Becky Byrne</t>
  </si>
  <si>
    <t xml:space="preserve">Chief Product &amp; Technology Officer</t>
  </si>
  <si>
    <t xml:space="preserve">Onboard Retail</t>
  </si>
  <si>
    <t xml:space="preserve">Patrick Van Der Knoop</t>
  </si>
  <si>
    <t xml:space="preserve">Global VP Airlines Sales &amp; Payment Strategies</t>
  </si>
  <si>
    <t xml:space="preserve">Joao Frias</t>
  </si>
  <si>
    <t xml:space="preserve">Head of Payments Strategy &amp; Global Fraud</t>
  </si>
  <si>
    <t xml:space="preserve">Diogo Jacinto</t>
  </si>
  <si>
    <t xml:space="preserve">Payments Strategy Manager</t>
  </si>
  <si>
    <t xml:space="preserve">Product Lead, Travel</t>
  </si>
  <si>
    <t xml:space="preserve">Vinay Varma</t>
  </si>
  <si>
    <t xml:space="preserve">Senior Vice President and General Manager</t>
  </si>
  <si>
    <t xml:space="preserve">RateGain</t>
  </si>
  <si>
    <t xml:space="preserve">Jay Wardle</t>
  </si>
  <si>
    <t xml:space="preserve">President &amp; GM</t>
  </si>
  <si>
    <t xml:space="preserve">Sojern Corporate</t>
  </si>
  <si>
    <t xml:space="preserve">Owner</t>
  </si>
  <si>
    <t xml:space="preserve">Co-CEO &amp; CCO</t>
  </si>
  <si>
    <t xml:space="preserve">Senior Data Scientist</t>
  </si>
  <si>
    <t xml:space="preserve">Beenish Qaiser</t>
  </si>
  <si>
    <t xml:space="preserve">Director, Intelligent Operations</t>
  </si>
  <si>
    <t xml:space="preserve">Finnair</t>
  </si>
  <si>
    <t xml:space="preserve">Jani Ceder</t>
  </si>
  <si>
    <t xml:space="preserve">VP, Airport Operations Control &amp; Insight</t>
  </si>
  <si>
    <t xml:space="preserve">Finavia</t>
  </si>
  <si>
    <t xml:space="preserve">Ignacio Tobias</t>
  </si>
  <si>
    <t xml:space="preserve">Head of Flight Operations Control Centre</t>
  </si>
  <si>
    <t xml:space="preserve">Yannick Nkengsa</t>
  </si>
  <si>
    <t xml:space="preserve">Manager, Aircraft Software and Data</t>
  </si>
  <si>
    <t xml:space="preserve">CEO Digital Hangar Ecosystem &amp; SVP Digital Solutions</t>
  </si>
  <si>
    <t xml:space="preserve">Amin Lalani</t>
  </si>
  <si>
    <t xml:space="preserve">Product Leader of Airport &amp; Sky Club Digital Products &amp; Experiences</t>
  </si>
  <si>
    <t xml:space="preserve">Delta Air Lines</t>
  </si>
  <si>
    <t xml:space="preserve">Marco Barbosa</t>
  </si>
  <si>
    <t xml:space="preserve">Directior of Guest Care and Delivery</t>
  </si>
  <si>
    <t xml:space="preserve">Sofia Lameira</t>
  </si>
  <si>
    <t xml:space="preserve">Head of Disruption Management</t>
  </si>
  <si>
    <t xml:space="preserve">Tara Spielhagen</t>
  </si>
  <si>
    <t xml:space="preserve">Swiipr Technologies Ltd</t>
  </si>
  <si>
    <t xml:space="preserve">Ashley Seed</t>
  </si>
  <si>
    <t xml:space="preserve">CMAC Group</t>
  </si>
  <si>
    <t xml:space="preserve">Cara Whitehill</t>
  </si>
  <si>
    <t xml:space="preserve">Operating Partner</t>
  </si>
  <si>
    <t xml:space="preserve">Thayer Investment Partners</t>
  </si>
  <si>
    <t xml:space="preserve">Dee Waddell</t>
  </si>
  <si>
    <t xml:space="preserve">Global Head of Consumer, Travel &amp; Transportation Industries</t>
  </si>
  <si>
    <t xml:space="preserve">David Peller</t>
  </si>
  <si>
    <t xml:space="preserve">General Partner &amp; Founder</t>
  </si>
  <si>
    <t xml:space="preserve">If Not You Capital</t>
  </si>
  <si>
    <t xml:space="preserve">Wale Adepoju</t>
  </si>
  <si>
    <t xml:space="preserve">Investor &amp; Board Member, Quvia</t>
  </si>
  <si>
    <t xml:space="preserve">Impetus Capital</t>
  </si>
  <si>
    <t xml:space="preserve">Melissa Skluzacek</t>
  </si>
  <si>
    <t xml:space="preserve">Director - Revenue Management &amp; Commercial Analytics</t>
  </si>
  <si>
    <t xml:space="preserve">Vickie Plevritis</t>
  </si>
  <si>
    <t xml:space="preserve">Digital Technology Director</t>
  </si>
  <si>
    <t xml:space="preserve">Charles Pierre</t>
  </si>
  <si>
    <t xml:space="preserve">CTO &amp; Co-Founder</t>
  </si>
  <si>
    <t xml:space="preserve">Wiremind</t>
  </si>
  <si>
    <t xml:space="preserve">Catarina Silva</t>
  </si>
  <si>
    <t xml:space="preserve">VP Marketing</t>
  </si>
  <si>
    <t xml:space="preserve">Chief Officer Strategy and Growth, TTH</t>
  </si>
  <si>
    <t xml:space="preserve">Vice President of Digital Solutions</t>
  </si>
  <si>
    <t xml:space="preserve">Nour ELKAMASH</t>
  </si>
  <si>
    <t xml:space="preserve">Ecommerce &amp; Payment solutions Manager</t>
  </si>
  <si>
    <t xml:space="preserve">AIR CAIRO</t>
  </si>
  <si>
    <t xml:space="preserve">Chris Stacey</t>
  </si>
  <si>
    <t xml:space="preserve">Vice President, Commercial</t>
  </si>
  <si>
    <t xml:space="preserve">Flex Pay</t>
  </si>
  <si>
    <t xml:space="preserve">Matthijs Bunschoten</t>
  </si>
  <si>
    <t xml:space="preserve">Senior Relationship Manager</t>
  </si>
  <si>
    <t xml:space="preserve">Louis Wapler</t>
  </si>
  <si>
    <t xml:space="preserve">Manager</t>
  </si>
  <si>
    <t xml:space="preserve">Jack McCook</t>
  </si>
  <si>
    <t xml:space="preserve">Chief of Staff, Strategic Programs - Office of Customer Strategy &amp; Innovation</t>
  </si>
  <si>
    <t xml:space="preserve">Ella Schreiber</t>
  </si>
  <si>
    <t xml:space="preserve">SVP and GM Fintech</t>
  </si>
  <si>
    <t xml:space="preserve">Hopper Inc</t>
  </si>
  <si>
    <t xml:space="preserve">Franziska Knuf</t>
  </si>
  <si>
    <t xml:space="preserve">Regional Sales Manager Europe</t>
  </si>
  <si>
    <t xml:space="preserve">Queue-it ApS</t>
  </si>
  <si>
    <t xml:space="preserve">Chairman</t>
  </si>
  <si>
    <t xml:space="preserve">Stefan Schulte</t>
  </si>
  <si>
    <t xml:space="preserve">Fraport AG</t>
  </si>
  <si>
    <t xml:space="preserve">Ben Thompson</t>
  </si>
  <si>
    <t xml:space="preserve">Presenter</t>
  </si>
  <si>
    <t xml:space="preserve">BBC</t>
  </si>
  <si>
    <t xml:space="preserve">Luís Rodrigues</t>
  </si>
  <si>
    <t xml:space="preserve">Peter Campbell</t>
  </si>
  <si>
    <t xml:space="preserve">Global Transport Correspondent</t>
  </si>
  <si>
    <t xml:space="preserve">Financial Times</t>
  </si>
  <si>
    <t xml:space="preserve">Adrian Neuhauser</t>
  </si>
  <si>
    <t xml:space="preserve">Abra Group</t>
  </si>
  <si>
    <t xml:space="preserve">Pierre-Hugues Schmit</t>
  </si>
  <si>
    <t xml:space="preserve">London Gatwick Airport</t>
  </si>
  <si>
    <t xml:space="preserve">Roberto Alvo</t>
  </si>
  <si>
    <t xml:space="preserve">Latam Airlines Group</t>
  </si>
  <si>
    <t xml:space="preserve">Paul Griffiths</t>
  </si>
  <si>
    <t xml:space="preserve">Dubai Airports Company</t>
  </si>
  <si>
    <t xml:space="preserve">Warwick Brady</t>
  </si>
  <si>
    <t xml:space="preserve">President &amp; CEO</t>
  </si>
  <si>
    <t xml:space="preserve">SWISSPORT</t>
  </si>
  <si>
    <t xml:space="preserve">Rodrigo López</t>
  </si>
  <si>
    <t xml:space="preserve">Josh Crandall</t>
  </si>
  <si>
    <t xml:space="preserve">Doug Sharpe</t>
  </si>
  <si>
    <t xml:space="preserve">Megan Humphries</t>
  </si>
  <si>
    <t xml:space="preserve">Ali Tredinnick</t>
  </si>
  <si>
    <t xml:space="preserve">Joe Bennett</t>
  </si>
  <si>
    <t xml:space="preserve">Billie Moore</t>
  </si>
  <si>
    <t xml:space="preserve">Angel Matsis</t>
  </si>
  <si>
    <t xml:space="preserve">Emanuela Maftieu</t>
  </si>
  <si>
    <t xml:space="preserve">Tatiana Deabreu</t>
  </si>
  <si>
    <t xml:space="preserve">Karina Mehl</t>
  </si>
  <si>
    <t xml:space="preserve">Michael Kleinert</t>
  </si>
  <si>
    <t xml:space="preserve">Matthew Maychrowitz</t>
  </si>
  <si>
    <t xml:space="preserve">Rebecca Rea</t>
  </si>
  <si>
    <t xml:space="preserve">James Davies</t>
  </si>
  <si>
    <t xml:space="preserve">Charlotte Ross</t>
  </si>
  <si>
    <t xml:space="preserve">Ana Maria Escobar</t>
  </si>
  <si>
    <t xml:space="preserve">Nikhita Hyett</t>
  </si>
  <si>
    <t xml:space="preserve">Amal Ahmed</t>
  </si>
  <si>
    <t xml:space="preserve">Nives Nadoh</t>
  </si>
  <si>
    <t xml:space="preserve">Samik Ghatak</t>
  </si>
  <si>
    <t xml:space="preserve">RASHI GARG</t>
  </si>
  <si>
    <t xml:space="preserve">Javier Esteve</t>
  </si>
  <si>
    <t xml:space="preserve">Robert Mulet</t>
  </si>
  <si>
    <t xml:space="preserve">Ben Maynard</t>
  </si>
  <si>
    <t xml:space="preserve">Sue Davidson</t>
  </si>
  <si>
    <t xml:space="preserve">Tamás Nacsák</t>
  </si>
  <si>
    <t xml:space="preserve">Gabriella Solti</t>
  </si>
  <si>
    <t xml:space="preserve">Boyan Manev</t>
  </si>
  <si>
    <t xml:space="preserve">MARCELA Pasten</t>
  </si>
  <si>
    <t xml:space="preserve">Maria Whittaker</t>
  </si>
  <si>
    <t xml:space="preserve">Chief Corporate Responsibility Officer</t>
  </si>
  <si>
    <t xml:space="preserve">Patrick Edmond</t>
  </si>
  <si>
    <t xml:space="preserve">Future Energy Global</t>
  </si>
  <si>
    <t xml:space="preserve">SVP Global Business Development</t>
  </si>
  <si>
    <t xml:space="preserve">Ralph Piket</t>
  </si>
  <si>
    <t xml:space="preserve">Chief Loyalty Officer</t>
  </si>
  <si>
    <t xml:space="preserve">Ops Digital Transformation Lead</t>
  </si>
  <si>
    <t xml:space="preserve">Mel Crocker</t>
  </si>
  <si>
    <t xml:space="preserve">CIO</t>
  </si>
  <si>
    <t xml:space="preserve">Samuel C. Ehrat</t>
  </si>
  <si>
    <t xml:space="preserve">Senior Project Leader</t>
  </si>
  <si>
    <t xml:space="preserve">Lorenz Wolf</t>
  </si>
  <si>
    <t xml:space="preserve">ICT Solution Architect</t>
  </si>
  <si>
    <t xml:space="preserve">Programme Manager Innovation Border Management</t>
  </si>
  <si>
    <t xml:space="preserve">VP Digital Commercialization</t>
  </si>
  <si>
    <t xml:space="preserve">Julio Rodriguez</t>
  </si>
  <si>
    <t xml:space="preserve">Chief Commercial Strategy Officer</t>
  </si>
  <si>
    <t xml:space="preserve">Dennis Cary</t>
  </si>
  <si>
    <t xml:space="preserve">Cary Strategic Advisory</t>
  </si>
  <si>
    <t xml:space="preserve">Senior Program Manager, Airline Retailing &amp; Payments</t>
  </si>
  <si>
    <t xml:space="preserve">Joerg Eberhart</t>
  </si>
  <si>
    <t xml:space="preserve">ITA-Airways</t>
  </si>
  <si>
    <t xml:space="preserve">CBDO</t>
  </si>
  <si>
    <t xml:space="preserve">HO Environment and Sustainability Marketing</t>
  </si>
  <si>
    <t xml:space="preserve">Head of Business Development &amp; Senior Data Scientist</t>
  </si>
  <si>
    <t xml:space="preserve">Andrea Halverson</t>
  </si>
  <si>
    <t xml:space="preserve">Director - Contact Center Experience and Innovation</t>
  </si>
  <si>
    <t xml:space="preserve">Karen Romanchuk</t>
  </si>
  <si>
    <t xml:space="preserve">Director, Ancillary Revenue</t>
  </si>
  <si>
    <t xml:space="preserve">Sam Chamberlain</t>
  </si>
  <si>
    <t xml:space="preserve">FLYR</t>
  </si>
  <si>
    <t xml:space="preserve">SVP Travel</t>
  </si>
  <si>
    <t xml:space="preserve">Global Client Director</t>
  </si>
  <si>
    <t xml:space="preserve">Nejib Ben-Khedher</t>
  </si>
  <si>
    <t xml:space="preserve">Divisional Senior Vice President, Skywards</t>
  </si>
  <si>
    <t xml:space="preserve">EMIRATES GROUP</t>
  </si>
  <si>
    <t xml:space="preserve">Pedro Ribeiro</t>
  </si>
  <si>
    <t xml:space="preserve">Loyalty Director</t>
  </si>
  <si>
    <t xml:space="preserve">Arturs Saveljevs</t>
  </si>
  <si>
    <t xml:space="preserve">Board member and CCO</t>
  </si>
  <si>
    <t xml:space="preserve">Riga International Airport</t>
  </si>
  <si>
    <t xml:space="preserve">Gintare Norvilaite-Tautevice</t>
  </si>
  <si>
    <t xml:space="preserve">Lithuanian Airports</t>
  </si>
  <si>
    <t xml:space="preserve">Group CEO</t>
  </si>
  <si>
    <t xml:space="preserve">Matthew Robinson</t>
  </si>
  <si>
    <t xml:space="preserve">Vice President, Airports</t>
  </si>
  <si>
    <t xml:space="preserve">Capgemini</t>
  </si>
  <si>
    <t xml:space="preserve">EVP, Strategy and Innovation</t>
  </si>
  <si>
    <t xml:space="preserve">Owain Jones</t>
  </si>
  <si>
    <t xml:space="preserve">Chief Corporate Officer</t>
  </si>
  <si>
    <t xml:space="preserve">Solutions Engineer</t>
  </si>
  <si>
    <t xml:space="preserve">Sheryl Lee</t>
  </si>
  <si>
    <t xml:space="preserve">Senior Manager- IRROPS Programs &amp; Strategy</t>
  </si>
  <si>
    <t xml:space="preserve">Emre Devrim</t>
  </si>
  <si>
    <t xml:space="preserve">Product &amp; Customer Experience Manager</t>
  </si>
  <si>
    <t xml:space="preserve">Katy Cardwell</t>
  </si>
  <si>
    <t xml:space="preserve">Director of Digital Customer Experience</t>
  </si>
  <si>
    <t xml:space="preserve">Marcus Schnabel</t>
  </si>
  <si>
    <t xml:space="preserve">SunExpress Airlines</t>
  </si>
  <si>
    <t xml:space="preserve">Maurice Jenkins</t>
  </si>
  <si>
    <t xml:space="preserve">Chief Innovation Officer</t>
  </si>
  <si>
    <t xml:space="preserve">Miami International Airport</t>
  </si>
  <si>
    <t xml:space="preserve">Victor Gaarenstroom</t>
  </si>
  <si>
    <t xml:space="preserve">Global Travel &amp; Mobility Lead</t>
  </si>
  <si>
    <t xml:space="preserve">adyen</t>
  </si>
  <si>
    <t xml:space="preserve">Tiddo Veldhuis</t>
  </si>
  <si>
    <t xml:space="preserve">VP Offer Management &amp; Ancillaries</t>
  </si>
  <si>
    <t xml:space="preserve">Juan Pablo Lafosse</t>
  </si>
  <si>
    <t xml:space="preserve">TravelX</t>
  </si>
  <si>
    <t xml:space="preserve">VP Customer Success</t>
  </si>
  <si>
    <t xml:space="preserve">Gyorgy Farkas</t>
  </si>
  <si>
    <t xml:space="preserve">Head of IT Project and Innovation Management</t>
  </si>
  <si>
    <t xml:space="preserve">Budapest Airport</t>
  </si>
  <si>
    <t xml:space="preserve">Nishant Rao</t>
  </si>
  <si>
    <t xml:space="preserve">Director, Aviation Business Development</t>
  </si>
  <si>
    <t xml:space="preserve">Nieuport Aviation</t>
  </si>
  <si>
    <t xml:space="preserve">Ulrike Ziegler</t>
  </si>
  <si>
    <t xml:space="preserve">President of the Board of Directors</t>
  </si>
  <si>
    <t xml:space="preserve">Impact on Sustainable Aviation</t>
  </si>
  <si>
    <t xml:space="preserve">Jan Petter Steinland</t>
  </si>
  <si>
    <t xml:space="preserve">Director Strategic Analysis &amp; Transformation</t>
  </si>
  <si>
    <t xml:space="preserve">Civil Aviation Authority Norway</t>
  </si>
  <si>
    <t xml:space="preserve">Theo Panagiotoulias</t>
  </si>
  <si>
    <t xml:space="preserve">Star Alliance</t>
  </si>
  <si>
    <t xml:space="preserve">Sunil John</t>
  </si>
  <si>
    <t xml:space="preserve">Chief AI Scientist</t>
  </si>
  <si>
    <t xml:space="preserve">SVP Enterprise Data &amp; Analytics</t>
  </si>
  <si>
    <t xml:space="preserve">Shaun Donaghey</t>
  </si>
  <si>
    <t xml:space="preserve">Dan Bartel</t>
  </si>
  <si>
    <t xml:space="preserve">Chief Procurement Officer</t>
  </si>
  <si>
    <t xml:space="preserve">Jason Ward</t>
  </si>
  <si>
    <t xml:space="preserve">Azul Airlines</t>
  </si>
  <si>
    <t xml:space="preserve">Renato Ramos</t>
  </si>
  <si>
    <t xml:space="preserve">Vice President Corporate Strategy</t>
  </si>
  <si>
    <t xml:space="preserve">Eoin Mcnamara</t>
  </si>
  <si>
    <t xml:space="preserve">Co-Founder &amp; Chief Operating Officer</t>
  </si>
  <si>
    <t xml:space="preserve">Michael Murphy</t>
  </si>
  <si>
    <t xml:space="preserve">Co-Founder &amp; Chief Executive Officer</t>
  </si>
  <si>
    <t xml:space="preserve">Gemma Carver</t>
  </si>
  <si>
    <t xml:space="preserve">Bettina Pickl</t>
  </si>
  <si>
    <t xml:space="preserve">Lauren Mann</t>
  </si>
  <si>
    <t xml:space="preserve">Kevin Ma</t>
  </si>
  <si>
    <t xml:space="preserve">Gregory Stephans</t>
  </si>
  <si>
    <t xml:space="preserve">Head of Growth Europe</t>
  </si>
  <si>
    <t xml:space="preserve">Chief Solution Advisor</t>
  </si>
  <si>
    <t xml:space="preserve">Paul Verhagen</t>
  </si>
  <si>
    <t xml:space="preserve">Executive Vice President and Chief Commercial Officer</t>
  </si>
  <si>
    <t xml:space="preserve">SAS</t>
  </si>
  <si>
    <t xml:space="preserve">Ahmed Naeemi</t>
  </si>
  <si>
    <t xml:space="preserve">Chief Information Officer</t>
  </si>
  <si>
    <t xml:space="preserve">Gulf Air Group</t>
  </si>
  <si>
    <t xml:space="preserve">Guido Woska</t>
  </si>
  <si>
    <t xml:space="preserve">Chief Client Officer &amp; Executive Partner</t>
  </si>
  <si>
    <t xml:space="preserve">Manyone</t>
  </si>
  <si>
    <t xml:space="preserve">Paloma Sanz de Andino Jimenéz</t>
  </si>
  <si>
    <t xml:space="preserve">NDC Onboarding and Operation Manager</t>
  </si>
  <si>
    <t xml:space="preserve">Rita Ribeiro</t>
  </si>
  <si>
    <t xml:space="preserve">Head of General Services</t>
  </si>
  <si>
    <t xml:space="preserve">EDP</t>
  </si>
  <si>
    <t xml:space="preserve">Cassie Schmid</t>
  </si>
  <si>
    <t xml:space="preserve">Chief Strategy Officer</t>
  </si>
  <si>
    <t xml:space="preserve">Philadelphia International Airport</t>
  </si>
  <si>
    <t xml:space="preserve">Peta Wolmarans</t>
  </si>
  <si>
    <t xml:space="preserve">Vice President</t>
  </si>
  <si>
    <t xml:space="preserve">Ricondo</t>
  </si>
  <si>
    <t xml:space="preserve">Girish Nair</t>
  </si>
  <si>
    <t xml:space="preserve">Chief Operating Officer</t>
  </si>
  <si>
    <t xml:space="preserve">Bangalore International Airport</t>
  </si>
  <si>
    <t xml:space="preserve">Simon Wilcox</t>
  </si>
  <si>
    <t xml:space="preserve">Founder and CEO</t>
  </si>
  <si>
    <t xml:space="preserve">Wordsworth Consulting Ltd</t>
  </si>
  <si>
    <t xml:space="preserve">DANIEL BRETT</t>
  </si>
  <si>
    <t xml:space="preserve">Manager, Revenue Management - Loyalty Programs &amp; Flight Pass</t>
  </si>
  <si>
    <t xml:space="preserve">Executive officer/CMO, Strategy Lead</t>
  </si>
  <si>
    <t xml:space="preserve">CEO and Cofounder</t>
  </si>
  <si>
    <t xml:space="preserve">Paulo Aguiar</t>
  </si>
  <si>
    <t xml:space="preserve">VP of Airline Solutions &amp; Strategy</t>
  </si>
  <si>
    <t xml:space="preserve">Amach</t>
  </si>
  <si>
    <t xml:space="preserve">Choorah Singh Ark</t>
  </si>
  <si>
    <t xml:space="preserve">Ark Advisory</t>
  </si>
  <si>
    <t xml:space="preserve">Group Head of Strategy &amp; SVP Strategy, Alliances &amp; Partnerships</t>
  </si>
  <si>
    <t xml:space="preserve">Schafer Newman</t>
  </si>
  <si>
    <t xml:space="preserve">Strategy and Insights Manager</t>
  </si>
  <si>
    <t xml:space="preserve">ZS Associates</t>
  </si>
  <si>
    <t xml:space="preserve">Phillip Dugaw</t>
  </si>
  <si>
    <t xml:space="preserve">Director partner strategy</t>
  </si>
  <si>
    <t xml:space="preserve">Kai Paroma</t>
  </si>
  <si>
    <t xml:space="preserve">Manager, Loyalty Partnerships</t>
  </si>
  <si>
    <t xml:space="preserve">Yilmaz Gorali</t>
  </si>
  <si>
    <t xml:space="preserve">Vice President, Airline Retailing - Product Development</t>
  </si>
  <si>
    <t xml:space="preserve">VP Commercial – Global Aviation</t>
  </si>
  <si>
    <t xml:space="preserve">Samer Alhaider</t>
  </si>
  <si>
    <t xml:space="preserve">Senior Manager Online Sales</t>
  </si>
  <si>
    <t xml:space="preserve">Bryony Macdonald</t>
  </si>
  <si>
    <t xml:space="preserve">Head of Partner Success, UK</t>
  </si>
  <si>
    <t xml:space="preserve">Klarna</t>
  </si>
  <si>
    <t xml:space="preserve">Product Solutions Manager</t>
  </si>
  <si>
    <t xml:space="preserve">Alex Mattos</t>
  </si>
  <si>
    <t xml:space="preserve">Co-Founder &amp; Managing Director</t>
  </si>
  <si>
    <t xml:space="preserve">i6 Group</t>
  </si>
  <si>
    <t xml:space="preserve">Steven Fitzgerald</t>
  </si>
  <si>
    <t xml:space="preserve">Director of Sustainability &amp; Finance</t>
  </si>
  <si>
    <t xml:space="preserve">Ryanair Holdings PLC</t>
  </si>
  <si>
    <t xml:space="preserve">CEO &amp; Founder</t>
  </si>
  <si>
    <t xml:space="preserve">President</t>
  </si>
  <si>
    <t xml:space="preserve">Lead FDE</t>
  </si>
  <si>
    <t xml:space="preserve">Mustafa Egilmezbilek</t>
  </si>
  <si>
    <t xml:space="preserve">Ivan Ordas Villamandos</t>
  </si>
  <si>
    <t xml:space="preserve">Head of Distribution and Alliances</t>
  </si>
  <si>
    <t xml:space="preserve">Frontier Airlines</t>
  </si>
  <si>
    <t xml:space="preserve">Rolf Thomke</t>
  </si>
  <si>
    <t xml:space="preserve">Head of Digital Distribution Europe</t>
  </si>
  <si>
    <t xml:space="preserve">Singapore Airlines Limited</t>
  </si>
  <si>
    <t xml:space="preserve">Sean Holdstock</t>
  </si>
  <si>
    <t xml:space="preserve">Head of Aviation EMEA</t>
  </si>
  <si>
    <t xml:space="preserve">Antom</t>
  </si>
  <si>
    <t xml:space="preserve">Ian Citulsky</t>
  </si>
  <si>
    <t xml:space="preserve">SVP Air and Canada</t>
  </si>
  <si>
    <t xml:space="preserve">VP, Travel &amp; Hospitality Strategy</t>
  </si>
  <si>
    <t xml:space="preserve">Adam Schipper</t>
  </si>
  <si>
    <t xml:space="preserve">Global Aviation Lead</t>
  </si>
  <si>
    <t xml:space="preserve">Ericsson</t>
  </si>
  <si>
    <t xml:space="preserve">Chamith Seneviratne</t>
  </si>
  <si>
    <t xml:space="preserve">Manager, Airport Operations</t>
  </si>
  <si>
    <t xml:space="preserve">Sharon Huetson</t>
  </si>
  <si>
    <t xml:space="preserve">Head of Proposition</t>
  </si>
  <si>
    <t xml:space="preserve">Patrick Dowling</t>
  </si>
  <si>
    <t xml:space="preserve">VP Partnerships</t>
  </si>
  <si>
    <t xml:space="preserve">Airalo</t>
  </si>
  <si>
    <t xml:space="preserve">Anvar Kasimov</t>
  </si>
  <si>
    <t xml:space="preserve">Head of the Strategic Development, Project Management and International Relations Department</t>
  </si>
  <si>
    <t xml:space="preserve">Uzbekistan Airports JSC</t>
  </si>
  <si>
    <t xml:space="preserve">Mike Hardaker</t>
  </si>
  <si>
    <t xml:space="preserve">Chief Asset and Development Officer</t>
  </si>
  <si>
    <t xml:space="preserve">Manchester Airport Group</t>
  </si>
  <si>
    <t xml:space="preserve">Senior Innovation Manager</t>
  </si>
  <si>
    <t xml:space="preserve">Sales Manager</t>
  </si>
  <si>
    <t xml:space="preserve">Business Development Manager Green Hydrogen &amp; Carbon Management</t>
  </si>
  <si>
    <t xml:space="preserve">Maciej Kowalówczany</t>
  </si>
  <si>
    <t xml:space="preserve">Head of Customer Experience Strategy</t>
  </si>
  <si>
    <t xml:space="preserve">LOT Polish Airlines</t>
  </si>
  <si>
    <t xml:space="preserve">Frank de Boer</t>
  </si>
  <si>
    <t xml:space="preserve">Director Data and Technology | Customer Loyalty | Flying Blue</t>
  </si>
  <si>
    <t xml:space="preserve">Air France / KLM</t>
  </si>
  <si>
    <t xml:space="preserve">Matthew Walker</t>
  </si>
  <si>
    <t xml:space="preserve">Head of Marketing</t>
  </si>
  <si>
    <t xml:space="preserve">Ihsan Bari</t>
  </si>
  <si>
    <t xml:space="preserve">Head of Contracts &amp; Performance</t>
  </si>
  <si>
    <t xml:space="preserve">Etihad Airways</t>
  </si>
  <si>
    <t xml:space="preserve">CEO &amp; Co-Founder</t>
  </si>
  <si>
    <t xml:space="preserve">Jonathan Hankin</t>
  </si>
  <si>
    <t xml:space="preserve">Head of ESG</t>
  </si>
  <si>
    <t xml:space="preserve">David Buckley</t>
  </si>
  <si>
    <t xml:space="preserve">Flight Operations Manager - Efficiencies &amp; Sustainability</t>
  </si>
  <si>
    <t xml:space="preserve">VP Product Strategy &amp; Sales</t>
  </si>
  <si>
    <t xml:space="preserve">Fetcherr Ltd</t>
  </si>
  <si>
    <t xml:space="preserve">Felix Velazquez</t>
  </si>
  <si>
    <t xml:space="preserve">Chief Revenue Officer</t>
  </si>
  <si>
    <t xml:space="preserve">Vivaaerobus</t>
  </si>
  <si>
    <t xml:space="preserve">Director AI &amp; Customer Experience</t>
  </si>
  <si>
    <t xml:space="preserve">OAG</t>
  </si>
  <si>
    <t xml:space="preserve">Michael Corcoran</t>
  </si>
  <si>
    <t xml:space="preserve">Slice Social</t>
  </si>
  <si>
    <t xml:space="preserve">Oisin Lunny</t>
  </si>
  <si>
    <t xml:space="preserve">Event MC, Journalist, Podcast and Webinar Host</t>
  </si>
  <si>
    <t xml:space="preserve">Galaxy of OM, S.L.</t>
  </si>
  <si>
    <t xml:space="preserve">Lars Redeligx</t>
  </si>
  <si>
    <t xml:space="preserve">Dusseldorf Airport</t>
  </si>
  <si>
    <t xml:space="preserve">Luis Felipe De Oliveira</t>
  </si>
  <si>
    <t xml:space="preserve">Executive Director and CEO</t>
  </si>
  <si>
    <t xml:space="preserve">Exactly Consulting and Services Sarl</t>
  </si>
  <si>
    <t xml:space="preserve">Amy Burr</t>
  </si>
  <si>
    <t xml:space="preserve">Lennart Dobravsky</t>
  </si>
  <si>
    <t xml:space="preserve">Research+Attitude</t>
  </si>
  <si>
    <t xml:space="preserve">Olubunmi Kuku</t>
  </si>
  <si>
    <t xml:space="preserve">Managing Director/Chief Executive</t>
  </si>
  <si>
    <t xml:space="preserve">FEDERAL AIRPORTS AUTHORITY OF NIGERIA</t>
  </si>
  <si>
    <t xml:space="preserve">Javlonbek Umarkhodjaev</t>
  </si>
  <si>
    <t xml:space="preserve">Chairman of the Management Board</t>
  </si>
  <si>
    <t xml:space="preserve">Amir Amidi</t>
  </si>
  <si>
    <t xml:space="preserve">Managing Partner</t>
  </si>
  <si>
    <t xml:space="preserve">Plug and Play Tech Center</t>
  </si>
  <si>
    <t xml:space="preserve">Dan Fischer</t>
  </si>
  <si>
    <t xml:space="preserve">Head of Digital Product, Strategy &amp; Design</t>
  </si>
  <si>
    <t xml:space="preserve">Virgin Australia</t>
  </si>
  <si>
    <t xml:space="preserve">Mark Lenahan</t>
  </si>
  <si>
    <t xml:space="preserve">Lenahan Consulting Ltd</t>
  </si>
  <si>
    <t xml:space="preserve">Co-founder &amp; CEO</t>
  </si>
  <si>
    <t xml:space="preserve">Eivind Roald</t>
  </si>
  <si>
    <t xml:space="preserve">Norse Atlantic Airways</t>
  </si>
  <si>
    <t xml:space="preserve">John Strickland</t>
  </si>
  <si>
    <t xml:space="preserve">JLS Consulting</t>
  </si>
  <si>
    <t xml:space="preserve">Iyad Hindiyeh</t>
  </si>
  <si>
    <t xml:space="preserve">CDO</t>
  </si>
  <si>
    <t xml:space="preserve">GAL - GMR Group</t>
  </si>
  <si>
    <t xml:space="preserve">Head of Flying Blue, VP Loyalty</t>
  </si>
  <si>
    <t xml:space="preserve">Head of EA, Governance, Data &amp; AI, Agentic COE</t>
  </si>
  <si>
    <t xml:space="preserve">Oystin Advisory GmbH</t>
  </si>
  <si>
    <t xml:space="preserve">Project Manager, Global Business Department</t>
  </si>
  <si>
    <t xml:space="preserve">COO</t>
  </si>
  <si>
    <t xml:space="preserve">Chief Technology Officer</t>
  </si>
  <si>
    <t xml:space="preserve">Vanesa Calvo</t>
  </si>
  <si>
    <t xml:space="preserve">Head of Funding and Innovation Trends</t>
  </si>
  <si>
    <t xml:space="preserve">A.E.N.A.</t>
  </si>
  <si>
    <t xml:space="preserve">Sanne Cox</t>
  </si>
  <si>
    <t xml:space="preserve">Innovation Manager</t>
  </si>
  <si>
    <t xml:space="preserve">Royal Schiphol Group</t>
  </si>
  <si>
    <t xml:space="preserve">Eric Boromisa</t>
  </si>
  <si>
    <t xml:space="preserve">Founder | Managing Partner</t>
  </si>
  <si>
    <t xml:space="preserve">Numbers &amp; Letters Advisory</t>
  </si>
  <si>
    <t xml:space="preserve">Anand Mishra</t>
  </si>
  <si>
    <t xml:space="preserve">VP of Technology</t>
  </si>
  <si>
    <t xml:space="preserve">Head of Customer, Business Development &amp; Controlling</t>
  </si>
  <si>
    <t xml:space="preserve">Chief Strategy &amp; External Affairs Officer</t>
  </si>
  <si>
    <t xml:space="preserve">Ofir Goldman</t>
  </si>
  <si>
    <t xml:space="preserve">Director of Global Marketing &amp; Digital</t>
  </si>
  <si>
    <t xml:space="preserve">EL AL Israel Airlines</t>
  </si>
  <si>
    <t xml:space="preserve">Benny Yonovich</t>
  </si>
  <si>
    <t xml:space="preserve">Arbitrip</t>
  </si>
  <si>
    <t xml:space="preserve">Junior Commercial Associate</t>
  </si>
  <si>
    <t xml:space="preserve">Jörg Ahrens</t>
  </si>
  <si>
    <t xml:space="preserve">Head of IT Commercial Systems</t>
  </si>
  <si>
    <t xml:space="preserve">Condor Flugdienst GmbH</t>
  </si>
  <si>
    <t xml:space="preserve">Bhaskara Guntreddy</t>
  </si>
  <si>
    <t xml:space="preserve">Senior Vice President, Product</t>
  </si>
  <si>
    <t xml:space="preserve">Marco Contento</t>
  </si>
  <si>
    <t xml:space="preserve">VP Aviation Business Services</t>
  </si>
  <si>
    <t xml:space="preserve">Jay Sorensen</t>
  </si>
  <si>
    <t xml:space="preserve">IdeaWorksCompany</t>
  </si>
  <si>
    <t xml:space="preserve">Mihai Tica</t>
  </si>
  <si>
    <t xml:space="preserve">Omer Faruk Sonmez</t>
  </si>
  <si>
    <t xml:space="preserve">Senior Vice President Marketing</t>
  </si>
  <si>
    <t xml:space="preserve">Raj Sivakumar</t>
  </si>
  <si>
    <t xml:space="preserve">Corporate Senior Vice President</t>
  </si>
  <si>
    <t xml:space="preserve">Co-founder</t>
  </si>
  <si>
    <t xml:space="preserve">Ivan Karlovic</t>
  </si>
  <si>
    <t xml:space="preserve">Director of data, analytics, and AI</t>
  </si>
  <si>
    <t xml:space="preserve">Norwegian</t>
  </si>
  <si>
    <t xml:space="preserve">Kushal Pasari</t>
  </si>
  <si>
    <t xml:space="preserve">Director - AI/ML Engineering &amp; Platforms</t>
  </si>
  <si>
    <t xml:space="preserve">Tauseef Khan</t>
  </si>
  <si>
    <t xml:space="preserve">Manager of Data &amp; AI</t>
  </si>
  <si>
    <t xml:space="preserve">Adviser</t>
  </si>
  <si>
    <t xml:space="preserve">Rui Santos</t>
  </si>
  <si>
    <t xml:space="preserve">Jose Rui Marcelino</t>
  </si>
  <si>
    <t xml:space="preserve">Margarida Pinto</t>
  </si>
  <si>
    <t xml:space="preserve">Dário Pedro</t>
  </si>
  <si>
    <t xml:space="preserve">Nelson Vaz</t>
  </si>
  <si>
    <t xml:space="preserve">David Cruz</t>
  </si>
  <si>
    <t xml:space="preserve">Lissette Castaneda</t>
  </si>
  <si>
    <t xml:space="preserve">Head of Ancillary Revenue</t>
  </si>
  <si>
    <t xml:space="preserve">Founder, Chief Product Officer</t>
  </si>
  <si>
    <t xml:space="preserve">Barbara Bassi Modalek</t>
  </si>
  <si>
    <t xml:space="preserve">Virtuwella</t>
  </si>
  <si>
    <t xml:space="preserve">Sally Bunnell</t>
  </si>
  <si>
    <t xml:space="preserve">Navi Savi Video Travel Marketplace</t>
  </si>
  <si>
    <t xml:space="preserve">Uma Gopinath</t>
  </si>
  <si>
    <t xml:space="preserve">SVP and Chief Information Officer</t>
  </si>
  <si>
    <t xml:space="preserve">Gilbert Ott</t>
  </si>
  <si>
    <t xml:space="preserve">Director, Loyalty</t>
  </si>
  <si>
    <t xml:space="preserve">oneworld Alliance</t>
  </si>
  <si>
    <t xml:space="preserve">Adam Kressler</t>
  </si>
  <si>
    <t xml:space="preserve">Vice President of Customer Experience</t>
  </si>
  <si>
    <t xml:space="preserve">Cincinnati/Northern Kentucky International Airport (CVG)</t>
  </si>
  <si>
    <t xml:space="preserve">Annemijn Schoenmaker</t>
  </si>
  <si>
    <t xml:space="preserve">Head of Business Platform Infrastructure &amp; IT Projects</t>
  </si>
  <si>
    <t xml:space="preserve">Schiphol Group</t>
  </si>
  <si>
    <t xml:space="preserve">Oliver Hendry</t>
  </si>
  <si>
    <t xml:space="preserve">Program Director</t>
  </si>
  <si>
    <t xml:space="preserve">Airports AI Alliance</t>
  </si>
  <si>
    <t xml:space="preserve">Balamurali Boggu</t>
  </si>
  <si>
    <t xml:space="preserve">Airline Domain Expert</t>
  </si>
  <si>
    <t xml:space="preserve">Anupam Krishnamurthy</t>
  </si>
  <si>
    <t xml:space="preserve">Head of AI Testing</t>
  </si>
  <si>
    <t xml:space="preserve">Karen Ellis</t>
  </si>
  <si>
    <t xml:space="preserve">Airport Assistant General Manager - Chief Customer Experience Officer</t>
  </si>
  <si>
    <t xml:space="preserve">City of Atlanta/ Hartsfield- Jackson International Airport</t>
  </si>
  <si>
    <t xml:space="preserve">Harry Barrett</t>
  </si>
  <si>
    <t xml:space="preserve">Assistant Director of Airports</t>
  </si>
  <si>
    <t xml:space="preserve">Sacramento County International Airport</t>
  </si>
  <si>
    <t xml:space="preserve">Jason Cooper</t>
  </si>
  <si>
    <t xml:space="preserve">Gyoza Flights</t>
  </si>
  <si>
    <t xml:space="preserve">Mariana Zaparolli</t>
  </si>
  <si>
    <t xml:space="preserve">Director - Digital Capabilities and Accelerators</t>
  </si>
  <si>
    <t xml:space="preserve">LATAM Airlines</t>
  </si>
  <si>
    <t xml:space="preserve">Edem Akan</t>
  </si>
  <si>
    <t xml:space="preserve">Director, Enterprise Transformation</t>
  </si>
  <si>
    <t xml:space="preserve">Mustafa Al-Ausaje</t>
  </si>
  <si>
    <t xml:space="preserve">Executive consultant, Director, Technology Strategy and Transformation</t>
  </si>
  <si>
    <t xml:space="preserve">Greater Toronto Airports Authority</t>
  </si>
  <si>
    <t xml:space="preserve">Mark Wallace</t>
  </si>
  <si>
    <t xml:space="preserve">Şeniz Gayde Ayata</t>
  </si>
  <si>
    <t xml:space="preserve">Vice President Data &amp; AI</t>
  </si>
  <si>
    <t xml:space="preserve">Carlos Faxas</t>
  </si>
  <si>
    <t xml:space="preserve">Vice President, Digital Products</t>
  </si>
  <si>
    <t xml:space="preserve">Sara Walter de Freitas</t>
  </si>
  <si>
    <t xml:space="preserve">Director Digital &amp; e-Commerce</t>
  </si>
  <si>
    <t xml:space="preserve">Glenn Morgan</t>
  </si>
  <si>
    <t xml:space="preserve">SkiesFifty</t>
  </si>
  <si>
    <t xml:space="preserve">No. of Sessions</t>
  </si>
</sst>
</file>

<file path=xl/styles.xml><?xml version="1.0" encoding="utf-8"?>
<styleSheet xmlns="http://schemas.openxmlformats.org/spreadsheetml/2006/main">
  <numFmts count="2">
    <numFmt numFmtId="164" formatCode="General"/>
    <numFmt numFmtId="165" formatCode="hh:mm"/>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2"/>
      <color rgb="FF1F3864"/>
      <name val="Arial"/>
      <family val="0"/>
      <charset val="1"/>
    </font>
    <font>
      <b val="true"/>
      <sz val="10"/>
      <color rgb="FFFFFFFF"/>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AllSessions" displayName="AllSessions" ref="A1:T309" headerRowCount="1" totalsRowCount="0" totalsRowShown="0">
  <autoFilter ref="A1:T30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2.xml><?xml version="1.0" encoding="utf-8"?>
<table xmlns="http://schemas.openxmlformats.org/spreadsheetml/2006/main" id="2" name="Day1" displayName="Day1" ref="A1:T116" headerRowCount="1" totalsRowCount="0" totalsRowShown="0">
  <autoFilter ref="A1:T116"/>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3.xml><?xml version="1.0" encoding="utf-8"?>
<table xmlns="http://schemas.openxmlformats.org/spreadsheetml/2006/main" id="3" name="Day2" displayName="Day2" ref="A1:T139" headerRowCount="1" totalsRowCount="0" totalsRowShown="0">
  <autoFilter ref="A1:T13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4.xml><?xml version="1.0" encoding="utf-8"?>
<table xmlns="http://schemas.openxmlformats.org/spreadsheetml/2006/main" id="4" name="Day3" displayName="Day3" ref="A1:T56" headerRowCount="1" totalsRowCount="0" totalsRowShown="0">
  <autoFilter ref="A1:T56"/>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5.xml><?xml version="1.0" encoding="utf-8"?>
<table xmlns="http://schemas.openxmlformats.org/spreadsheetml/2006/main" id="5" name="SpeakerAppearances" displayName="SpeakerAppearances" ref="A1:J668" headerRowCount="1" totalsRowCount="0" totalsRowShown="0">
  <autoFilter ref="A1:J668"/>
  <tableColumns count="10">
    <tableColumn id="1" name="Name"/>
    <tableColumn id="2" name="Job Title"/>
    <tableColumn id="3" name="Organisation"/>
    <tableColumn id="4" name="Role"/>
    <tableColumn id="5" name="Day"/>
    <tableColumn id="6" name="Start"/>
    <tableColumn id="7" name="Stream / Category"/>
    <tableColumn id="8" name="Format"/>
    <tableColumn id="9" name="Session Title"/>
    <tableColumn id="10" name="Room / Stage"/>
  </tableColumns>
</table>
</file>

<file path=xl/tables/table6.xml><?xml version="1.0" encoding="utf-8"?>
<table xmlns="http://schemas.openxmlformats.org/spreadsheetml/2006/main" id="6" name="SpeakerDirectory" displayName="SpeakerDirectory" ref="A1:D495" headerRowCount="1" totalsRowCount="0" totalsRowShown="0">
  <autoFilter ref="A1:D495"/>
  <tableColumns count="4">
    <tableColumn id="1" name="Name"/>
    <tableColumn id="2" name="Job Title"/>
    <tableColumn id="3" name="Organisation"/>
    <tableColumn id="4" name="No. of Sessions"/>
  </tableColumns>
</table>
</file>

<file path=xl/tables/table7.xml><?xml version="1.0" encoding="utf-8"?>
<table xmlns="http://schemas.openxmlformats.org/spreadsheetml/2006/main" id="7" name="StreamSummary" displayName="StreamSummary" ref="A9:E36" headerRowCount="1" totalsRowCount="0" totalsRowShown="0">
  <autoFilter ref="A9:E36"/>
  <tableColumns count="5">
    <tableColumn id="1" name="Stream / Category"/>
    <tableColumn id="2" name="Day 1"/>
    <tableColumn id="3" name="Day 2"/>
    <tableColumn id="4" name="Day 3"/>
    <tableColumn id="5" name="Tota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7.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_rels/sheet7.xml.rels><?xml version="1.0" encoding="UTF-8"?>
<Relationships xmlns="http://schemas.openxmlformats.org/package/2006/relationships"><Relationship Id="rId1" Type="http://schemas.openxmlformats.org/officeDocument/2006/relationships/table" Target="../tables/table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0"/>
  </cols>
  <sheetData>
    <row r="1" customFormat="false" ht="17.35" hidden="false" customHeight="false" outlineLevel="0" collapsed="false">
      <c r="A1" s="1" t="s">
        <v>0</v>
      </c>
    </row>
    <row r="3" customFormat="false" ht="15" hidden="false" customHeight="true" outlineLevel="0" collapsed="false">
      <c r="A3" s="2" t="s">
        <v>1</v>
      </c>
      <c r="B3" s="3" t="s">
        <v>2</v>
      </c>
      <c r="C3" s="3"/>
      <c r="D3" s="3"/>
      <c r="E3" s="3"/>
      <c r="F3" s="3"/>
      <c r="G3" s="3"/>
      <c r="H3" s="3"/>
    </row>
    <row r="4" customFormat="false" ht="15" hidden="false" customHeight="true" outlineLevel="0" collapsed="false">
      <c r="A4" s="2" t="s">
        <v>3</v>
      </c>
      <c r="B4" s="3" t="s">
        <v>4</v>
      </c>
      <c r="C4" s="3"/>
      <c r="D4" s="3"/>
      <c r="E4" s="3"/>
      <c r="F4" s="3"/>
      <c r="G4" s="3"/>
      <c r="H4" s="3"/>
    </row>
    <row r="5" customFormat="false" ht="109.5" hidden="false" customHeight="true" outlineLevel="0" collapsed="false">
      <c r="A5" s="2" t="s">
        <v>5</v>
      </c>
      <c r="B5" s="3" t="s">
        <v>6</v>
      </c>
      <c r="C5" s="3"/>
      <c r="D5" s="3"/>
      <c r="E5" s="3"/>
      <c r="F5" s="3"/>
      <c r="G5" s="3"/>
      <c r="H5" s="3"/>
    </row>
    <row r="8" customFormat="false" ht="15" hidden="false" customHeight="false" outlineLevel="0" collapsed="false">
      <c r="A8" s="4" t="s">
        <v>7</v>
      </c>
    </row>
    <row r="9" customFormat="false" ht="30" hidden="false" customHeight="true" outlineLevel="0" collapsed="false">
      <c r="A9" s="5" t="s">
        <v>8</v>
      </c>
      <c r="B9" s="5" t="s">
        <v>9</v>
      </c>
      <c r="C9" s="5" t="s">
        <v>10</v>
      </c>
      <c r="D9" s="5" t="s">
        <v>11</v>
      </c>
      <c r="E9" s="5" t="s">
        <v>12</v>
      </c>
    </row>
    <row r="10" customFormat="false" ht="15" hidden="false" customHeight="false" outlineLevel="0" collapsed="false">
      <c r="A10" s="6" t="s">
        <v>13</v>
      </c>
      <c r="B10" s="6" t="n">
        <f aca="false">COUNTIFS('All Sessions'!$E$2:$E$309,$A10,'All Sessions'!$B$2:$B$309,"Day 1")</f>
        <v>0</v>
      </c>
      <c r="C10" s="6" t="n">
        <f aca="false">COUNTIFS('All Sessions'!$E$2:$E$309,$A10,'All Sessions'!$B$2:$B$309,"Day 2")</f>
        <v>8</v>
      </c>
      <c r="D10" s="6" t="n">
        <f aca="false">COUNTIFS('All Sessions'!$E$2:$E$309,$A10,'All Sessions'!$B$2:$B$309,"Day 3")</f>
        <v>7</v>
      </c>
      <c r="E10" s="6" t="n">
        <f aca="false">SUM(B10:D10)</f>
        <v>15</v>
      </c>
    </row>
    <row r="11" customFormat="false" ht="15" hidden="false" customHeight="false" outlineLevel="0" collapsed="false">
      <c r="A11" s="6" t="s">
        <v>14</v>
      </c>
      <c r="B11" s="6" t="n">
        <f aca="false">COUNTIFS('All Sessions'!$E$2:$E$309,$A11,'All Sessions'!$B$2:$B$309,"Day 1")</f>
        <v>3</v>
      </c>
      <c r="C11" s="6" t="n">
        <f aca="false">COUNTIFS('All Sessions'!$E$2:$E$309,$A11,'All Sessions'!$B$2:$B$309,"Day 2")</f>
        <v>16</v>
      </c>
      <c r="D11" s="6" t="n">
        <f aca="false">COUNTIFS('All Sessions'!$E$2:$E$309,$A11,'All Sessions'!$B$2:$B$309,"Day 3")</f>
        <v>7</v>
      </c>
      <c r="E11" s="6" t="n">
        <f aca="false">SUM(B11:D11)</f>
        <v>26</v>
      </c>
    </row>
    <row r="12" customFormat="false" ht="15" hidden="false" customHeight="false" outlineLevel="0" collapsed="false">
      <c r="A12" s="6" t="s">
        <v>15</v>
      </c>
      <c r="B12" s="6" t="n">
        <f aca="false">COUNTIFS('All Sessions'!$E$2:$E$309,$A12,'All Sessions'!$B$2:$B$309,"Day 1")</f>
        <v>0</v>
      </c>
      <c r="C12" s="6" t="n">
        <f aca="false">COUNTIFS('All Sessions'!$E$2:$E$309,$A12,'All Sessions'!$B$2:$B$309,"Day 2")</f>
        <v>6</v>
      </c>
      <c r="D12" s="6" t="n">
        <f aca="false">COUNTIFS('All Sessions'!$E$2:$E$309,$A12,'All Sessions'!$B$2:$B$309,"Day 3")</f>
        <v>5</v>
      </c>
      <c r="E12" s="6" t="n">
        <f aca="false">SUM(B12:D12)</f>
        <v>11</v>
      </c>
    </row>
    <row r="13" customFormat="false" ht="15" hidden="false" customHeight="false" outlineLevel="0" collapsed="false">
      <c r="A13" s="6" t="s">
        <v>16</v>
      </c>
      <c r="B13" s="6" t="n">
        <f aca="false">COUNTIFS('All Sessions'!$E$2:$E$309,$A13,'All Sessions'!$B$2:$B$309,"Day 1")</f>
        <v>0</v>
      </c>
      <c r="C13" s="6" t="n">
        <f aca="false">COUNTIFS('All Sessions'!$E$2:$E$309,$A13,'All Sessions'!$B$2:$B$309,"Day 2")</f>
        <v>3</v>
      </c>
      <c r="D13" s="6" t="n">
        <f aca="false">COUNTIFS('All Sessions'!$E$2:$E$309,$A13,'All Sessions'!$B$2:$B$309,"Day 3")</f>
        <v>2</v>
      </c>
      <c r="E13" s="6" t="n">
        <f aca="false">SUM(B13:D13)</f>
        <v>5</v>
      </c>
    </row>
    <row r="14" customFormat="false" ht="15" hidden="false" customHeight="false" outlineLevel="0" collapsed="false">
      <c r="A14" s="6" t="s">
        <v>17</v>
      </c>
      <c r="B14" s="6" t="n">
        <f aca="false">COUNTIFS('All Sessions'!$E$2:$E$309,$A14,'All Sessions'!$B$2:$B$309,"Day 1")</f>
        <v>0</v>
      </c>
      <c r="C14" s="6" t="n">
        <f aca="false">COUNTIFS('All Sessions'!$E$2:$E$309,$A14,'All Sessions'!$B$2:$B$309,"Day 2")</f>
        <v>5</v>
      </c>
      <c r="D14" s="6" t="n">
        <f aca="false">COUNTIFS('All Sessions'!$E$2:$E$309,$A14,'All Sessions'!$B$2:$B$309,"Day 3")</f>
        <v>0</v>
      </c>
      <c r="E14" s="6" t="n">
        <f aca="false">SUM(B14:D14)</f>
        <v>5</v>
      </c>
    </row>
    <row r="15" customFormat="false" ht="15" hidden="false" customHeight="false" outlineLevel="0" collapsed="false">
      <c r="A15" s="6" t="s">
        <v>18</v>
      </c>
      <c r="B15" s="6" t="n">
        <f aca="false">COUNTIFS('All Sessions'!$E$2:$E$309,$A15,'All Sessions'!$B$2:$B$309,"Day 1")</f>
        <v>0</v>
      </c>
      <c r="C15" s="6" t="n">
        <f aca="false">COUNTIFS('All Sessions'!$E$2:$E$309,$A15,'All Sessions'!$B$2:$B$309,"Day 2")</f>
        <v>6</v>
      </c>
      <c r="D15" s="6" t="n">
        <f aca="false">COUNTIFS('All Sessions'!$E$2:$E$309,$A15,'All Sessions'!$B$2:$B$309,"Day 3")</f>
        <v>2</v>
      </c>
      <c r="E15" s="6" t="n">
        <f aca="false">SUM(B15:D15)</f>
        <v>8</v>
      </c>
    </row>
    <row r="16" customFormat="false" ht="15" hidden="false" customHeight="false" outlineLevel="0" collapsed="false">
      <c r="A16" s="6" t="s">
        <v>19</v>
      </c>
      <c r="B16" s="6" t="n">
        <f aca="false">COUNTIFS('All Sessions'!$E$2:$E$309,$A16,'All Sessions'!$B$2:$B$309,"Day 1")</f>
        <v>0</v>
      </c>
      <c r="C16" s="6" t="n">
        <f aca="false">COUNTIFS('All Sessions'!$E$2:$E$309,$A16,'All Sessions'!$B$2:$B$309,"Day 2")</f>
        <v>3</v>
      </c>
      <c r="D16" s="6" t="n">
        <f aca="false">COUNTIFS('All Sessions'!$E$2:$E$309,$A16,'All Sessions'!$B$2:$B$309,"Day 3")</f>
        <v>0</v>
      </c>
      <c r="E16" s="6" t="n">
        <f aca="false">SUM(B16:D16)</f>
        <v>3</v>
      </c>
    </row>
    <row r="17" customFormat="false" ht="15" hidden="false" customHeight="false" outlineLevel="0" collapsed="false">
      <c r="A17" s="6" t="s">
        <v>20</v>
      </c>
      <c r="B17" s="6" t="n">
        <f aca="false">COUNTIFS('All Sessions'!$E$2:$E$309,$A17,'All Sessions'!$B$2:$B$309,"Day 1")</f>
        <v>3</v>
      </c>
      <c r="C17" s="6" t="n">
        <f aca="false">COUNTIFS('All Sessions'!$E$2:$E$309,$A17,'All Sessions'!$B$2:$B$309,"Day 2")</f>
        <v>0</v>
      </c>
      <c r="D17" s="6" t="n">
        <f aca="false">COUNTIFS('All Sessions'!$E$2:$E$309,$A17,'All Sessions'!$B$2:$B$309,"Day 3")</f>
        <v>0</v>
      </c>
      <c r="E17" s="6" t="n">
        <f aca="false">SUM(B17:D17)</f>
        <v>3</v>
      </c>
    </row>
    <row r="18" customFormat="false" ht="15" hidden="false" customHeight="false" outlineLevel="0" collapsed="false">
      <c r="A18" s="6" t="s">
        <v>21</v>
      </c>
      <c r="B18" s="6" t="n">
        <f aca="false">COUNTIFS('All Sessions'!$E$2:$E$309,$A18,'All Sessions'!$B$2:$B$309,"Day 1")</f>
        <v>14</v>
      </c>
      <c r="C18" s="6" t="n">
        <f aca="false">COUNTIFS('All Sessions'!$E$2:$E$309,$A18,'All Sessions'!$B$2:$B$309,"Day 2")</f>
        <v>8</v>
      </c>
      <c r="D18" s="6" t="n">
        <f aca="false">COUNTIFS('All Sessions'!$E$2:$E$309,$A18,'All Sessions'!$B$2:$B$309,"Day 3")</f>
        <v>0</v>
      </c>
      <c r="E18" s="6" t="n">
        <f aca="false">SUM(B18:D18)</f>
        <v>22</v>
      </c>
    </row>
    <row r="19" customFormat="false" ht="15" hidden="false" customHeight="false" outlineLevel="0" collapsed="false">
      <c r="A19" s="6" t="s">
        <v>22</v>
      </c>
      <c r="B19" s="6" t="n">
        <f aca="false">COUNTIFS('All Sessions'!$E$2:$E$309,$A19,'All Sessions'!$B$2:$B$309,"Day 1")</f>
        <v>6</v>
      </c>
      <c r="C19" s="6" t="n">
        <f aca="false">COUNTIFS('All Sessions'!$E$2:$E$309,$A19,'All Sessions'!$B$2:$B$309,"Day 2")</f>
        <v>0</v>
      </c>
      <c r="D19" s="6" t="n">
        <f aca="false">COUNTIFS('All Sessions'!$E$2:$E$309,$A19,'All Sessions'!$B$2:$B$309,"Day 3")</f>
        <v>0</v>
      </c>
      <c r="E19" s="6" t="n">
        <f aca="false">SUM(B19:D19)</f>
        <v>6</v>
      </c>
    </row>
    <row r="20" customFormat="false" ht="15" hidden="false" customHeight="false" outlineLevel="0" collapsed="false">
      <c r="A20" s="6" t="s">
        <v>23</v>
      </c>
      <c r="B20" s="6" t="n">
        <f aca="false">COUNTIFS('All Sessions'!$E$2:$E$309,$A20,'All Sessions'!$B$2:$B$309,"Day 1")</f>
        <v>0</v>
      </c>
      <c r="C20" s="6" t="n">
        <f aca="false">COUNTIFS('All Sessions'!$E$2:$E$309,$A20,'All Sessions'!$B$2:$B$309,"Day 2")</f>
        <v>7</v>
      </c>
      <c r="D20" s="6" t="n">
        <f aca="false">COUNTIFS('All Sessions'!$E$2:$E$309,$A20,'All Sessions'!$B$2:$B$309,"Day 3")</f>
        <v>5</v>
      </c>
      <c r="E20" s="6" t="n">
        <f aca="false">SUM(B20:D20)</f>
        <v>12</v>
      </c>
    </row>
    <row r="21" customFormat="false" ht="15" hidden="false" customHeight="false" outlineLevel="0" collapsed="false">
      <c r="A21" s="6" t="s">
        <v>24</v>
      </c>
      <c r="B21" s="6" t="n">
        <f aca="false">COUNTIFS('All Sessions'!$E$2:$E$309,$A21,'All Sessions'!$B$2:$B$309,"Day 1")</f>
        <v>6</v>
      </c>
      <c r="C21" s="6" t="n">
        <f aca="false">COUNTIFS('All Sessions'!$E$2:$E$309,$A21,'All Sessions'!$B$2:$B$309,"Day 2")</f>
        <v>0</v>
      </c>
      <c r="D21" s="6" t="n">
        <f aca="false">COUNTIFS('All Sessions'!$E$2:$E$309,$A21,'All Sessions'!$B$2:$B$309,"Day 3")</f>
        <v>0</v>
      </c>
      <c r="E21" s="6" t="n">
        <f aca="false">SUM(B21:D21)</f>
        <v>6</v>
      </c>
    </row>
    <row r="22" customFormat="false" ht="15" hidden="false" customHeight="false" outlineLevel="0" collapsed="false">
      <c r="A22" s="6" t="s">
        <v>25</v>
      </c>
      <c r="B22" s="6" t="n">
        <f aca="false">COUNTIFS('All Sessions'!$E$2:$E$309,$A22,'All Sessions'!$B$2:$B$309,"Day 1")</f>
        <v>9</v>
      </c>
      <c r="C22" s="6" t="n">
        <f aca="false">COUNTIFS('All Sessions'!$E$2:$E$309,$A22,'All Sessions'!$B$2:$B$309,"Day 2")</f>
        <v>0</v>
      </c>
      <c r="D22" s="6" t="n">
        <f aca="false">COUNTIFS('All Sessions'!$E$2:$E$309,$A22,'All Sessions'!$B$2:$B$309,"Day 3")</f>
        <v>0</v>
      </c>
      <c r="E22" s="6" t="n">
        <f aca="false">SUM(B22:D22)</f>
        <v>9</v>
      </c>
    </row>
    <row r="23" customFormat="false" ht="15" hidden="false" customHeight="false" outlineLevel="0" collapsed="false">
      <c r="A23" s="6" t="s">
        <v>26</v>
      </c>
      <c r="B23" s="6" t="n">
        <f aca="false">COUNTIFS('All Sessions'!$E$2:$E$309,$A23,'All Sessions'!$B$2:$B$309,"Day 1")</f>
        <v>6</v>
      </c>
      <c r="C23" s="6" t="n">
        <f aca="false">COUNTIFS('All Sessions'!$E$2:$E$309,$A23,'All Sessions'!$B$2:$B$309,"Day 2")</f>
        <v>0</v>
      </c>
      <c r="D23" s="6" t="n">
        <f aca="false">COUNTIFS('All Sessions'!$E$2:$E$309,$A23,'All Sessions'!$B$2:$B$309,"Day 3")</f>
        <v>0</v>
      </c>
      <c r="E23" s="6" t="n">
        <f aca="false">SUM(B23:D23)</f>
        <v>6</v>
      </c>
    </row>
    <row r="24" customFormat="false" ht="15" hidden="false" customHeight="false" outlineLevel="0" collapsed="false">
      <c r="A24" s="6" t="s">
        <v>27</v>
      </c>
      <c r="B24" s="6" t="n">
        <f aca="false">COUNTIFS('All Sessions'!$E$2:$E$309,$A24,'All Sessions'!$B$2:$B$309,"Day 1")</f>
        <v>11</v>
      </c>
      <c r="C24" s="6" t="n">
        <f aca="false">COUNTIFS('All Sessions'!$E$2:$E$309,$A24,'All Sessions'!$B$2:$B$309,"Day 2")</f>
        <v>3</v>
      </c>
      <c r="D24" s="6" t="n">
        <f aca="false">COUNTIFS('All Sessions'!$E$2:$E$309,$A24,'All Sessions'!$B$2:$B$309,"Day 3")</f>
        <v>0</v>
      </c>
      <c r="E24" s="6" t="n">
        <f aca="false">SUM(B24:D24)</f>
        <v>14</v>
      </c>
    </row>
    <row r="25" customFormat="false" ht="15" hidden="false" customHeight="false" outlineLevel="0" collapsed="false">
      <c r="A25" s="6" t="s">
        <v>28</v>
      </c>
      <c r="B25" s="6" t="n">
        <f aca="false">COUNTIFS('All Sessions'!$E$2:$E$309,$A25,'All Sessions'!$B$2:$B$309,"Day 1")</f>
        <v>6</v>
      </c>
      <c r="C25" s="6" t="n">
        <f aca="false">COUNTIFS('All Sessions'!$E$2:$E$309,$A25,'All Sessions'!$B$2:$B$309,"Day 2")</f>
        <v>0</v>
      </c>
      <c r="D25" s="6" t="n">
        <f aca="false">COUNTIFS('All Sessions'!$E$2:$E$309,$A25,'All Sessions'!$B$2:$B$309,"Day 3")</f>
        <v>1</v>
      </c>
      <c r="E25" s="6" t="n">
        <f aca="false">SUM(B25:D25)</f>
        <v>7</v>
      </c>
    </row>
    <row r="26" customFormat="false" ht="15" hidden="false" customHeight="false" outlineLevel="0" collapsed="false">
      <c r="A26" s="6" t="s">
        <v>29</v>
      </c>
      <c r="B26" s="6" t="n">
        <f aca="false">COUNTIFS('All Sessions'!$E$2:$E$309,$A26,'All Sessions'!$B$2:$B$309,"Day 1")</f>
        <v>0</v>
      </c>
      <c r="C26" s="6" t="n">
        <f aca="false">COUNTIFS('All Sessions'!$E$2:$E$309,$A26,'All Sessions'!$B$2:$B$309,"Day 2")</f>
        <v>7</v>
      </c>
      <c r="D26" s="6" t="n">
        <f aca="false">COUNTIFS('All Sessions'!$E$2:$E$309,$A26,'All Sessions'!$B$2:$B$309,"Day 3")</f>
        <v>6</v>
      </c>
      <c r="E26" s="6" t="n">
        <f aca="false">SUM(B26:D26)</f>
        <v>13</v>
      </c>
    </row>
    <row r="27" customFormat="false" ht="15" hidden="false" customHeight="false" outlineLevel="0" collapsed="false">
      <c r="A27" s="6" t="s">
        <v>30</v>
      </c>
      <c r="B27" s="6" t="n">
        <f aca="false">COUNTIFS('All Sessions'!$E$2:$E$309,$A27,'All Sessions'!$B$2:$B$309,"Day 1")</f>
        <v>6</v>
      </c>
      <c r="C27" s="6" t="n">
        <f aca="false">COUNTIFS('All Sessions'!$E$2:$E$309,$A27,'All Sessions'!$B$2:$B$309,"Day 2")</f>
        <v>0</v>
      </c>
      <c r="D27" s="6" t="n">
        <f aca="false">COUNTIFS('All Sessions'!$E$2:$E$309,$A27,'All Sessions'!$B$2:$B$309,"Day 3")</f>
        <v>0</v>
      </c>
      <c r="E27" s="6" t="n">
        <f aca="false">SUM(B27:D27)</f>
        <v>6</v>
      </c>
    </row>
    <row r="28" customFormat="false" ht="15" hidden="false" customHeight="false" outlineLevel="0" collapsed="false">
      <c r="A28" s="6" t="s">
        <v>31</v>
      </c>
      <c r="B28" s="6" t="n">
        <f aca="false">COUNTIFS('All Sessions'!$E$2:$E$309,$A28,'All Sessions'!$B$2:$B$309,"Day 1")</f>
        <v>3</v>
      </c>
      <c r="C28" s="6" t="n">
        <f aca="false">COUNTIFS('All Sessions'!$E$2:$E$309,$A28,'All Sessions'!$B$2:$B$309,"Day 2")</f>
        <v>3</v>
      </c>
      <c r="D28" s="6" t="n">
        <f aca="false">COUNTIFS('All Sessions'!$E$2:$E$309,$A28,'All Sessions'!$B$2:$B$309,"Day 3")</f>
        <v>2</v>
      </c>
      <c r="E28" s="6" t="n">
        <f aca="false">SUM(B28:D28)</f>
        <v>8</v>
      </c>
    </row>
    <row r="29" customFormat="false" ht="15" hidden="false" customHeight="false" outlineLevel="0" collapsed="false">
      <c r="A29" s="6" t="s">
        <v>32</v>
      </c>
      <c r="B29" s="6" t="n">
        <f aca="false">COUNTIFS('All Sessions'!$E$2:$E$309,$A29,'All Sessions'!$B$2:$B$309,"Day 1")</f>
        <v>11</v>
      </c>
      <c r="C29" s="6" t="n">
        <f aca="false">COUNTIFS('All Sessions'!$E$2:$E$309,$A29,'All Sessions'!$B$2:$B$309,"Day 2")</f>
        <v>7</v>
      </c>
      <c r="D29" s="6" t="n">
        <f aca="false">COUNTIFS('All Sessions'!$E$2:$E$309,$A29,'All Sessions'!$B$2:$B$309,"Day 3")</f>
        <v>0</v>
      </c>
      <c r="E29" s="6" t="n">
        <f aca="false">SUM(B29:D29)</f>
        <v>18</v>
      </c>
    </row>
    <row r="30" customFormat="false" ht="15" hidden="false" customHeight="false" outlineLevel="0" collapsed="false">
      <c r="A30" s="6" t="s">
        <v>33</v>
      </c>
      <c r="B30" s="6" t="n">
        <f aca="false">COUNTIFS('All Sessions'!$E$2:$E$309,$A30,'All Sessions'!$B$2:$B$309,"Day 1")</f>
        <v>6</v>
      </c>
      <c r="C30" s="6" t="n">
        <f aca="false">COUNTIFS('All Sessions'!$E$2:$E$309,$A30,'All Sessions'!$B$2:$B$309,"Day 2")</f>
        <v>6</v>
      </c>
      <c r="D30" s="6" t="n">
        <f aca="false">COUNTIFS('All Sessions'!$E$2:$E$309,$A30,'All Sessions'!$B$2:$B$309,"Day 3")</f>
        <v>3</v>
      </c>
      <c r="E30" s="6" t="n">
        <f aca="false">SUM(B30:D30)</f>
        <v>15</v>
      </c>
    </row>
    <row r="31" customFormat="false" ht="15" hidden="false" customHeight="false" outlineLevel="0" collapsed="false">
      <c r="A31" s="6" t="s">
        <v>34</v>
      </c>
      <c r="B31" s="6" t="n">
        <f aca="false">COUNTIFS('All Sessions'!$E$2:$E$309,$A31,'All Sessions'!$B$2:$B$309,"Day 1")</f>
        <v>6</v>
      </c>
      <c r="C31" s="6" t="n">
        <f aca="false">COUNTIFS('All Sessions'!$E$2:$E$309,$A31,'All Sessions'!$B$2:$B$309,"Day 2")</f>
        <v>0</v>
      </c>
      <c r="D31" s="6" t="n">
        <f aca="false">COUNTIFS('All Sessions'!$E$2:$E$309,$A31,'All Sessions'!$B$2:$B$309,"Day 3")</f>
        <v>0</v>
      </c>
      <c r="E31" s="6" t="n">
        <f aca="false">SUM(B31:D31)</f>
        <v>6</v>
      </c>
    </row>
    <row r="32" customFormat="false" ht="15" hidden="false" customHeight="false" outlineLevel="0" collapsed="false">
      <c r="A32" s="6" t="s">
        <v>35</v>
      </c>
      <c r="B32" s="6" t="n">
        <f aca="false">COUNTIFS('All Sessions'!$E$2:$E$309,$A32,'All Sessions'!$B$2:$B$309,"Day 1")</f>
        <v>0</v>
      </c>
      <c r="C32" s="6" t="n">
        <f aca="false">COUNTIFS('All Sessions'!$E$2:$E$309,$A32,'All Sessions'!$B$2:$B$309,"Day 2")</f>
        <v>20</v>
      </c>
      <c r="D32" s="6" t="n">
        <f aca="false">COUNTIFS('All Sessions'!$E$2:$E$309,$A32,'All Sessions'!$B$2:$B$309,"Day 3")</f>
        <v>2</v>
      </c>
      <c r="E32" s="6" t="n">
        <f aca="false">SUM(B32:D32)</f>
        <v>22</v>
      </c>
    </row>
    <row r="33" customFormat="false" ht="15" hidden="false" customHeight="false" outlineLevel="0" collapsed="false">
      <c r="A33" s="6" t="s">
        <v>36</v>
      </c>
      <c r="B33" s="6" t="n">
        <f aca="false">COUNTIFS('All Sessions'!$E$2:$E$309,$A33,'All Sessions'!$B$2:$B$309,"Day 1")</f>
        <v>11</v>
      </c>
      <c r="C33" s="6" t="n">
        <f aca="false">COUNTIFS('All Sessions'!$E$2:$E$309,$A33,'All Sessions'!$B$2:$B$309,"Day 2")</f>
        <v>17</v>
      </c>
      <c r="D33" s="6" t="n">
        <f aca="false">COUNTIFS('All Sessions'!$E$2:$E$309,$A33,'All Sessions'!$B$2:$B$309,"Day 3")</f>
        <v>12</v>
      </c>
      <c r="E33" s="6" t="n">
        <f aca="false">SUM(B33:D33)</f>
        <v>40</v>
      </c>
    </row>
    <row r="34" customFormat="false" ht="15" hidden="false" customHeight="false" outlineLevel="0" collapsed="false">
      <c r="A34" s="6" t="s">
        <v>37</v>
      </c>
      <c r="B34" s="6" t="n">
        <f aca="false">COUNTIFS('All Sessions'!$E$2:$E$309,$A34,'All Sessions'!$B$2:$B$309,"Day 1")</f>
        <v>0</v>
      </c>
      <c r="C34" s="6" t="n">
        <f aca="false">COUNTIFS('All Sessions'!$E$2:$E$309,$A34,'All Sessions'!$B$2:$B$309,"Day 2")</f>
        <v>10</v>
      </c>
      <c r="D34" s="6" t="n">
        <f aca="false">COUNTIFS('All Sessions'!$E$2:$E$309,$A34,'All Sessions'!$B$2:$B$309,"Day 3")</f>
        <v>0</v>
      </c>
      <c r="E34" s="6" t="n">
        <f aca="false">SUM(B34:D34)</f>
        <v>10</v>
      </c>
    </row>
    <row r="35" customFormat="false" ht="15" hidden="false" customHeight="false" outlineLevel="0" collapsed="false">
      <c r="A35" s="6" t="s">
        <v>38</v>
      </c>
      <c r="B35" s="6" t="n">
        <f aca="false">COUNTIFS('All Sessions'!$E$2:$E$309,$A35,'All Sessions'!$B$2:$B$309,"Day 1")</f>
        <v>4</v>
      </c>
      <c r="C35" s="6" t="n">
        <f aca="false">COUNTIFS('All Sessions'!$E$2:$E$309,$A35,'All Sessions'!$B$2:$B$309,"Day 2")</f>
        <v>0</v>
      </c>
      <c r="D35" s="6" t="n">
        <f aca="false">COUNTIFS('All Sessions'!$E$2:$E$309,$A35,'All Sessions'!$B$2:$B$309,"Day 3")</f>
        <v>0</v>
      </c>
      <c r="E35" s="6" t="n">
        <f aca="false">SUM(B35:D35)</f>
        <v>4</v>
      </c>
    </row>
    <row r="36" customFormat="false" ht="15" hidden="false" customHeight="false" outlineLevel="0" collapsed="false">
      <c r="A36" s="6" t="s">
        <v>39</v>
      </c>
      <c r="B36" s="6" t="n">
        <f aca="false">COUNTIFS('All Sessions'!$E$2:$E$309,$A36,'All Sessions'!$B$2:$B$309,"Day 1")</f>
        <v>4</v>
      </c>
      <c r="C36" s="6" t="n">
        <f aca="false">COUNTIFS('All Sessions'!$E$2:$E$309,$A36,'All Sessions'!$B$2:$B$309,"Day 2")</f>
        <v>3</v>
      </c>
      <c r="D36" s="6" t="n">
        <f aca="false">COUNTIFS('All Sessions'!$E$2:$E$309,$A36,'All Sessions'!$B$2:$B$309,"Day 3")</f>
        <v>1</v>
      </c>
      <c r="E36" s="6" t="n">
        <f aca="false">SUM(B36:D36)</f>
        <v>8</v>
      </c>
    </row>
    <row r="37" customFormat="false" ht="15" hidden="false" customHeight="false" outlineLevel="0" collapsed="false">
      <c r="A37" s="2" t="s">
        <v>12</v>
      </c>
      <c r="B37" s="2" t="n">
        <f aca="false">SUM(B10:B36)</f>
        <v>115</v>
      </c>
      <c r="C37" s="2" t="n">
        <f aca="false">SUM(C10:C36)</f>
        <v>138</v>
      </c>
      <c r="D37" s="2" t="n">
        <f aca="false">SUM(D10:D36)</f>
        <v>55</v>
      </c>
      <c r="E37" s="2" t="n">
        <f aca="false">SUM(E10:E36)</f>
        <v>308</v>
      </c>
    </row>
  </sheetData>
  <mergeCells count="3">
    <mergeCell ref="B3:H3"/>
    <mergeCell ref="B4:H4"/>
    <mergeCell ref="B5:H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9</v>
      </c>
      <c r="C2" s="7" t="n">
        <v>0.375</v>
      </c>
      <c r="D2" s="7"/>
      <c r="E2" s="6" t="s">
        <v>14</v>
      </c>
      <c r="F2" s="6" t="s">
        <v>59</v>
      </c>
      <c r="G2" s="6" t="s">
        <v>60</v>
      </c>
      <c r="H2" s="6" t="s">
        <v>61</v>
      </c>
      <c r="I2" s="6" t="s">
        <v>62</v>
      </c>
      <c r="J2" s="6" t="s">
        <v>63</v>
      </c>
      <c r="K2" s="6" t="n">
        <v>1</v>
      </c>
      <c r="L2" s="6"/>
      <c r="M2" s="6" t="s">
        <v>64</v>
      </c>
      <c r="N2" s="6" t="s">
        <v>65</v>
      </c>
      <c r="O2" s="6" t="s">
        <v>66</v>
      </c>
      <c r="P2" s="6"/>
      <c r="Q2" s="6"/>
      <c r="R2" s="6"/>
      <c r="S2" s="6"/>
      <c r="T2" s="6"/>
    </row>
    <row r="3" customFormat="false" ht="46.25" hidden="false" customHeight="false" outlineLevel="0" collapsed="false">
      <c r="A3" s="6" t="n">
        <v>2</v>
      </c>
      <c r="B3" s="6" t="s">
        <v>9</v>
      </c>
      <c r="C3" s="7" t="n">
        <v>0.381944444444444</v>
      </c>
      <c r="D3" s="7"/>
      <c r="E3" s="6" t="s">
        <v>14</v>
      </c>
      <c r="F3" s="6" t="s">
        <v>67</v>
      </c>
      <c r="G3" s="6" t="s">
        <v>68</v>
      </c>
      <c r="H3" s="6" t="s">
        <v>69</v>
      </c>
      <c r="I3" s="6" t="s">
        <v>70</v>
      </c>
      <c r="J3" s="6" t="s">
        <v>71</v>
      </c>
      <c r="K3" s="6" t="n">
        <v>2</v>
      </c>
      <c r="L3" s="6"/>
      <c r="M3" s="6" t="s">
        <v>64</v>
      </c>
      <c r="N3" s="6" t="s">
        <v>65</v>
      </c>
      <c r="O3" s="6" t="s">
        <v>64</v>
      </c>
      <c r="P3" s="6"/>
      <c r="Q3" s="6"/>
      <c r="R3" s="6"/>
      <c r="S3" s="6"/>
      <c r="T3" s="6"/>
    </row>
    <row r="4" customFormat="false" ht="57.45" hidden="false" customHeight="false" outlineLevel="0" collapsed="false">
      <c r="A4" s="6" t="n">
        <v>3</v>
      </c>
      <c r="B4" s="6" t="s">
        <v>9</v>
      </c>
      <c r="C4" s="7" t="n">
        <v>0.392361111111111</v>
      </c>
      <c r="D4" s="7"/>
      <c r="E4" s="6" t="s">
        <v>14</v>
      </c>
      <c r="F4" s="6" t="s">
        <v>67</v>
      </c>
      <c r="G4" s="6" t="s">
        <v>72</v>
      </c>
      <c r="H4" s="6" t="s">
        <v>73</v>
      </c>
      <c r="I4" s="6" t="s">
        <v>74</v>
      </c>
      <c r="J4" s="6" t="s">
        <v>75</v>
      </c>
      <c r="K4" s="6" t="n">
        <v>3</v>
      </c>
      <c r="L4" s="6"/>
      <c r="M4" s="6" t="s">
        <v>64</v>
      </c>
      <c r="N4" s="6" t="s">
        <v>65</v>
      </c>
      <c r="O4" s="6" t="s">
        <v>64</v>
      </c>
      <c r="P4" s="6"/>
      <c r="Q4" s="6"/>
      <c r="R4" s="6"/>
      <c r="S4" s="6"/>
      <c r="T4" s="6"/>
    </row>
    <row r="5" customFormat="false" ht="23.85" hidden="false" customHeight="false" outlineLevel="0" collapsed="false">
      <c r="A5" s="6" t="n">
        <v>4</v>
      </c>
      <c r="B5" s="6" t="s">
        <v>9</v>
      </c>
      <c r="C5" s="7" t="n">
        <v>0.395833333333333</v>
      </c>
      <c r="D5" s="7"/>
      <c r="E5" s="6" t="s">
        <v>20</v>
      </c>
      <c r="F5" s="6" t="s">
        <v>67</v>
      </c>
      <c r="G5" s="6" t="s">
        <v>76</v>
      </c>
      <c r="H5" s="6" t="s">
        <v>77</v>
      </c>
      <c r="I5" s="6" t="s">
        <v>78</v>
      </c>
      <c r="J5" s="6" t="s">
        <v>79</v>
      </c>
      <c r="K5" s="6" t="n">
        <v>1</v>
      </c>
      <c r="L5" s="6"/>
      <c r="M5" s="6" t="s">
        <v>80</v>
      </c>
      <c r="N5" s="6" t="s">
        <v>65</v>
      </c>
      <c r="O5" s="6" t="s">
        <v>80</v>
      </c>
      <c r="P5" s="6"/>
      <c r="Q5" s="6"/>
      <c r="R5" s="6"/>
      <c r="S5" s="6"/>
      <c r="T5" s="6"/>
    </row>
    <row r="6" customFormat="false" ht="23.85" hidden="false" customHeight="false" outlineLevel="0" collapsed="false">
      <c r="A6" s="6" t="n">
        <v>5</v>
      </c>
      <c r="B6" s="6" t="s">
        <v>9</v>
      </c>
      <c r="C6" s="7" t="n">
        <v>0.395833333333333</v>
      </c>
      <c r="D6" s="7"/>
      <c r="E6" s="6" t="s">
        <v>27</v>
      </c>
      <c r="F6" s="6" t="s">
        <v>81</v>
      </c>
      <c r="G6" s="6" t="s">
        <v>82</v>
      </c>
      <c r="H6" s="6" t="s">
        <v>83</v>
      </c>
      <c r="I6" s="6" t="s">
        <v>84</v>
      </c>
      <c r="J6" s="6" t="s">
        <v>85</v>
      </c>
      <c r="K6" s="6" t="n">
        <v>1</v>
      </c>
      <c r="L6" s="6"/>
      <c r="M6" s="6" t="s">
        <v>86</v>
      </c>
      <c r="N6" s="6" t="s">
        <v>87</v>
      </c>
      <c r="O6" s="6" t="s">
        <v>86</v>
      </c>
      <c r="P6" s="6"/>
      <c r="Q6" s="6"/>
      <c r="R6" s="6"/>
      <c r="S6" s="6"/>
      <c r="T6" s="6"/>
    </row>
    <row r="7" customFormat="false" ht="46.25" hidden="false" customHeight="false" outlineLevel="0" collapsed="false">
      <c r="A7" s="6" t="n">
        <v>6</v>
      </c>
      <c r="B7" s="6" t="s">
        <v>9</v>
      </c>
      <c r="C7" s="7" t="n">
        <v>0.395833333333333</v>
      </c>
      <c r="D7" s="7"/>
      <c r="E7" s="6" t="s">
        <v>25</v>
      </c>
      <c r="F7" s="6" t="s">
        <v>67</v>
      </c>
      <c r="G7" s="6" t="s">
        <v>88</v>
      </c>
      <c r="H7" s="6" t="s">
        <v>89</v>
      </c>
      <c r="I7" s="6" t="s">
        <v>90</v>
      </c>
      <c r="J7" s="6" t="s">
        <v>91</v>
      </c>
      <c r="K7" s="6" t="n">
        <v>2</v>
      </c>
      <c r="L7" s="6"/>
      <c r="M7" s="6" t="s">
        <v>92</v>
      </c>
      <c r="N7" s="6" t="s">
        <v>65</v>
      </c>
      <c r="O7" s="6" t="s">
        <v>92</v>
      </c>
      <c r="P7" s="6"/>
      <c r="Q7" s="6"/>
      <c r="R7" s="6"/>
      <c r="S7" s="6"/>
      <c r="T7" s="6"/>
    </row>
    <row r="8" customFormat="false" ht="35.05" hidden="false" customHeight="false" outlineLevel="0" collapsed="false">
      <c r="A8" s="6" t="n">
        <v>7</v>
      </c>
      <c r="B8" s="6" t="s">
        <v>9</v>
      </c>
      <c r="C8" s="7" t="n">
        <v>0.395833333333333</v>
      </c>
      <c r="D8" s="7"/>
      <c r="E8" s="6" t="s">
        <v>21</v>
      </c>
      <c r="F8" s="6" t="s">
        <v>67</v>
      </c>
      <c r="G8" s="6" t="s">
        <v>93</v>
      </c>
      <c r="H8" s="6" t="s">
        <v>94</v>
      </c>
      <c r="I8" s="6" t="s">
        <v>95</v>
      </c>
      <c r="J8" s="6" t="s">
        <v>96</v>
      </c>
      <c r="K8" s="6" t="n">
        <v>2</v>
      </c>
      <c r="L8" s="6"/>
      <c r="M8" s="6" t="s">
        <v>97</v>
      </c>
      <c r="N8" s="6" t="s">
        <v>65</v>
      </c>
      <c r="O8" s="6" t="s">
        <v>98</v>
      </c>
      <c r="P8" s="6"/>
      <c r="Q8" s="6"/>
      <c r="R8" s="6"/>
      <c r="S8" s="6"/>
      <c r="T8" s="6"/>
    </row>
    <row r="9" customFormat="false" ht="23.85" hidden="false" customHeight="false" outlineLevel="0" collapsed="false">
      <c r="A9" s="6" t="n">
        <v>8</v>
      </c>
      <c r="B9" s="6" t="s">
        <v>9</v>
      </c>
      <c r="C9" s="7" t="n">
        <v>0.395833333333333</v>
      </c>
      <c r="D9" s="7"/>
      <c r="E9" s="6" t="s">
        <v>30</v>
      </c>
      <c r="F9" s="6" t="s">
        <v>81</v>
      </c>
      <c r="G9" s="6" t="s">
        <v>99</v>
      </c>
      <c r="H9" s="6" t="s">
        <v>100</v>
      </c>
      <c r="I9" s="6" t="s">
        <v>101</v>
      </c>
      <c r="J9" s="6" t="s">
        <v>102</v>
      </c>
      <c r="K9" s="6" t="n">
        <v>1</v>
      </c>
      <c r="L9" s="6"/>
      <c r="M9" s="6" t="s">
        <v>103</v>
      </c>
      <c r="N9" s="6" t="s">
        <v>87</v>
      </c>
      <c r="O9" s="6" t="s">
        <v>103</v>
      </c>
      <c r="P9" s="6"/>
      <c r="Q9" s="6"/>
      <c r="R9" s="6"/>
      <c r="S9" s="6"/>
      <c r="T9" s="6"/>
    </row>
    <row r="10" customFormat="false" ht="46.25" hidden="false" customHeight="false" outlineLevel="0" collapsed="false">
      <c r="A10" s="6" t="n">
        <v>9</v>
      </c>
      <c r="B10" s="6" t="s">
        <v>9</v>
      </c>
      <c r="C10" s="7" t="n">
        <v>0.395833333333333</v>
      </c>
      <c r="D10" s="7"/>
      <c r="E10" s="6" t="s">
        <v>32</v>
      </c>
      <c r="F10" s="6" t="s">
        <v>67</v>
      </c>
      <c r="G10" s="6" t="s">
        <v>104</v>
      </c>
      <c r="H10" s="6" t="s">
        <v>105</v>
      </c>
      <c r="I10" s="6" t="s">
        <v>106</v>
      </c>
      <c r="J10" s="6" t="s">
        <v>107</v>
      </c>
      <c r="K10" s="6" t="n">
        <v>2</v>
      </c>
      <c r="L10" s="6"/>
      <c r="M10" s="6" t="s">
        <v>108</v>
      </c>
      <c r="N10" s="6" t="s">
        <v>87</v>
      </c>
      <c r="O10" s="6" t="s">
        <v>109</v>
      </c>
      <c r="P10" s="6"/>
      <c r="Q10" s="6"/>
      <c r="R10" s="6"/>
      <c r="S10" s="6"/>
      <c r="T10" s="6"/>
    </row>
    <row r="11" customFormat="false" ht="46.25" hidden="false" customHeight="false" outlineLevel="0" collapsed="false">
      <c r="A11" s="6" t="n">
        <v>10</v>
      </c>
      <c r="B11" s="6" t="s">
        <v>9</v>
      </c>
      <c r="C11" s="7" t="n">
        <v>0.395833333333333</v>
      </c>
      <c r="D11" s="7"/>
      <c r="E11" s="6" t="s">
        <v>22</v>
      </c>
      <c r="F11" s="6" t="s">
        <v>67</v>
      </c>
      <c r="G11" s="6" t="s">
        <v>110</v>
      </c>
      <c r="H11" s="6" t="s">
        <v>111</v>
      </c>
      <c r="I11" s="6" t="s">
        <v>112</v>
      </c>
      <c r="J11" s="6" t="s">
        <v>113</v>
      </c>
      <c r="K11" s="6" t="n">
        <v>2</v>
      </c>
      <c r="L11" s="6"/>
      <c r="M11" s="6" t="s">
        <v>114</v>
      </c>
      <c r="N11" s="6" t="s">
        <v>65</v>
      </c>
      <c r="O11" s="6" t="s">
        <v>115</v>
      </c>
      <c r="P11" s="6" t="s">
        <v>116</v>
      </c>
      <c r="Q11" s="6"/>
      <c r="R11" s="6"/>
      <c r="S11" s="6"/>
      <c r="T11" s="6"/>
    </row>
    <row r="12" customFormat="false" ht="23.85" hidden="false" customHeight="false" outlineLevel="0" collapsed="false">
      <c r="A12" s="6" t="n">
        <v>11</v>
      </c>
      <c r="B12" s="6" t="s">
        <v>9</v>
      </c>
      <c r="C12" s="7" t="n">
        <v>0.395833333333333</v>
      </c>
      <c r="D12" s="7" t="n">
        <v>0.427083333333333</v>
      </c>
      <c r="E12" s="6" t="s">
        <v>39</v>
      </c>
      <c r="F12" s="6" t="s">
        <v>39</v>
      </c>
      <c r="G12" s="6" t="s">
        <v>117</v>
      </c>
      <c r="H12" s="6" t="s">
        <v>118</v>
      </c>
      <c r="I12" s="6" t="s">
        <v>118</v>
      </c>
      <c r="J12" s="6"/>
      <c r="K12" s="6" t="n">
        <v>1</v>
      </c>
      <c r="L12" s="6"/>
      <c r="M12" s="6" t="s">
        <v>119</v>
      </c>
      <c r="N12" s="6" t="s">
        <v>87</v>
      </c>
      <c r="O12" s="6" t="s">
        <v>119</v>
      </c>
      <c r="P12" s="6"/>
      <c r="Q12" s="6" t="n">
        <v>100</v>
      </c>
      <c r="R12" s="6" t="n">
        <v>120</v>
      </c>
      <c r="S12" s="6" t="n">
        <f aca="false">R12-Q12</f>
        <v>20</v>
      </c>
      <c r="T12" s="6" t="s">
        <v>120</v>
      </c>
    </row>
    <row r="13" customFormat="false" ht="23.85" hidden="false" customHeight="false" outlineLevel="0" collapsed="false">
      <c r="A13" s="6" t="n">
        <v>12</v>
      </c>
      <c r="B13" s="6" t="s">
        <v>9</v>
      </c>
      <c r="C13" s="7" t="n">
        <v>0.402777777777778</v>
      </c>
      <c r="D13" s="7"/>
      <c r="E13" s="6" t="s">
        <v>36</v>
      </c>
      <c r="F13" s="6" t="s">
        <v>81</v>
      </c>
      <c r="G13" s="6" t="s">
        <v>121</v>
      </c>
      <c r="H13" s="6" t="s">
        <v>122</v>
      </c>
      <c r="I13" s="6" t="s">
        <v>123</v>
      </c>
      <c r="J13" s="6" t="s">
        <v>124</v>
      </c>
      <c r="K13" s="6" t="n">
        <v>1</v>
      </c>
      <c r="L13" s="6"/>
      <c r="M13" s="6" t="s">
        <v>36</v>
      </c>
      <c r="N13" s="6"/>
      <c r="O13" s="6" t="s">
        <v>36</v>
      </c>
      <c r="P13" s="6"/>
      <c r="Q13" s="6"/>
      <c r="R13" s="6"/>
      <c r="S13" s="6"/>
      <c r="T13" s="6"/>
    </row>
    <row r="14" customFormat="false" ht="46.25" hidden="false" customHeight="false" outlineLevel="0" collapsed="false">
      <c r="A14" s="6" t="n">
        <v>13</v>
      </c>
      <c r="B14" s="6" t="s">
        <v>9</v>
      </c>
      <c r="C14" s="7" t="n">
        <v>0.402777777777778</v>
      </c>
      <c r="D14" s="7"/>
      <c r="E14" s="6" t="s">
        <v>33</v>
      </c>
      <c r="F14" s="6" t="s">
        <v>81</v>
      </c>
      <c r="G14" s="6" t="s">
        <v>125</v>
      </c>
      <c r="H14" s="6" t="s">
        <v>126</v>
      </c>
      <c r="I14" s="6" t="s">
        <v>127</v>
      </c>
      <c r="J14" s="6" t="s">
        <v>128</v>
      </c>
      <c r="K14" s="6" t="n">
        <v>2</v>
      </c>
      <c r="L14" s="6"/>
      <c r="M14" s="6" t="s">
        <v>64</v>
      </c>
      <c r="N14" s="6" t="s">
        <v>65</v>
      </c>
      <c r="O14" s="6" t="s">
        <v>64</v>
      </c>
      <c r="P14" s="6" t="s">
        <v>129</v>
      </c>
      <c r="Q14" s="6"/>
      <c r="R14" s="6"/>
      <c r="S14" s="6"/>
      <c r="T14" s="6"/>
    </row>
    <row r="15" customFormat="false" ht="23.85" hidden="false" customHeight="false" outlineLevel="0" collapsed="false">
      <c r="A15" s="6" t="n">
        <v>14</v>
      </c>
      <c r="B15" s="6" t="s">
        <v>9</v>
      </c>
      <c r="C15" s="7" t="n">
        <v>0.40625</v>
      </c>
      <c r="D15" s="7"/>
      <c r="E15" s="6" t="s">
        <v>21</v>
      </c>
      <c r="F15" s="6" t="s">
        <v>81</v>
      </c>
      <c r="G15" s="6" t="s">
        <v>130</v>
      </c>
      <c r="H15" s="6" t="s">
        <v>131</v>
      </c>
      <c r="I15" s="6" t="s">
        <v>132</v>
      </c>
      <c r="J15" s="6" t="s">
        <v>133</v>
      </c>
      <c r="K15" s="6" t="n">
        <v>1</v>
      </c>
      <c r="L15" s="6"/>
      <c r="M15" s="6" t="s">
        <v>97</v>
      </c>
      <c r="N15" s="6" t="s">
        <v>65</v>
      </c>
      <c r="O15" s="6" t="s">
        <v>97</v>
      </c>
      <c r="P15" s="6"/>
      <c r="Q15" s="6"/>
      <c r="R15" s="6"/>
      <c r="S15" s="6"/>
      <c r="T15" s="6"/>
    </row>
    <row r="16" customFormat="false" ht="57.45" hidden="false" customHeight="false" outlineLevel="0" collapsed="false">
      <c r="A16" s="6" t="n">
        <v>15</v>
      </c>
      <c r="B16" s="6" t="s">
        <v>9</v>
      </c>
      <c r="C16" s="7" t="n">
        <v>0.40625</v>
      </c>
      <c r="D16" s="7"/>
      <c r="E16" s="6" t="s">
        <v>20</v>
      </c>
      <c r="F16" s="6" t="s">
        <v>134</v>
      </c>
      <c r="G16" s="6" t="s">
        <v>135</v>
      </c>
      <c r="H16" s="6" t="s">
        <v>136</v>
      </c>
      <c r="I16" s="6" t="s">
        <v>137</v>
      </c>
      <c r="J16" s="6" t="s">
        <v>138</v>
      </c>
      <c r="K16" s="6" t="n">
        <v>4</v>
      </c>
      <c r="L16" s="6"/>
      <c r="M16" s="6" t="s">
        <v>80</v>
      </c>
      <c r="N16" s="6" t="s">
        <v>65</v>
      </c>
      <c r="O16" s="6" t="s">
        <v>80</v>
      </c>
      <c r="P16" s="6"/>
      <c r="Q16" s="6"/>
      <c r="R16" s="6"/>
      <c r="S16" s="6"/>
      <c r="T16" s="6"/>
    </row>
    <row r="17" customFormat="false" ht="35.05" hidden="false" customHeight="false" outlineLevel="0" collapsed="false">
      <c r="A17" s="6" t="n">
        <v>16</v>
      </c>
      <c r="B17" s="6" t="s">
        <v>9</v>
      </c>
      <c r="C17" s="7" t="n">
        <v>0.40625</v>
      </c>
      <c r="D17" s="7"/>
      <c r="E17" s="6" t="s">
        <v>25</v>
      </c>
      <c r="F17" s="6" t="s">
        <v>81</v>
      </c>
      <c r="G17" s="6" t="s">
        <v>139</v>
      </c>
      <c r="H17" s="6" t="s">
        <v>140</v>
      </c>
      <c r="I17" s="6" t="s">
        <v>141</v>
      </c>
      <c r="J17" s="6" t="s">
        <v>142</v>
      </c>
      <c r="K17" s="6" t="n">
        <v>1</v>
      </c>
      <c r="L17" s="6"/>
      <c r="M17" s="6" t="s">
        <v>92</v>
      </c>
      <c r="N17" s="6" t="s">
        <v>65</v>
      </c>
      <c r="O17" s="6" t="s">
        <v>92</v>
      </c>
      <c r="P17" s="6"/>
      <c r="Q17" s="6"/>
      <c r="R17" s="6"/>
      <c r="S17" s="6"/>
      <c r="T17" s="6"/>
    </row>
    <row r="18" customFormat="false" ht="46.25" hidden="false" customHeight="false" outlineLevel="0" collapsed="false">
      <c r="A18" s="6" t="n">
        <v>17</v>
      </c>
      <c r="B18" s="6" t="s">
        <v>9</v>
      </c>
      <c r="C18" s="7" t="n">
        <v>0.40625</v>
      </c>
      <c r="D18" s="7"/>
      <c r="E18" s="6" t="s">
        <v>32</v>
      </c>
      <c r="F18" s="6" t="s">
        <v>81</v>
      </c>
      <c r="G18" s="6" t="s">
        <v>143</v>
      </c>
      <c r="H18" s="6" t="s">
        <v>144</v>
      </c>
      <c r="I18" s="6" t="s">
        <v>145</v>
      </c>
      <c r="J18" s="6" t="s">
        <v>146</v>
      </c>
      <c r="K18" s="6" t="n">
        <v>3</v>
      </c>
      <c r="L18" s="6"/>
      <c r="M18" s="6"/>
      <c r="N18" s="6"/>
      <c r="O18" s="6"/>
      <c r="P18" s="6"/>
      <c r="Q18" s="6"/>
      <c r="R18" s="6"/>
      <c r="S18" s="6"/>
      <c r="T18" s="6"/>
    </row>
    <row r="19" customFormat="false" ht="35.05" hidden="false" customHeight="false" outlineLevel="0" collapsed="false">
      <c r="A19" s="6" t="n">
        <v>18</v>
      </c>
      <c r="B19" s="6" t="s">
        <v>9</v>
      </c>
      <c r="C19" s="7" t="n">
        <v>0.40625</v>
      </c>
      <c r="D19" s="7"/>
      <c r="E19" s="6" t="s">
        <v>30</v>
      </c>
      <c r="F19" s="6" t="s">
        <v>81</v>
      </c>
      <c r="G19" s="6" t="s">
        <v>147</v>
      </c>
      <c r="H19" s="6" t="s">
        <v>148</v>
      </c>
      <c r="I19" s="6" t="s">
        <v>149</v>
      </c>
      <c r="J19" s="6" t="s">
        <v>150</v>
      </c>
      <c r="K19" s="6" t="n">
        <v>1</v>
      </c>
      <c r="L19" s="6"/>
      <c r="M19" s="6" t="s">
        <v>103</v>
      </c>
      <c r="N19" s="6" t="s">
        <v>87</v>
      </c>
      <c r="O19" s="6" t="s">
        <v>151</v>
      </c>
      <c r="P19" s="6"/>
      <c r="Q19" s="6"/>
      <c r="R19" s="6"/>
      <c r="S19" s="6"/>
      <c r="T19" s="6"/>
    </row>
    <row r="20" customFormat="false" ht="35.05" hidden="false" customHeight="false" outlineLevel="0" collapsed="false">
      <c r="A20" s="6" t="n">
        <v>19</v>
      </c>
      <c r="B20" s="6" t="s">
        <v>9</v>
      </c>
      <c r="C20" s="7" t="n">
        <v>0.40625</v>
      </c>
      <c r="D20" s="7"/>
      <c r="E20" s="6" t="s">
        <v>27</v>
      </c>
      <c r="F20" s="6" t="s">
        <v>81</v>
      </c>
      <c r="G20" s="6" t="s">
        <v>152</v>
      </c>
      <c r="H20" s="6" t="s">
        <v>153</v>
      </c>
      <c r="I20" s="6" t="s">
        <v>154</v>
      </c>
      <c r="J20" s="6" t="s">
        <v>155</v>
      </c>
      <c r="K20" s="6" t="n">
        <v>1</v>
      </c>
      <c r="L20" s="6"/>
      <c r="M20" s="6" t="s">
        <v>86</v>
      </c>
      <c r="N20" s="6" t="s">
        <v>87</v>
      </c>
      <c r="O20" s="6" t="s">
        <v>86</v>
      </c>
      <c r="P20" s="6"/>
      <c r="Q20" s="6"/>
      <c r="R20" s="6"/>
      <c r="S20" s="6"/>
      <c r="T20" s="6"/>
    </row>
    <row r="21" customFormat="false" ht="23.85" hidden="false" customHeight="false" outlineLevel="0" collapsed="false">
      <c r="A21" s="6" t="n">
        <v>20</v>
      </c>
      <c r="B21" s="6" t="s">
        <v>9</v>
      </c>
      <c r="C21" s="7" t="n">
        <v>0.409722222222222</v>
      </c>
      <c r="D21" s="7"/>
      <c r="E21" s="6" t="s">
        <v>36</v>
      </c>
      <c r="F21" s="6" t="s">
        <v>156</v>
      </c>
      <c r="G21" s="6" t="s">
        <v>157</v>
      </c>
      <c r="H21" s="6" t="s">
        <v>158</v>
      </c>
      <c r="I21" s="6" t="s">
        <v>159</v>
      </c>
      <c r="J21" s="6" t="s">
        <v>160</v>
      </c>
      <c r="K21" s="6" t="n">
        <v>1</v>
      </c>
      <c r="L21" s="6"/>
      <c r="M21" s="6" t="s">
        <v>36</v>
      </c>
      <c r="N21" s="6"/>
      <c r="O21" s="6" t="s">
        <v>36</v>
      </c>
      <c r="P21" s="6"/>
      <c r="Q21" s="6"/>
      <c r="R21" s="6"/>
      <c r="S21" s="6"/>
      <c r="T21" s="6"/>
    </row>
    <row r="22" customFormat="false" ht="102.2" hidden="false" customHeight="false" outlineLevel="0" collapsed="false">
      <c r="A22" s="6" t="n">
        <v>21</v>
      </c>
      <c r="B22" s="6" t="s">
        <v>9</v>
      </c>
      <c r="C22" s="7" t="n">
        <v>0.413194444444444</v>
      </c>
      <c r="D22" s="7"/>
      <c r="E22" s="6" t="s">
        <v>33</v>
      </c>
      <c r="F22" s="6" t="s">
        <v>134</v>
      </c>
      <c r="G22" s="6" t="s">
        <v>161</v>
      </c>
      <c r="H22" s="6" t="s">
        <v>162</v>
      </c>
      <c r="I22" s="6" t="s">
        <v>163</v>
      </c>
      <c r="J22" s="6" t="s">
        <v>164</v>
      </c>
      <c r="K22" s="6" t="n">
        <v>6</v>
      </c>
      <c r="L22" s="6"/>
      <c r="M22" s="6" t="s">
        <v>64</v>
      </c>
      <c r="N22" s="6" t="s">
        <v>65</v>
      </c>
      <c r="O22" s="6" t="s">
        <v>64</v>
      </c>
      <c r="P22" s="6" t="s">
        <v>165</v>
      </c>
      <c r="Q22" s="6"/>
      <c r="R22" s="6"/>
      <c r="S22" s="6"/>
      <c r="T22" s="6"/>
    </row>
    <row r="23" customFormat="false" ht="113.4" hidden="false" customHeight="false" outlineLevel="0" collapsed="false">
      <c r="A23" s="6" t="n">
        <v>22</v>
      </c>
      <c r="B23" s="6" t="s">
        <v>9</v>
      </c>
      <c r="C23" s="7" t="n">
        <v>0.416666666666667</v>
      </c>
      <c r="D23" s="7"/>
      <c r="E23" s="6" t="s">
        <v>25</v>
      </c>
      <c r="F23" s="6" t="s">
        <v>134</v>
      </c>
      <c r="G23" s="6" t="s">
        <v>166</v>
      </c>
      <c r="H23" s="6" t="s">
        <v>167</v>
      </c>
      <c r="I23" s="6" t="s">
        <v>168</v>
      </c>
      <c r="J23" s="6" t="s">
        <v>169</v>
      </c>
      <c r="K23" s="6" t="n">
        <v>6</v>
      </c>
      <c r="L23" s="6"/>
      <c r="M23" s="6" t="s">
        <v>92</v>
      </c>
      <c r="N23" s="6" t="s">
        <v>65</v>
      </c>
      <c r="O23" s="6" t="s">
        <v>92</v>
      </c>
      <c r="P23" s="6" t="s">
        <v>170</v>
      </c>
      <c r="Q23" s="6"/>
      <c r="R23" s="6"/>
      <c r="S23" s="6"/>
      <c r="T23" s="6"/>
    </row>
    <row r="24" customFormat="false" ht="57.45" hidden="false" customHeight="false" outlineLevel="0" collapsed="false">
      <c r="A24" s="6" t="n">
        <v>23</v>
      </c>
      <c r="B24" s="6" t="s">
        <v>9</v>
      </c>
      <c r="C24" s="7" t="n">
        <v>0.416666666666667</v>
      </c>
      <c r="D24" s="7"/>
      <c r="E24" s="6" t="s">
        <v>27</v>
      </c>
      <c r="F24" s="6" t="s">
        <v>134</v>
      </c>
      <c r="G24" s="6" t="s">
        <v>171</v>
      </c>
      <c r="H24" s="6" t="s">
        <v>172</v>
      </c>
      <c r="I24" s="6" t="s">
        <v>173</v>
      </c>
      <c r="J24" s="6" t="s">
        <v>174</v>
      </c>
      <c r="K24" s="6" t="n">
        <v>4</v>
      </c>
      <c r="L24" s="6"/>
      <c r="M24" s="6" t="s">
        <v>86</v>
      </c>
      <c r="N24" s="6" t="s">
        <v>87</v>
      </c>
      <c r="O24" s="6" t="s">
        <v>86</v>
      </c>
      <c r="P24" s="6" t="s">
        <v>175</v>
      </c>
      <c r="Q24" s="6"/>
      <c r="R24" s="6"/>
      <c r="S24" s="6"/>
      <c r="T24" s="6"/>
    </row>
    <row r="25" customFormat="false" ht="46.25" hidden="false" customHeight="false" outlineLevel="0" collapsed="false">
      <c r="A25" s="6" t="n">
        <v>24</v>
      </c>
      <c r="B25" s="6" t="s">
        <v>9</v>
      </c>
      <c r="C25" s="7" t="n">
        <v>0.416666666666667</v>
      </c>
      <c r="D25" s="7"/>
      <c r="E25" s="6" t="s">
        <v>30</v>
      </c>
      <c r="F25" s="6" t="s">
        <v>134</v>
      </c>
      <c r="G25" s="6" t="s">
        <v>176</v>
      </c>
      <c r="H25" s="6" t="s">
        <v>177</v>
      </c>
      <c r="I25" s="6" t="s">
        <v>178</v>
      </c>
      <c r="J25" s="6" t="s">
        <v>179</v>
      </c>
      <c r="K25" s="6" t="n">
        <v>4</v>
      </c>
      <c r="L25" s="6"/>
      <c r="M25" s="6" t="s">
        <v>103</v>
      </c>
      <c r="N25" s="6" t="s">
        <v>87</v>
      </c>
      <c r="O25" s="6" t="s">
        <v>103</v>
      </c>
      <c r="P25" s="6" t="s">
        <v>180</v>
      </c>
      <c r="Q25" s="6"/>
      <c r="R25" s="6"/>
      <c r="S25" s="6"/>
      <c r="T25" s="6"/>
    </row>
    <row r="26" customFormat="false" ht="113.4" hidden="false" customHeight="false" outlineLevel="0" collapsed="false">
      <c r="A26" s="6" t="n">
        <v>25</v>
      </c>
      <c r="B26" s="6" t="s">
        <v>9</v>
      </c>
      <c r="C26" s="7" t="n">
        <v>0.416666666666667</v>
      </c>
      <c r="D26" s="7"/>
      <c r="E26" s="6" t="s">
        <v>32</v>
      </c>
      <c r="F26" s="6" t="s">
        <v>134</v>
      </c>
      <c r="G26" s="6" t="s">
        <v>181</v>
      </c>
      <c r="H26" s="6" t="s">
        <v>182</v>
      </c>
      <c r="I26" s="6" t="s">
        <v>183</v>
      </c>
      <c r="J26" s="6" t="s">
        <v>184</v>
      </c>
      <c r="K26" s="6" t="n">
        <v>5</v>
      </c>
      <c r="L26" s="6"/>
      <c r="M26" s="6" t="s">
        <v>108</v>
      </c>
      <c r="N26" s="6" t="s">
        <v>87</v>
      </c>
      <c r="O26" s="6" t="s">
        <v>109</v>
      </c>
      <c r="P26" s="6" t="s">
        <v>185</v>
      </c>
      <c r="Q26" s="6"/>
      <c r="R26" s="6"/>
      <c r="S26" s="6"/>
      <c r="T26" s="6"/>
    </row>
    <row r="27" customFormat="false" ht="91" hidden="false" customHeight="false" outlineLevel="0" collapsed="false">
      <c r="A27" s="6" t="n">
        <v>26</v>
      </c>
      <c r="B27" s="6" t="s">
        <v>9</v>
      </c>
      <c r="C27" s="7" t="n">
        <v>0.416666666666667</v>
      </c>
      <c r="D27" s="7"/>
      <c r="E27" s="6" t="s">
        <v>21</v>
      </c>
      <c r="F27" s="6" t="s">
        <v>134</v>
      </c>
      <c r="G27" s="6" t="s">
        <v>186</v>
      </c>
      <c r="H27" s="6" t="s">
        <v>187</v>
      </c>
      <c r="I27" s="6" t="s">
        <v>188</v>
      </c>
      <c r="J27" s="6" t="s">
        <v>189</v>
      </c>
      <c r="K27" s="6" t="n">
        <v>6</v>
      </c>
      <c r="L27" s="6"/>
      <c r="M27" s="6" t="s">
        <v>97</v>
      </c>
      <c r="N27" s="6" t="s">
        <v>65</v>
      </c>
      <c r="O27" s="6" t="s">
        <v>97</v>
      </c>
      <c r="P27" s="6" t="s">
        <v>190</v>
      </c>
      <c r="Q27" s="6"/>
      <c r="R27" s="6"/>
      <c r="S27" s="6"/>
      <c r="T27" s="6"/>
    </row>
    <row r="28" customFormat="false" ht="113.4" hidden="false" customHeight="false" outlineLevel="0" collapsed="false">
      <c r="A28" s="6" t="n">
        <v>27</v>
      </c>
      <c r="B28" s="6" t="s">
        <v>9</v>
      </c>
      <c r="C28" s="7" t="n">
        <v>0.416666666666667</v>
      </c>
      <c r="D28" s="7"/>
      <c r="E28" s="6" t="s">
        <v>22</v>
      </c>
      <c r="F28" s="6" t="s">
        <v>134</v>
      </c>
      <c r="G28" s="6" t="s">
        <v>191</v>
      </c>
      <c r="H28" s="6" t="s">
        <v>192</v>
      </c>
      <c r="I28" s="6" t="s">
        <v>193</v>
      </c>
      <c r="J28" s="6" t="s">
        <v>194</v>
      </c>
      <c r="K28" s="6" t="n">
        <v>8</v>
      </c>
      <c r="L28" s="6"/>
      <c r="M28" s="6" t="s">
        <v>114</v>
      </c>
      <c r="N28" s="6" t="s">
        <v>65</v>
      </c>
      <c r="O28" s="6" t="s">
        <v>114</v>
      </c>
      <c r="P28" s="6" t="s">
        <v>195</v>
      </c>
      <c r="Q28" s="6"/>
      <c r="R28" s="6"/>
      <c r="S28" s="6"/>
      <c r="T28" s="6"/>
    </row>
    <row r="29" customFormat="false" ht="23.85" hidden="false" customHeight="false" outlineLevel="0" collapsed="false">
      <c r="A29" s="6" t="n">
        <v>28</v>
      </c>
      <c r="B29" s="6" t="s">
        <v>9</v>
      </c>
      <c r="C29" s="7" t="n">
        <v>0.416666666666667</v>
      </c>
      <c r="D29" s="7"/>
      <c r="E29" s="6" t="s">
        <v>36</v>
      </c>
      <c r="F29" s="6" t="s">
        <v>156</v>
      </c>
      <c r="G29" s="6" t="s">
        <v>196</v>
      </c>
      <c r="H29" s="6" t="s">
        <v>197</v>
      </c>
      <c r="I29" s="6" t="s">
        <v>198</v>
      </c>
      <c r="J29" s="6" t="s">
        <v>199</v>
      </c>
      <c r="K29" s="6" t="n">
        <v>1</v>
      </c>
      <c r="L29" s="6"/>
      <c r="M29" s="6" t="s">
        <v>36</v>
      </c>
      <c r="N29" s="6"/>
      <c r="O29" s="6" t="s">
        <v>36</v>
      </c>
      <c r="P29" s="6"/>
      <c r="Q29" s="6"/>
      <c r="R29" s="6"/>
      <c r="S29" s="6"/>
      <c r="T29" s="6"/>
    </row>
    <row r="30" customFormat="false" ht="15" hidden="false" customHeight="false" outlineLevel="0" collapsed="false">
      <c r="A30" s="6" t="n">
        <v>29</v>
      </c>
      <c r="B30" s="6" t="s">
        <v>9</v>
      </c>
      <c r="C30" s="7" t="n">
        <v>0.423611111111111</v>
      </c>
      <c r="D30" s="7"/>
      <c r="E30" s="6" t="s">
        <v>36</v>
      </c>
      <c r="F30" s="6" t="s">
        <v>156</v>
      </c>
      <c r="G30" s="6" t="s">
        <v>200</v>
      </c>
      <c r="H30" s="6" t="s">
        <v>201</v>
      </c>
      <c r="I30" s="6" t="s">
        <v>202</v>
      </c>
      <c r="J30" s="6" t="s">
        <v>203</v>
      </c>
      <c r="K30" s="6" t="n">
        <v>1</v>
      </c>
      <c r="L30" s="6"/>
      <c r="M30" s="6" t="s">
        <v>36</v>
      </c>
      <c r="N30" s="6"/>
      <c r="O30" s="6" t="s">
        <v>36</v>
      </c>
      <c r="P30" s="6"/>
      <c r="Q30" s="6"/>
      <c r="R30" s="6"/>
      <c r="S30" s="6"/>
      <c r="T30" s="6"/>
    </row>
    <row r="31" customFormat="false" ht="23.85" hidden="false" customHeight="false" outlineLevel="0" collapsed="false">
      <c r="A31" s="6" t="n">
        <v>30</v>
      </c>
      <c r="B31" s="6" t="s">
        <v>9</v>
      </c>
      <c r="C31" s="7" t="n">
        <v>0.430555555555556</v>
      </c>
      <c r="D31" s="7"/>
      <c r="E31" s="6" t="s">
        <v>36</v>
      </c>
      <c r="F31" s="6" t="s">
        <v>156</v>
      </c>
      <c r="G31" s="6" t="s">
        <v>204</v>
      </c>
      <c r="H31" s="6" t="s">
        <v>205</v>
      </c>
      <c r="I31" s="6" t="s">
        <v>206</v>
      </c>
      <c r="J31" s="6" t="s">
        <v>207</v>
      </c>
      <c r="K31" s="6" t="n">
        <v>1</v>
      </c>
      <c r="L31" s="6"/>
      <c r="M31" s="6" t="s">
        <v>36</v>
      </c>
      <c r="N31" s="6"/>
      <c r="O31" s="6" t="s">
        <v>36</v>
      </c>
      <c r="P31" s="6"/>
      <c r="Q31" s="6"/>
      <c r="R31" s="6"/>
      <c r="S31" s="6"/>
      <c r="T31" s="6"/>
    </row>
    <row r="32" customFormat="false" ht="35.05" hidden="false" customHeight="false" outlineLevel="0" collapsed="false">
      <c r="A32" s="6" t="n">
        <v>31</v>
      </c>
      <c r="B32" s="6" t="s">
        <v>9</v>
      </c>
      <c r="C32" s="7" t="n">
        <v>0.447916666666667</v>
      </c>
      <c r="D32" s="7"/>
      <c r="E32" s="6" t="s">
        <v>31</v>
      </c>
      <c r="F32" s="6" t="s">
        <v>31</v>
      </c>
      <c r="G32" s="6" t="s">
        <v>208</v>
      </c>
      <c r="H32" s="6" t="s">
        <v>209</v>
      </c>
      <c r="I32" s="6" t="s">
        <v>210</v>
      </c>
      <c r="J32" s="6" t="s">
        <v>211</v>
      </c>
      <c r="K32" s="6" t="n">
        <v>1</v>
      </c>
      <c r="L32" s="6"/>
      <c r="M32" s="6" t="s">
        <v>212</v>
      </c>
      <c r="N32" s="6" t="s">
        <v>65</v>
      </c>
      <c r="O32" s="6" t="s">
        <v>213</v>
      </c>
      <c r="P32" s="6" t="s">
        <v>214</v>
      </c>
      <c r="Q32" s="6"/>
      <c r="R32" s="6"/>
      <c r="S32" s="6"/>
      <c r="T32" s="6"/>
    </row>
    <row r="33" customFormat="false" ht="57.45" hidden="false" customHeight="false" outlineLevel="0" collapsed="false">
      <c r="A33" s="6" t="n">
        <v>32</v>
      </c>
      <c r="B33" s="6" t="s">
        <v>9</v>
      </c>
      <c r="C33" s="7" t="n">
        <v>0.493055555555556</v>
      </c>
      <c r="D33" s="7"/>
      <c r="E33" s="6" t="s">
        <v>28</v>
      </c>
      <c r="F33" s="6" t="s">
        <v>215</v>
      </c>
      <c r="G33" s="6" t="s">
        <v>216</v>
      </c>
      <c r="H33" s="6" t="s">
        <v>217</v>
      </c>
      <c r="I33" s="6" t="s">
        <v>218</v>
      </c>
      <c r="J33" s="6" t="s">
        <v>219</v>
      </c>
      <c r="K33" s="6" t="n">
        <v>5</v>
      </c>
      <c r="L33" s="6"/>
      <c r="M33" s="6" t="s">
        <v>36</v>
      </c>
      <c r="N33" s="6"/>
      <c r="O33" s="6" t="s">
        <v>36</v>
      </c>
      <c r="P33" s="6" t="s">
        <v>220</v>
      </c>
      <c r="Q33" s="6"/>
      <c r="R33" s="6"/>
      <c r="S33" s="6"/>
      <c r="T33" s="6"/>
    </row>
    <row r="34" customFormat="false" ht="57.45" hidden="false" customHeight="false" outlineLevel="0" collapsed="false">
      <c r="A34" s="6" t="n">
        <v>33</v>
      </c>
      <c r="B34" s="6" t="s">
        <v>9</v>
      </c>
      <c r="C34" s="7" t="n">
        <v>0.493055555555556</v>
      </c>
      <c r="D34" s="7"/>
      <c r="E34" s="6" t="s">
        <v>33</v>
      </c>
      <c r="F34" s="6" t="s">
        <v>67</v>
      </c>
      <c r="G34" s="6" t="s">
        <v>221</v>
      </c>
      <c r="H34" s="6" t="s">
        <v>222</v>
      </c>
      <c r="I34" s="6" t="s">
        <v>223</v>
      </c>
      <c r="J34" s="6" t="s">
        <v>224</v>
      </c>
      <c r="K34" s="6" t="n">
        <v>2</v>
      </c>
      <c r="L34" s="6"/>
      <c r="M34" s="6" t="s">
        <v>64</v>
      </c>
      <c r="N34" s="6" t="s">
        <v>65</v>
      </c>
      <c r="O34" s="6" t="s">
        <v>64</v>
      </c>
      <c r="P34" s="6" t="s">
        <v>225</v>
      </c>
      <c r="Q34" s="6"/>
      <c r="R34" s="6"/>
      <c r="S34" s="6"/>
      <c r="T34" s="6"/>
    </row>
    <row r="35" customFormat="false" ht="23.85" hidden="false" customHeight="false" outlineLevel="0" collapsed="false">
      <c r="A35" s="6" t="n">
        <v>34</v>
      </c>
      <c r="B35" s="6" t="s">
        <v>9</v>
      </c>
      <c r="C35" s="7" t="n">
        <v>0.493055555555556</v>
      </c>
      <c r="D35" s="7"/>
      <c r="E35" s="6" t="s">
        <v>30</v>
      </c>
      <c r="F35" s="6" t="s">
        <v>81</v>
      </c>
      <c r="G35" s="6" t="s">
        <v>226</v>
      </c>
      <c r="H35" s="6" t="s">
        <v>227</v>
      </c>
      <c r="I35" s="6" t="s">
        <v>228</v>
      </c>
      <c r="J35" s="6" t="s">
        <v>229</v>
      </c>
      <c r="K35" s="6" t="n">
        <v>1</v>
      </c>
      <c r="L35" s="6"/>
      <c r="M35" s="6" t="s">
        <v>103</v>
      </c>
      <c r="N35" s="6" t="s">
        <v>87</v>
      </c>
      <c r="O35" s="6" t="s">
        <v>103</v>
      </c>
      <c r="P35" s="6"/>
      <c r="Q35" s="6"/>
      <c r="R35" s="6"/>
      <c r="S35" s="6"/>
      <c r="T35" s="6"/>
    </row>
    <row r="36" customFormat="false" ht="46.25" hidden="false" customHeight="false" outlineLevel="0" collapsed="false">
      <c r="A36" s="6" t="n">
        <v>35</v>
      </c>
      <c r="B36" s="6" t="s">
        <v>9</v>
      </c>
      <c r="C36" s="7" t="n">
        <v>0.493055555555556</v>
      </c>
      <c r="D36" s="7"/>
      <c r="E36" s="6" t="s">
        <v>32</v>
      </c>
      <c r="F36" s="6" t="s">
        <v>67</v>
      </c>
      <c r="G36" s="6" t="s">
        <v>230</v>
      </c>
      <c r="H36" s="6" t="s">
        <v>231</v>
      </c>
      <c r="I36" s="6" t="s">
        <v>232</v>
      </c>
      <c r="J36" s="6" t="s">
        <v>233</v>
      </c>
      <c r="K36" s="6" t="n">
        <v>2</v>
      </c>
      <c r="L36" s="6"/>
      <c r="M36" s="6" t="s">
        <v>108</v>
      </c>
      <c r="N36" s="6" t="s">
        <v>87</v>
      </c>
      <c r="O36" s="6" t="s">
        <v>109</v>
      </c>
      <c r="P36" s="6"/>
      <c r="Q36" s="6"/>
      <c r="R36" s="6"/>
      <c r="S36" s="6"/>
      <c r="T36" s="6"/>
    </row>
    <row r="37" customFormat="false" ht="35.05" hidden="false" customHeight="false" outlineLevel="0" collapsed="false">
      <c r="A37" s="6" t="n">
        <v>36</v>
      </c>
      <c r="B37" s="6" t="s">
        <v>9</v>
      </c>
      <c r="C37" s="7" t="n">
        <v>0.493055555555556</v>
      </c>
      <c r="D37" s="7"/>
      <c r="E37" s="6" t="s">
        <v>27</v>
      </c>
      <c r="F37" s="6" t="s">
        <v>67</v>
      </c>
      <c r="G37" s="6" t="s">
        <v>234</v>
      </c>
      <c r="H37" s="6" t="s">
        <v>235</v>
      </c>
      <c r="I37" s="6" t="s">
        <v>236</v>
      </c>
      <c r="J37" s="6" t="s">
        <v>237</v>
      </c>
      <c r="K37" s="6" t="n">
        <v>2</v>
      </c>
      <c r="L37" s="6"/>
      <c r="M37" s="6" t="s">
        <v>86</v>
      </c>
      <c r="N37" s="6" t="s">
        <v>87</v>
      </c>
      <c r="O37" s="6" t="s">
        <v>238</v>
      </c>
      <c r="P37" s="6"/>
      <c r="Q37" s="6"/>
      <c r="R37" s="6"/>
      <c r="S37" s="6"/>
      <c r="T37" s="6"/>
    </row>
    <row r="38" customFormat="false" ht="23.85" hidden="false" customHeight="false" outlineLevel="0" collapsed="false">
      <c r="A38" s="6" t="n">
        <v>37</v>
      </c>
      <c r="B38" s="6" t="s">
        <v>9</v>
      </c>
      <c r="C38" s="7" t="n">
        <v>0.493055555555556</v>
      </c>
      <c r="D38" s="7"/>
      <c r="E38" s="6" t="s">
        <v>25</v>
      </c>
      <c r="F38" s="6" t="s">
        <v>81</v>
      </c>
      <c r="G38" s="6" t="s">
        <v>239</v>
      </c>
      <c r="H38" s="6" t="s">
        <v>240</v>
      </c>
      <c r="I38" s="6" t="s">
        <v>241</v>
      </c>
      <c r="J38" s="6" t="s">
        <v>242</v>
      </c>
      <c r="K38" s="6" t="n">
        <v>1</v>
      </c>
      <c r="L38" s="6"/>
      <c r="M38" s="6" t="s">
        <v>92</v>
      </c>
      <c r="N38" s="6" t="s">
        <v>65</v>
      </c>
      <c r="O38" s="6" t="s">
        <v>92</v>
      </c>
      <c r="P38" s="6"/>
      <c r="Q38" s="6"/>
      <c r="R38" s="6"/>
      <c r="S38" s="6"/>
      <c r="T38" s="6"/>
    </row>
    <row r="39" customFormat="false" ht="23.85" hidden="false" customHeight="false" outlineLevel="0" collapsed="false">
      <c r="A39" s="6" t="n">
        <v>38</v>
      </c>
      <c r="B39" s="6" t="s">
        <v>9</v>
      </c>
      <c r="C39" s="7" t="n">
        <v>0.493055555555556</v>
      </c>
      <c r="D39" s="7"/>
      <c r="E39" s="6" t="s">
        <v>21</v>
      </c>
      <c r="F39" s="6" t="s">
        <v>215</v>
      </c>
      <c r="G39" s="6" t="s">
        <v>243</v>
      </c>
      <c r="H39" s="6" t="s">
        <v>244</v>
      </c>
      <c r="I39" s="6" t="s">
        <v>245</v>
      </c>
      <c r="J39" s="6" t="s">
        <v>246</v>
      </c>
      <c r="K39" s="6" t="n">
        <v>1</v>
      </c>
      <c r="L39" s="6"/>
      <c r="M39" s="6" t="s">
        <v>97</v>
      </c>
      <c r="N39" s="6" t="s">
        <v>65</v>
      </c>
      <c r="O39" s="6" t="s">
        <v>98</v>
      </c>
      <c r="P39" s="6"/>
      <c r="Q39" s="6"/>
      <c r="R39" s="6"/>
      <c r="S39" s="6"/>
      <c r="T39" s="6"/>
    </row>
    <row r="40" customFormat="false" ht="35.05" hidden="false" customHeight="false" outlineLevel="0" collapsed="false">
      <c r="A40" s="6" t="n">
        <v>39</v>
      </c>
      <c r="B40" s="6" t="s">
        <v>9</v>
      </c>
      <c r="C40" s="7" t="n">
        <v>0.493055555555556</v>
      </c>
      <c r="D40" s="7"/>
      <c r="E40" s="6" t="s">
        <v>22</v>
      </c>
      <c r="F40" s="6" t="s">
        <v>67</v>
      </c>
      <c r="G40" s="6" t="s">
        <v>247</v>
      </c>
      <c r="H40" s="6" t="s">
        <v>248</v>
      </c>
      <c r="I40" s="6" t="s">
        <v>249</v>
      </c>
      <c r="J40" s="6" t="s">
        <v>250</v>
      </c>
      <c r="K40" s="6" t="n">
        <v>2</v>
      </c>
      <c r="L40" s="6"/>
      <c r="M40" s="6" t="s">
        <v>114</v>
      </c>
      <c r="N40" s="6" t="s">
        <v>65</v>
      </c>
      <c r="O40" s="6" t="s">
        <v>114</v>
      </c>
      <c r="P40" s="6"/>
      <c r="Q40" s="6"/>
      <c r="R40" s="6"/>
      <c r="S40" s="6"/>
      <c r="T40" s="6"/>
    </row>
    <row r="41" customFormat="false" ht="23.85" hidden="false" customHeight="false" outlineLevel="0" collapsed="false">
      <c r="A41" s="6" t="n">
        <v>40</v>
      </c>
      <c r="B41" s="6" t="s">
        <v>9</v>
      </c>
      <c r="C41" s="7" t="n">
        <v>0.493055555555556</v>
      </c>
      <c r="D41" s="7"/>
      <c r="E41" s="6" t="s">
        <v>26</v>
      </c>
      <c r="F41" s="6" t="s">
        <v>81</v>
      </c>
      <c r="G41" s="6" t="s">
        <v>251</v>
      </c>
      <c r="H41" s="6" t="s">
        <v>252</v>
      </c>
      <c r="I41" s="6" t="s">
        <v>253</v>
      </c>
      <c r="J41" s="6" t="s">
        <v>254</v>
      </c>
      <c r="K41" s="6" t="n">
        <v>1</v>
      </c>
      <c r="L41" s="6"/>
      <c r="M41" s="6" t="s">
        <v>255</v>
      </c>
      <c r="N41" s="6" t="s">
        <v>87</v>
      </c>
      <c r="O41" s="6" t="s">
        <v>255</v>
      </c>
      <c r="P41" s="6"/>
      <c r="Q41" s="6"/>
      <c r="R41" s="6"/>
      <c r="S41" s="6"/>
      <c r="T41" s="6"/>
    </row>
    <row r="42" customFormat="false" ht="57.45" hidden="false" customHeight="false" outlineLevel="0" collapsed="false">
      <c r="A42" s="6" t="n">
        <v>41</v>
      </c>
      <c r="B42" s="6" t="s">
        <v>9</v>
      </c>
      <c r="C42" s="7" t="n">
        <v>0.493055555555556</v>
      </c>
      <c r="D42" s="7"/>
      <c r="E42" s="6" t="s">
        <v>20</v>
      </c>
      <c r="F42" s="6" t="s">
        <v>134</v>
      </c>
      <c r="G42" s="6" t="s">
        <v>256</v>
      </c>
      <c r="H42" s="6" t="s">
        <v>257</v>
      </c>
      <c r="I42" s="6" t="s">
        <v>258</v>
      </c>
      <c r="J42" s="6" t="s">
        <v>259</v>
      </c>
      <c r="K42" s="6" t="n">
        <v>3</v>
      </c>
      <c r="L42" s="6"/>
      <c r="M42" s="6" t="s">
        <v>80</v>
      </c>
      <c r="N42" s="6" t="s">
        <v>65</v>
      </c>
      <c r="O42" s="6" t="s">
        <v>80</v>
      </c>
      <c r="P42" s="6"/>
      <c r="Q42" s="6"/>
      <c r="R42" s="6"/>
      <c r="S42" s="6"/>
      <c r="T42" s="6"/>
    </row>
    <row r="43" customFormat="false" ht="46.25" hidden="false" customHeight="false" outlineLevel="0" collapsed="false">
      <c r="A43" s="6" t="n">
        <v>42</v>
      </c>
      <c r="B43" s="6" t="s">
        <v>9</v>
      </c>
      <c r="C43" s="7" t="n">
        <v>0.493055555555556</v>
      </c>
      <c r="D43" s="7" t="n">
        <v>0.524305555555556</v>
      </c>
      <c r="E43" s="6" t="s">
        <v>39</v>
      </c>
      <c r="F43" s="6" t="s">
        <v>39</v>
      </c>
      <c r="G43" s="6" t="s">
        <v>260</v>
      </c>
      <c r="H43" s="6" t="s">
        <v>261</v>
      </c>
      <c r="I43" s="6" t="s">
        <v>262</v>
      </c>
      <c r="J43" s="6"/>
      <c r="K43" s="6" t="n">
        <v>4</v>
      </c>
      <c r="L43" s="6"/>
      <c r="M43" s="6" t="s">
        <v>119</v>
      </c>
      <c r="N43" s="6" t="s">
        <v>87</v>
      </c>
      <c r="O43" s="6" t="s">
        <v>119</v>
      </c>
      <c r="P43" s="6"/>
      <c r="Q43" s="6" t="n">
        <v>120</v>
      </c>
      <c r="R43" s="6" t="n">
        <v>120</v>
      </c>
      <c r="S43" s="6" t="n">
        <f aca="false">R43-Q43</f>
        <v>0</v>
      </c>
      <c r="T43" s="6" t="s">
        <v>120</v>
      </c>
    </row>
    <row r="44" customFormat="false" ht="23.85" hidden="false" customHeight="false" outlineLevel="0" collapsed="false">
      <c r="A44" s="6" t="n">
        <v>43</v>
      </c>
      <c r="B44" s="6" t="s">
        <v>9</v>
      </c>
      <c r="C44" s="7" t="n">
        <v>0.503472222222222</v>
      </c>
      <c r="D44" s="7"/>
      <c r="E44" s="6" t="s">
        <v>21</v>
      </c>
      <c r="F44" s="6" t="s">
        <v>67</v>
      </c>
      <c r="G44" s="6" t="s">
        <v>263</v>
      </c>
      <c r="H44" s="6" t="s">
        <v>264</v>
      </c>
      <c r="I44" s="6" t="s">
        <v>265</v>
      </c>
      <c r="J44" s="6" t="s">
        <v>266</v>
      </c>
      <c r="K44" s="6" t="n">
        <v>2</v>
      </c>
      <c r="L44" s="6"/>
      <c r="M44" s="6" t="s">
        <v>97</v>
      </c>
      <c r="N44" s="6" t="s">
        <v>65</v>
      </c>
      <c r="O44" s="6" t="s">
        <v>267</v>
      </c>
      <c r="P44" s="6"/>
      <c r="Q44" s="6"/>
      <c r="R44" s="6"/>
      <c r="S44" s="6"/>
      <c r="T44" s="6"/>
    </row>
    <row r="45" customFormat="false" ht="46.25" hidden="false" customHeight="false" outlineLevel="0" collapsed="false">
      <c r="A45" s="6" t="n">
        <v>44</v>
      </c>
      <c r="B45" s="6" t="s">
        <v>9</v>
      </c>
      <c r="C45" s="7" t="n">
        <v>0.503472222222222</v>
      </c>
      <c r="D45" s="7"/>
      <c r="E45" s="6" t="s">
        <v>27</v>
      </c>
      <c r="F45" s="6" t="s">
        <v>134</v>
      </c>
      <c r="G45" s="6" t="s">
        <v>268</v>
      </c>
      <c r="H45" s="6" t="s">
        <v>269</v>
      </c>
      <c r="I45" s="6" t="s">
        <v>270</v>
      </c>
      <c r="J45" s="6" t="s">
        <v>271</v>
      </c>
      <c r="K45" s="6" t="n">
        <v>4</v>
      </c>
      <c r="L45" s="6"/>
      <c r="M45" s="6" t="s">
        <v>86</v>
      </c>
      <c r="N45" s="6" t="s">
        <v>87</v>
      </c>
      <c r="O45" s="6" t="s">
        <v>86</v>
      </c>
      <c r="P45" s="6"/>
      <c r="Q45" s="6"/>
      <c r="R45" s="6"/>
      <c r="S45" s="6"/>
      <c r="T45" s="6"/>
    </row>
    <row r="46" customFormat="false" ht="35.05" hidden="false" customHeight="false" outlineLevel="0" collapsed="false">
      <c r="A46" s="6" t="n">
        <v>45</v>
      </c>
      <c r="B46" s="6" t="s">
        <v>9</v>
      </c>
      <c r="C46" s="7" t="n">
        <v>0.503472222222222</v>
      </c>
      <c r="D46" s="7"/>
      <c r="E46" s="6" t="s">
        <v>32</v>
      </c>
      <c r="F46" s="6" t="s">
        <v>81</v>
      </c>
      <c r="G46" s="6" t="s">
        <v>272</v>
      </c>
      <c r="H46" s="6" t="s">
        <v>273</v>
      </c>
      <c r="I46" s="6" t="s">
        <v>274</v>
      </c>
      <c r="J46" s="6" t="s">
        <v>275</v>
      </c>
      <c r="K46" s="6" t="n">
        <v>2</v>
      </c>
      <c r="L46" s="6"/>
      <c r="M46" s="6" t="s">
        <v>108</v>
      </c>
      <c r="N46" s="6" t="s">
        <v>87</v>
      </c>
      <c r="O46" s="6" t="s">
        <v>109</v>
      </c>
      <c r="P46" s="6"/>
      <c r="Q46" s="6"/>
      <c r="R46" s="6"/>
      <c r="S46" s="6"/>
      <c r="T46" s="6"/>
    </row>
    <row r="47" customFormat="false" ht="23.85" hidden="false" customHeight="false" outlineLevel="0" collapsed="false">
      <c r="A47" s="6" t="n">
        <v>46</v>
      </c>
      <c r="B47" s="6" t="s">
        <v>9</v>
      </c>
      <c r="C47" s="7" t="n">
        <v>0.503472222222222</v>
      </c>
      <c r="D47" s="7"/>
      <c r="E47" s="6" t="s">
        <v>33</v>
      </c>
      <c r="F47" s="6" t="s">
        <v>81</v>
      </c>
      <c r="G47" s="6" t="s">
        <v>276</v>
      </c>
      <c r="H47" s="6" t="s">
        <v>277</v>
      </c>
      <c r="I47" s="6" t="s">
        <v>278</v>
      </c>
      <c r="J47" s="6" t="s">
        <v>279</v>
      </c>
      <c r="K47" s="6" t="n">
        <v>2</v>
      </c>
      <c r="L47" s="6"/>
      <c r="M47" s="6" t="s">
        <v>64</v>
      </c>
      <c r="N47" s="6" t="s">
        <v>65</v>
      </c>
      <c r="O47" s="6" t="s">
        <v>280</v>
      </c>
      <c r="P47" s="6"/>
      <c r="Q47" s="6"/>
      <c r="R47" s="6"/>
      <c r="S47" s="6"/>
      <c r="T47" s="6"/>
    </row>
    <row r="48" customFormat="false" ht="23.85" hidden="false" customHeight="false" outlineLevel="0" collapsed="false">
      <c r="A48" s="6" t="n">
        <v>47</v>
      </c>
      <c r="B48" s="6" t="s">
        <v>9</v>
      </c>
      <c r="C48" s="7" t="n">
        <v>0.503472222222222</v>
      </c>
      <c r="D48" s="7"/>
      <c r="E48" s="6" t="s">
        <v>25</v>
      </c>
      <c r="F48" s="6" t="s">
        <v>81</v>
      </c>
      <c r="G48" s="6" t="s">
        <v>281</v>
      </c>
      <c r="H48" s="6" t="s">
        <v>282</v>
      </c>
      <c r="I48" s="6" t="s">
        <v>283</v>
      </c>
      <c r="J48" s="6" t="s">
        <v>284</v>
      </c>
      <c r="K48" s="6" t="n">
        <v>1</v>
      </c>
      <c r="L48" s="6"/>
      <c r="M48" s="6" t="s">
        <v>92</v>
      </c>
      <c r="N48" s="6" t="s">
        <v>65</v>
      </c>
      <c r="O48" s="6" t="s">
        <v>92</v>
      </c>
      <c r="P48" s="6"/>
      <c r="Q48" s="6"/>
      <c r="R48" s="6"/>
      <c r="S48" s="6"/>
      <c r="T48" s="6"/>
    </row>
    <row r="49" customFormat="false" ht="23.85" hidden="false" customHeight="false" outlineLevel="0" collapsed="false">
      <c r="A49" s="6" t="n">
        <v>48</v>
      </c>
      <c r="B49" s="6" t="s">
        <v>9</v>
      </c>
      <c r="C49" s="7" t="n">
        <v>0.503472222222222</v>
      </c>
      <c r="D49" s="7"/>
      <c r="E49" s="6" t="s">
        <v>22</v>
      </c>
      <c r="F49" s="6" t="s">
        <v>81</v>
      </c>
      <c r="G49" s="6" t="s">
        <v>285</v>
      </c>
      <c r="H49" s="6" t="s">
        <v>286</v>
      </c>
      <c r="I49" s="6" t="s">
        <v>287</v>
      </c>
      <c r="J49" s="6" t="s">
        <v>288</v>
      </c>
      <c r="K49" s="6" t="n">
        <v>2</v>
      </c>
      <c r="L49" s="6"/>
      <c r="M49" s="6" t="s">
        <v>114</v>
      </c>
      <c r="N49" s="6" t="s">
        <v>65</v>
      </c>
      <c r="O49" s="6" t="s">
        <v>114</v>
      </c>
      <c r="P49" s="6"/>
      <c r="Q49" s="6"/>
      <c r="R49" s="6"/>
      <c r="S49" s="6"/>
      <c r="T49" s="6"/>
    </row>
    <row r="50" customFormat="false" ht="35.05" hidden="false" customHeight="false" outlineLevel="0" collapsed="false">
      <c r="A50" s="6" t="n">
        <v>49</v>
      </c>
      <c r="B50" s="6" t="s">
        <v>9</v>
      </c>
      <c r="C50" s="7" t="n">
        <v>0.503472222222222</v>
      </c>
      <c r="D50" s="7"/>
      <c r="E50" s="6" t="s">
        <v>30</v>
      </c>
      <c r="F50" s="6" t="s">
        <v>81</v>
      </c>
      <c r="G50" s="6" t="s">
        <v>289</v>
      </c>
      <c r="H50" s="6" t="s">
        <v>290</v>
      </c>
      <c r="I50" s="6" t="s">
        <v>291</v>
      </c>
      <c r="J50" s="6" t="s">
        <v>292</v>
      </c>
      <c r="K50" s="6" t="n">
        <v>3</v>
      </c>
      <c r="L50" s="6"/>
      <c r="M50" s="6" t="s">
        <v>103</v>
      </c>
      <c r="N50" s="6" t="s">
        <v>87</v>
      </c>
      <c r="O50" s="6" t="s">
        <v>103</v>
      </c>
      <c r="P50" s="6"/>
      <c r="Q50" s="6"/>
      <c r="R50" s="6"/>
      <c r="S50" s="6"/>
      <c r="T50" s="6"/>
    </row>
    <row r="51" customFormat="false" ht="23.85" hidden="false" customHeight="false" outlineLevel="0" collapsed="false">
      <c r="A51" s="6" t="n">
        <v>50</v>
      </c>
      <c r="B51" s="6" t="s">
        <v>9</v>
      </c>
      <c r="C51" s="7" t="n">
        <v>0.513888888888889</v>
      </c>
      <c r="D51" s="7"/>
      <c r="E51" s="6" t="s">
        <v>21</v>
      </c>
      <c r="F51" s="6" t="s">
        <v>81</v>
      </c>
      <c r="G51" s="6" t="s">
        <v>293</v>
      </c>
      <c r="H51" s="6" t="s">
        <v>294</v>
      </c>
      <c r="I51" s="6" t="s">
        <v>295</v>
      </c>
      <c r="J51" s="6" t="s">
        <v>296</v>
      </c>
      <c r="K51" s="6" t="n">
        <v>1</v>
      </c>
      <c r="L51" s="6"/>
      <c r="M51" s="6" t="s">
        <v>97</v>
      </c>
      <c r="N51" s="6" t="s">
        <v>65</v>
      </c>
      <c r="O51" s="6" t="s">
        <v>267</v>
      </c>
      <c r="P51" s="6"/>
      <c r="Q51" s="6"/>
      <c r="R51" s="6"/>
      <c r="S51" s="6"/>
      <c r="T51" s="6"/>
    </row>
    <row r="52" customFormat="false" ht="91" hidden="false" customHeight="false" outlineLevel="0" collapsed="false">
      <c r="A52" s="6" t="n">
        <v>51</v>
      </c>
      <c r="B52" s="6" t="s">
        <v>9</v>
      </c>
      <c r="C52" s="7" t="n">
        <v>0.513888888888889</v>
      </c>
      <c r="D52" s="7"/>
      <c r="E52" s="6" t="s">
        <v>33</v>
      </c>
      <c r="F52" s="6" t="s">
        <v>81</v>
      </c>
      <c r="G52" s="6" t="s">
        <v>297</v>
      </c>
      <c r="H52" s="6" t="s">
        <v>298</v>
      </c>
      <c r="I52" s="6" t="s">
        <v>299</v>
      </c>
      <c r="J52" s="6" t="s">
        <v>300</v>
      </c>
      <c r="K52" s="6" t="n">
        <v>1</v>
      </c>
      <c r="L52" s="6"/>
      <c r="M52" s="6" t="s">
        <v>64</v>
      </c>
      <c r="N52" s="6" t="s">
        <v>65</v>
      </c>
      <c r="O52" s="6" t="s">
        <v>64</v>
      </c>
      <c r="P52" s="6" t="s">
        <v>301</v>
      </c>
      <c r="Q52" s="6"/>
      <c r="R52" s="6"/>
      <c r="S52" s="6"/>
      <c r="T52" s="6"/>
    </row>
    <row r="53" customFormat="false" ht="91" hidden="false" customHeight="false" outlineLevel="0" collapsed="false">
      <c r="A53" s="6" t="n">
        <v>52</v>
      </c>
      <c r="B53" s="6" t="s">
        <v>9</v>
      </c>
      <c r="C53" s="7" t="n">
        <v>0.513888888888889</v>
      </c>
      <c r="D53" s="7"/>
      <c r="E53" s="6" t="s">
        <v>30</v>
      </c>
      <c r="F53" s="6" t="s">
        <v>134</v>
      </c>
      <c r="G53" s="6" t="s">
        <v>302</v>
      </c>
      <c r="H53" s="6" t="s">
        <v>303</v>
      </c>
      <c r="I53" s="6" t="s">
        <v>304</v>
      </c>
      <c r="J53" s="6" t="s">
        <v>305</v>
      </c>
      <c r="K53" s="6" t="n">
        <v>6</v>
      </c>
      <c r="L53" s="6"/>
      <c r="M53" s="6" t="s">
        <v>103</v>
      </c>
      <c r="N53" s="6" t="s">
        <v>87</v>
      </c>
      <c r="O53" s="6" t="s">
        <v>103</v>
      </c>
      <c r="P53" s="6" t="s">
        <v>306</v>
      </c>
      <c r="Q53" s="6"/>
      <c r="R53" s="6"/>
      <c r="S53" s="6"/>
      <c r="T53" s="6"/>
    </row>
    <row r="54" customFormat="false" ht="79.85" hidden="false" customHeight="false" outlineLevel="0" collapsed="false">
      <c r="A54" s="6" t="n">
        <v>53</v>
      </c>
      <c r="B54" s="6" t="s">
        <v>9</v>
      </c>
      <c r="C54" s="7" t="n">
        <v>0.513888888888889</v>
      </c>
      <c r="D54" s="7"/>
      <c r="E54" s="6" t="s">
        <v>26</v>
      </c>
      <c r="F54" s="6" t="s">
        <v>134</v>
      </c>
      <c r="G54" s="6" t="s">
        <v>307</v>
      </c>
      <c r="H54" s="6" t="s">
        <v>308</v>
      </c>
      <c r="I54" s="6" t="s">
        <v>309</v>
      </c>
      <c r="J54" s="6" t="s">
        <v>310</v>
      </c>
      <c r="K54" s="6" t="n">
        <v>5</v>
      </c>
      <c r="L54" s="6"/>
      <c r="M54" s="6" t="s">
        <v>255</v>
      </c>
      <c r="N54" s="6" t="s">
        <v>87</v>
      </c>
      <c r="O54" s="6" t="s">
        <v>255</v>
      </c>
      <c r="P54" s="6" t="s">
        <v>311</v>
      </c>
      <c r="Q54" s="6"/>
      <c r="R54" s="6"/>
      <c r="S54" s="6"/>
      <c r="T54" s="6"/>
    </row>
    <row r="55" customFormat="false" ht="35.05" hidden="false" customHeight="false" outlineLevel="0" collapsed="false">
      <c r="A55" s="6" t="n">
        <v>54</v>
      </c>
      <c r="B55" s="6" t="s">
        <v>9</v>
      </c>
      <c r="C55" s="7" t="n">
        <v>0.513888888888889</v>
      </c>
      <c r="D55" s="7"/>
      <c r="E55" s="6" t="s">
        <v>22</v>
      </c>
      <c r="F55" s="6" t="s">
        <v>81</v>
      </c>
      <c r="G55" s="6" t="s">
        <v>312</v>
      </c>
      <c r="H55" s="6" t="s">
        <v>313</v>
      </c>
      <c r="I55" s="6" t="s">
        <v>314</v>
      </c>
      <c r="J55" s="6" t="s">
        <v>315</v>
      </c>
      <c r="K55" s="6" t="n">
        <v>1</v>
      </c>
      <c r="L55" s="6"/>
      <c r="M55" s="6" t="s">
        <v>114</v>
      </c>
      <c r="N55" s="6" t="s">
        <v>65</v>
      </c>
      <c r="O55" s="6" t="s">
        <v>115</v>
      </c>
      <c r="P55" s="6"/>
      <c r="Q55" s="6"/>
      <c r="R55" s="6"/>
      <c r="S55" s="6"/>
      <c r="T55" s="6"/>
    </row>
    <row r="56" customFormat="false" ht="102.2" hidden="false" customHeight="false" outlineLevel="0" collapsed="false">
      <c r="A56" s="6" t="n">
        <v>55</v>
      </c>
      <c r="B56" s="6" t="s">
        <v>9</v>
      </c>
      <c r="C56" s="7" t="n">
        <v>0.513888888888889</v>
      </c>
      <c r="D56" s="7"/>
      <c r="E56" s="6" t="s">
        <v>32</v>
      </c>
      <c r="F56" s="6" t="s">
        <v>134</v>
      </c>
      <c r="G56" s="6" t="s">
        <v>316</v>
      </c>
      <c r="H56" s="6" t="s">
        <v>317</v>
      </c>
      <c r="I56" s="6" t="s">
        <v>318</v>
      </c>
      <c r="J56" s="6" t="s">
        <v>319</v>
      </c>
      <c r="K56" s="6" t="n">
        <v>4</v>
      </c>
      <c r="L56" s="6"/>
      <c r="M56" s="6" t="s">
        <v>108</v>
      </c>
      <c r="N56" s="6" t="s">
        <v>87</v>
      </c>
      <c r="O56" s="6" t="s">
        <v>109</v>
      </c>
      <c r="P56" s="6" t="s">
        <v>320</v>
      </c>
      <c r="Q56" s="6"/>
      <c r="R56" s="6"/>
      <c r="S56" s="6"/>
      <c r="T56" s="6"/>
    </row>
    <row r="57" customFormat="false" ht="124.6" hidden="false" customHeight="false" outlineLevel="0" collapsed="false">
      <c r="A57" s="6" t="n">
        <v>56</v>
      </c>
      <c r="B57" s="6" t="s">
        <v>9</v>
      </c>
      <c r="C57" s="7" t="n">
        <v>0.513888888888889</v>
      </c>
      <c r="D57" s="7"/>
      <c r="E57" s="6" t="s">
        <v>25</v>
      </c>
      <c r="F57" s="6" t="s">
        <v>134</v>
      </c>
      <c r="G57" s="6" t="s">
        <v>321</v>
      </c>
      <c r="H57" s="6" t="s">
        <v>322</v>
      </c>
      <c r="I57" s="6" t="s">
        <v>323</v>
      </c>
      <c r="J57" s="6" t="s">
        <v>324</v>
      </c>
      <c r="K57" s="6" t="n">
        <v>4</v>
      </c>
      <c r="L57" s="6"/>
      <c r="M57" s="6" t="s">
        <v>92</v>
      </c>
      <c r="N57" s="6" t="s">
        <v>65</v>
      </c>
      <c r="O57" s="6" t="s">
        <v>92</v>
      </c>
      <c r="P57" s="6" t="s">
        <v>325</v>
      </c>
      <c r="Q57" s="6"/>
      <c r="R57" s="6"/>
      <c r="S57" s="6"/>
      <c r="T57" s="6"/>
    </row>
    <row r="58" customFormat="false" ht="91" hidden="false" customHeight="false" outlineLevel="0" collapsed="false">
      <c r="A58" s="6" t="n">
        <v>57</v>
      </c>
      <c r="B58" s="6" t="s">
        <v>9</v>
      </c>
      <c r="C58" s="7" t="n">
        <v>0.524305555555556</v>
      </c>
      <c r="D58" s="7"/>
      <c r="E58" s="6" t="s">
        <v>21</v>
      </c>
      <c r="F58" s="6" t="s">
        <v>134</v>
      </c>
      <c r="G58" s="6" t="s">
        <v>326</v>
      </c>
      <c r="H58" s="6" t="s">
        <v>327</v>
      </c>
      <c r="I58" s="6" t="s">
        <v>328</v>
      </c>
      <c r="J58" s="6" t="s">
        <v>329</v>
      </c>
      <c r="K58" s="6" t="n">
        <v>5</v>
      </c>
      <c r="L58" s="6"/>
      <c r="M58" s="6" t="s">
        <v>97</v>
      </c>
      <c r="N58" s="6" t="s">
        <v>65</v>
      </c>
      <c r="O58" s="6" t="s">
        <v>97</v>
      </c>
      <c r="P58" s="6" t="s">
        <v>330</v>
      </c>
      <c r="Q58" s="6"/>
      <c r="R58" s="6"/>
      <c r="S58" s="6"/>
      <c r="T58" s="6"/>
    </row>
    <row r="59" customFormat="false" ht="113.4" hidden="false" customHeight="false" outlineLevel="0" collapsed="false">
      <c r="A59" s="6" t="n">
        <v>58</v>
      </c>
      <c r="B59" s="6" t="s">
        <v>9</v>
      </c>
      <c r="C59" s="7" t="n">
        <v>0.524305555555556</v>
      </c>
      <c r="D59" s="7"/>
      <c r="E59" s="6" t="s">
        <v>33</v>
      </c>
      <c r="F59" s="6" t="s">
        <v>134</v>
      </c>
      <c r="G59" s="6" t="s">
        <v>331</v>
      </c>
      <c r="H59" s="6" t="s">
        <v>332</v>
      </c>
      <c r="I59" s="6" t="s">
        <v>333</v>
      </c>
      <c r="J59" s="6" t="s">
        <v>334</v>
      </c>
      <c r="K59" s="6" t="n">
        <v>7</v>
      </c>
      <c r="L59" s="6"/>
      <c r="M59" s="6" t="s">
        <v>64</v>
      </c>
      <c r="N59" s="6" t="s">
        <v>65</v>
      </c>
      <c r="O59" s="6" t="s">
        <v>64</v>
      </c>
      <c r="P59" s="6"/>
      <c r="Q59" s="6"/>
      <c r="R59" s="6"/>
      <c r="S59" s="6"/>
      <c r="T59" s="6"/>
    </row>
    <row r="60" customFormat="false" ht="113.4" hidden="false" customHeight="false" outlineLevel="0" collapsed="false">
      <c r="A60" s="6" t="n">
        <v>59</v>
      </c>
      <c r="B60" s="6" t="s">
        <v>9</v>
      </c>
      <c r="C60" s="7" t="n">
        <v>0.524305555555556</v>
      </c>
      <c r="D60" s="7"/>
      <c r="E60" s="6" t="s">
        <v>22</v>
      </c>
      <c r="F60" s="6" t="s">
        <v>134</v>
      </c>
      <c r="G60" s="6" t="s">
        <v>335</v>
      </c>
      <c r="H60" s="6" t="s">
        <v>336</v>
      </c>
      <c r="I60" s="6" t="s">
        <v>337</v>
      </c>
      <c r="J60" s="6" t="s">
        <v>338</v>
      </c>
      <c r="K60" s="6" t="n">
        <v>6</v>
      </c>
      <c r="L60" s="6"/>
      <c r="M60" s="6" t="s">
        <v>114</v>
      </c>
      <c r="N60" s="6" t="s">
        <v>65</v>
      </c>
      <c r="O60" s="6" t="s">
        <v>114</v>
      </c>
      <c r="P60" s="6" t="s">
        <v>339</v>
      </c>
      <c r="Q60" s="6"/>
      <c r="R60" s="6"/>
      <c r="S60" s="6"/>
      <c r="T60" s="6"/>
    </row>
    <row r="61" customFormat="false" ht="23.85" hidden="false" customHeight="false" outlineLevel="0" collapsed="false">
      <c r="A61" s="6" t="n">
        <v>60</v>
      </c>
      <c r="B61" s="6" t="s">
        <v>9</v>
      </c>
      <c r="C61" s="7" t="n">
        <v>0.527777777777778</v>
      </c>
      <c r="D61" s="7"/>
      <c r="E61" s="6" t="s">
        <v>36</v>
      </c>
      <c r="F61" s="6" t="s">
        <v>156</v>
      </c>
      <c r="G61" s="6" t="s">
        <v>340</v>
      </c>
      <c r="H61" s="6" t="s">
        <v>341</v>
      </c>
      <c r="I61" s="6" t="s">
        <v>342</v>
      </c>
      <c r="J61" s="6" t="s">
        <v>343</v>
      </c>
      <c r="K61" s="6" t="n">
        <v>1</v>
      </c>
      <c r="L61" s="6"/>
      <c r="M61" s="6" t="s">
        <v>36</v>
      </c>
      <c r="N61" s="6"/>
      <c r="O61" s="6" t="s">
        <v>36</v>
      </c>
      <c r="P61" s="6"/>
      <c r="Q61" s="6"/>
      <c r="R61" s="6"/>
      <c r="S61" s="6"/>
      <c r="T61" s="6"/>
    </row>
    <row r="62" customFormat="false" ht="15" hidden="false" customHeight="false" outlineLevel="0" collapsed="false">
      <c r="A62" s="6" t="n">
        <v>61</v>
      </c>
      <c r="B62" s="6" t="s">
        <v>9</v>
      </c>
      <c r="C62" s="7" t="n">
        <v>0.534722222222222</v>
      </c>
      <c r="D62" s="7"/>
      <c r="E62" s="6" t="s">
        <v>36</v>
      </c>
      <c r="F62" s="6" t="s">
        <v>156</v>
      </c>
      <c r="G62" s="6" t="s">
        <v>344</v>
      </c>
      <c r="H62" s="6" t="s">
        <v>345</v>
      </c>
      <c r="I62" s="6" t="s">
        <v>346</v>
      </c>
      <c r="J62" s="6" t="s">
        <v>347</v>
      </c>
      <c r="K62" s="6" t="n">
        <v>1</v>
      </c>
      <c r="L62" s="6"/>
      <c r="M62" s="6" t="s">
        <v>36</v>
      </c>
      <c r="N62" s="6"/>
      <c r="O62" s="6" t="s">
        <v>36</v>
      </c>
      <c r="P62" s="6"/>
      <c r="Q62" s="6"/>
      <c r="R62" s="6"/>
      <c r="S62" s="6"/>
      <c r="T62" s="6"/>
    </row>
    <row r="63" customFormat="false" ht="15" hidden="false" customHeight="false" outlineLevel="0" collapsed="false">
      <c r="A63" s="6" t="n">
        <v>62</v>
      </c>
      <c r="B63" s="6" t="s">
        <v>9</v>
      </c>
      <c r="C63" s="7" t="n">
        <v>0.541666666666667</v>
      </c>
      <c r="D63" s="7"/>
      <c r="E63" s="6" t="s">
        <v>36</v>
      </c>
      <c r="F63" s="6" t="s">
        <v>156</v>
      </c>
      <c r="G63" s="6" t="s">
        <v>348</v>
      </c>
      <c r="H63" s="6" t="s">
        <v>349</v>
      </c>
      <c r="I63" s="6" t="s">
        <v>350</v>
      </c>
      <c r="J63" s="6" t="s">
        <v>351</v>
      </c>
      <c r="K63" s="6" t="n">
        <v>1</v>
      </c>
      <c r="L63" s="6"/>
      <c r="M63" s="6" t="s">
        <v>36</v>
      </c>
      <c r="N63" s="6"/>
      <c r="O63" s="6" t="s">
        <v>36</v>
      </c>
      <c r="P63" s="6"/>
      <c r="Q63" s="6"/>
      <c r="R63" s="6"/>
      <c r="S63" s="6"/>
      <c r="T63" s="6"/>
    </row>
    <row r="64" customFormat="false" ht="23.85" hidden="false" customHeight="false" outlineLevel="0" collapsed="false">
      <c r="A64" s="6" t="n">
        <v>63</v>
      </c>
      <c r="B64" s="6" t="s">
        <v>9</v>
      </c>
      <c r="C64" s="7" t="n">
        <v>0.548611111111111</v>
      </c>
      <c r="D64" s="7"/>
      <c r="E64" s="6" t="s">
        <v>36</v>
      </c>
      <c r="F64" s="6" t="s">
        <v>156</v>
      </c>
      <c r="G64" s="6" t="s">
        <v>352</v>
      </c>
      <c r="H64" s="6" t="s">
        <v>353</v>
      </c>
      <c r="I64" s="6" t="s">
        <v>354</v>
      </c>
      <c r="J64" s="6" t="s">
        <v>355</v>
      </c>
      <c r="K64" s="6" t="n">
        <v>1</v>
      </c>
      <c r="L64" s="6"/>
      <c r="M64" s="6" t="s">
        <v>36</v>
      </c>
      <c r="N64" s="6"/>
      <c r="O64" s="6" t="s">
        <v>36</v>
      </c>
      <c r="P64" s="6"/>
      <c r="Q64" s="6"/>
      <c r="R64" s="6"/>
      <c r="S64" s="6"/>
      <c r="T64" s="6"/>
    </row>
    <row r="65" customFormat="false" ht="23.85" hidden="false" customHeight="false" outlineLevel="0" collapsed="false">
      <c r="A65" s="6" t="n">
        <v>64</v>
      </c>
      <c r="B65" s="6" t="s">
        <v>9</v>
      </c>
      <c r="C65" s="7" t="n">
        <v>0.555555555555556</v>
      </c>
      <c r="D65" s="7"/>
      <c r="E65" s="6" t="s">
        <v>36</v>
      </c>
      <c r="F65" s="6" t="s">
        <v>156</v>
      </c>
      <c r="G65" s="6" t="s">
        <v>356</v>
      </c>
      <c r="H65" s="6" t="s">
        <v>357</v>
      </c>
      <c r="I65" s="6" t="s">
        <v>358</v>
      </c>
      <c r="J65" s="6" t="s">
        <v>359</v>
      </c>
      <c r="K65" s="6" t="n">
        <v>1</v>
      </c>
      <c r="L65" s="6"/>
      <c r="M65" s="6" t="s">
        <v>36</v>
      </c>
      <c r="N65" s="6"/>
      <c r="O65" s="6" t="s">
        <v>36</v>
      </c>
      <c r="P65" s="6"/>
      <c r="Q65" s="6"/>
      <c r="R65" s="6"/>
      <c r="S65" s="6"/>
      <c r="T65" s="6"/>
    </row>
    <row r="66" customFormat="false" ht="46.25" hidden="false" customHeight="false" outlineLevel="0" collapsed="false">
      <c r="A66" s="6" t="n">
        <v>65</v>
      </c>
      <c r="B66" s="6" t="s">
        <v>9</v>
      </c>
      <c r="C66" s="7" t="n">
        <v>0.565277777777778</v>
      </c>
      <c r="D66" s="7"/>
      <c r="E66" s="6" t="s">
        <v>21</v>
      </c>
      <c r="F66" s="6" t="s">
        <v>67</v>
      </c>
      <c r="G66" s="6" t="s">
        <v>360</v>
      </c>
      <c r="H66" s="6" t="s">
        <v>361</v>
      </c>
      <c r="I66" s="6" t="s">
        <v>362</v>
      </c>
      <c r="J66" s="6" t="s">
        <v>363</v>
      </c>
      <c r="K66" s="6" t="n">
        <v>2</v>
      </c>
      <c r="L66" s="6"/>
      <c r="M66" s="6" t="s">
        <v>64</v>
      </c>
      <c r="N66" s="6" t="s">
        <v>65</v>
      </c>
      <c r="O66" s="6" t="s">
        <v>364</v>
      </c>
      <c r="P66" s="6"/>
      <c r="Q66" s="6"/>
      <c r="R66" s="6"/>
      <c r="S66" s="6"/>
      <c r="T66" s="6"/>
    </row>
    <row r="67" customFormat="false" ht="23.85" hidden="false" customHeight="false" outlineLevel="0" collapsed="false">
      <c r="A67" s="6" t="n">
        <v>66</v>
      </c>
      <c r="B67" s="6" t="s">
        <v>9</v>
      </c>
      <c r="C67" s="7" t="n">
        <v>0.565972222222222</v>
      </c>
      <c r="D67" s="7"/>
      <c r="E67" s="6" t="s">
        <v>24</v>
      </c>
      <c r="F67" s="6" t="s">
        <v>81</v>
      </c>
      <c r="G67" s="6" t="s">
        <v>365</v>
      </c>
      <c r="H67" s="6" t="s">
        <v>366</v>
      </c>
      <c r="I67" s="6" t="s">
        <v>367</v>
      </c>
      <c r="J67" s="6" t="s">
        <v>368</v>
      </c>
      <c r="K67" s="6" t="n">
        <v>1</v>
      </c>
      <c r="L67" s="6"/>
      <c r="M67" s="6" t="s">
        <v>80</v>
      </c>
      <c r="N67" s="6" t="s">
        <v>65</v>
      </c>
      <c r="O67" s="6" t="s">
        <v>80</v>
      </c>
      <c r="P67" s="6"/>
      <c r="Q67" s="6"/>
      <c r="R67" s="6"/>
      <c r="S67" s="6"/>
      <c r="T67" s="6"/>
    </row>
    <row r="68" customFormat="false" ht="46.25" hidden="false" customHeight="false" outlineLevel="0" collapsed="false">
      <c r="A68" s="6" t="n">
        <v>67</v>
      </c>
      <c r="B68" s="6" t="s">
        <v>9</v>
      </c>
      <c r="C68" s="7" t="n">
        <v>0.565972222222222</v>
      </c>
      <c r="D68" s="7"/>
      <c r="E68" s="6" t="s">
        <v>32</v>
      </c>
      <c r="F68" s="6" t="s">
        <v>67</v>
      </c>
      <c r="G68" s="6" t="s">
        <v>369</v>
      </c>
      <c r="H68" s="6" t="s">
        <v>370</v>
      </c>
      <c r="I68" s="6" t="s">
        <v>371</v>
      </c>
      <c r="J68" s="6" t="s">
        <v>372</v>
      </c>
      <c r="K68" s="6" t="n">
        <v>2</v>
      </c>
      <c r="L68" s="6"/>
      <c r="M68" s="6" t="s">
        <v>108</v>
      </c>
      <c r="N68" s="6" t="s">
        <v>87</v>
      </c>
      <c r="O68" s="6" t="s">
        <v>109</v>
      </c>
      <c r="P68" s="6"/>
      <c r="Q68" s="6"/>
      <c r="R68" s="6"/>
      <c r="S68" s="6"/>
      <c r="T68" s="6"/>
    </row>
    <row r="69" customFormat="false" ht="23.85" hidden="false" customHeight="false" outlineLevel="0" collapsed="false">
      <c r="A69" s="6" t="n">
        <v>68</v>
      </c>
      <c r="B69" s="6" t="s">
        <v>9</v>
      </c>
      <c r="C69" s="7" t="n">
        <v>0.565972222222222</v>
      </c>
      <c r="D69" s="7"/>
      <c r="E69" s="6" t="s">
        <v>27</v>
      </c>
      <c r="F69" s="6" t="s">
        <v>81</v>
      </c>
      <c r="G69" s="6" t="s">
        <v>373</v>
      </c>
      <c r="H69" s="6" t="s">
        <v>374</v>
      </c>
      <c r="I69" s="6" t="s">
        <v>375</v>
      </c>
      <c r="J69" s="6" t="s">
        <v>85</v>
      </c>
      <c r="K69" s="6" t="n">
        <v>1</v>
      </c>
      <c r="L69" s="6"/>
      <c r="M69" s="6" t="s">
        <v>86</v>
      </c>
      <c r="N69" s="6" t="s">
        <v>87</v>
      </c>
      <c r="O69" s="6" t="s">
        <v>86</v>
      </c>
      <c r="P69" s="6"/>
      <c r="Q69" s="6"/>
      <c r="R69" s="6"/>
      <c r="S69" s="6"/>
      <c r="T69" s="6"/>
    </row>
    <row r="70" customFormat="false" ht="23.85" hidden="false" customHeight="false" outlineLevel="0" collapsed="false">
      <c r="A70" s="6" t="n">
        <v>69</v>
      </c>
      <c r="B70" s="6" t="s">
        <v>9</v>
      </c>
      <c r="C70" s="7" t="n">
        <v>0.565972222222222</v>
      </c>
      <c r="D70" s="7"/>
      <c r="E70" s="6" t="s">
        <v>25</v>
      </c>
      <c r="F70" s="6" t="s">
        <v>81</v>
      </c>
      <c r="G70" s="6" t="s">
        <v>376</v>
      </c>
      <c r="H70" s="6" t="s">
        <v>377</v>
      </c>
      <c r="I70" s="6" t="s">
        <v>378</v>
      </c>
      <c r="J70" s="6" t="s">
        <v>379</v>
      </c>
      <c r="K70" s="6" t="n">
        <v>1</v>
      </c>
      <c r="L70" s="6"/>
      <c r="M70" s="6" t="s">
        <v>92</v>
      </c>
      <c r="N70" s="6" t="s">
        <v>65</v>
      </c>
      <c r="O70" s="6" t="s">
        <v>92</v>
      </c>
      <c r="P70" s="6"/>
      <c r="Q70" s="6"/>
      <c r="R70" s="6"/>
      <c r="S70" s="6"/>
      <c r="T70" s="6"/>
    </row>
    <row r="71" customFormat="false" ht="23.85" hidden="false" customHeight="false" outlineLevel="0" collapsed="false">
      <c r="A71" s="6" t="n">
        <v>70</v>
      </c>
      <c r="B71" s="6" t="s">
        <v>9</v>
      </c>
      <c r="C71" s="7" t="n">
        <v>0.565972222222222</v>
      </c>
      <c r="D71" s="7"/>
      <c r="E71" s="6" t="s">
        <v>26</v>
      </c>
      <c r="F71" s="6" t="s">
        <v>81</v>
      </c>
      <c r="G71" s="6" t="s">
        <v>380</v>
      </c>
      <c r="H71" s="6" t="s">
        <v>381</v>
      </c>
      <c r="I71" s="6" t="s">
        <v>382</v>
      </c>
      <c r="J71" s="6" t="s">
        <v>383</v>
      </c>
      <c r="K71" s="6" t="n">
        <v>2</v>
      </c>
      <c r="L71" s="6"/>
      <c r="M71" s="6" t="s">
        <v>255</v>
      </c>
      <c r="N71" s="6" t="s">
        <v>87</v>
      </c>
      <c r="O71" s="6" t="s">
        <v>384</v>
      </c>
      <c r="P71" s="6"/>
      <c r="Q71" s="6"/>
      <c r="R71" s="6"/>
      <c r="S71" s="6"/>
      <c r="T71" s="6"/>
    </row>
    <row r="72" customFormat="false" ht="15" hidden="false" customHeight="false" outlineLevel="0" collapsed="false">
      <c r="A72" s="6" t="n">
        <v>71</v>
      </c>
      <c r="B72" s="6" t="s">
        <v>9</v>
      </c>
      <c r="C72" s="7" t="n">
        <v>0.565972222222222</v>
      </c>
      <c r="D72" s="7"/>
      <c r="E72" s="6" t="s">
        <v>34</v>
      </c>
      <c r="F72" s="6" t="s">
        <v>81</v>
      </c>
      <c r="G72" s="6" t="s">
        <v>385</v>
      </c>
      <c r="H72" s="6" t="s">
        <v>386</v>
      </c>
      <c r="I72" s="6" t="s">
        <v>387</v>
      </c>
      <c r="J72" s="6" t="s">
        <v>388</v>
      </c>
      <c r="K72" s="6" t="n">
        <v>1</v>
      </c>
      <c r="L72" s="6"/>
      <c r="M72" s="6" t="s">
        <v>103</v>
      </c>
      <c r="N72" s="6" t="s">
        <v>87</v>
      </c>
      <c r="O72" s="6" t="s">
        <v>103</v>
      </c>
      <c r="P72" s="6"/>
      <c r="Q72" s="6"/>
      <c r="R72" s="6"/>
      <c r="S72" s="6"/>
      <c r="T72" s="6"/>
    </row>
    <row r="73" customFormat="false" ht="23.85" hidden="false" customHeight="false" outlineLevel="0" collapsed="false">
      <c r="A73" s="6" t="n">
        <v>72</v>
      </c>
      <c r="B73" s="6" t="s">
        <v>9</v>
      </c>
      <c r="C73" s="7" t="n">
        <v>0.565972222222222</v>
      </c>
      <c r="D73" s="7"/>
      <c r="E73" s="6" t="s">
        <v>28</v>
      </c>
      <c r="F73" s="6" t="s">
        <v>81</v>
      </c>
      <c r="G73" s="6" t="s">
        <v>389</v>
      </c>
      <c r="H73" s="6" t="s">
        <v>390</v>
      </c>
      <c r="I73" s="6" t="s">
        <v>391</v>
      </c>
      <c r="J73" s="6" t="s">
        <v>392</v>
      </c>
      <c r="K73" s="6" t="n">
        <v>1</v>
      </c>
      <c r="L73" s="6"/>
      <c r="M73" s="6" t="s">
        <v>114</v>
      </c>
      <c r="N73" s="6" t="s">
        <v>65</v>
      </c>
      <c r="O73" s="6" t="s">
        <v>115</v>
      </c>
      <c r="P73" s="6"/>
      <c r="Q73" s="6"/>
      <c r="R73" s="6"/>
      <c r="S73" s="6"/>
      <c r="T73" s="6"/>
    </row>
    <row r="74" customFormat="false" ht="35.05" hidden="false" customHeight="false" outlineLevel="0" collapsed="false">
      <c r="A74" s="6" t="n">
        <v>73</v>
      </c>
      <c r="B74" s="6" t="s">
        <v>9</v>
      </c>
      <c r="C74" s="7" t="n">
        <v>0.565972222222222</v>
      </c>
      <c r="D74" s="7"/>
      <c r="E74" s="6" t="s">
        <v>38</v>
      </c>
      <c r="F74" s="6" t="s">
        <v>67</v>
      </c>
      <c r="G74" s="6" t="s">
        <v>393</v>
      </c>
      <c r="H74" s="6" t="s">
        <v>394</v>
      </c>
      <c r="I74" s="6" t="s">
        <v>395</v>
      </c>
      <c r="J74" s="6" t="s">
        <v>396</v>
      </c>
      <c r="K74" s="6" t="n">
        <v>2</v>
      </c>
      <c r="L74" s="6"/>
      <c r="M74" s="6" t="s">
        <v>97</v>
      </c>
      <c r="N74" s="6" t="s">
        <v>65</v>
      </c>
      <c r="O74" s="6" t="s">
        <v>397</v>
      </c>
      <c r="P74" s="6"/>
      <c r="Q74" s="6"/>
      <c r="R74" s="6"/>
      <c r="S74" s="6"/>
      <c r="T74" s="6"/>
    </row>
    <row r="75" customFormat="false" ht="35.05" hidden="false" customHeight="false" outlineLevel="0" collapsed="false">
      <c r="A75" s="6" t="n">
        <v>74</v>
      </c>
      <c r="B75" s="6" t="s">
        <v>9</v>
      </c>
      <c r="C75" s="7" t="n">
        <v>0.565972222222222</v>
      </c>
      <c r="D75" s="7" t="n">
        <v>0.618055555555556</v>
      </c>
      <c r="E75" s="6" t="s">
        <v>39</v>
      </c>
      <c r="F75" s="6" t="s">
        <v>39</v>
      </c>
      <c r="G75" s="6" t="s">
        <v>398</v>
      </c>
      <c r="H75" s="6" t="s">
        <v>399</v>
      </c>
      <c r="I75" s="6" t="s">
        <v>399</v>
      </c>
      <c r="J75" s="6"/>
      <c r="K75" s="6" t="n">
        <v>1</v>
      </c>
      <c r="L75" s="6"/>
      <c r="M75" s="6" t="s">
        <v>119</v>
      </c>
      <c r="N75" s="6" t="s">
        <v>87</v>
      </c>
      <c r="O75" s="6" t="s">
        <v>119</v>
      </c>
      <c r="P75" s="6"/>
      <c r="Q75" s="6" t="n">
        <v>119</v>
      </c>
      <c r="R75" s="6" t="n">
        <v>120</v>
      </c>
      <c r="S75" s="6" t="n">
        <f aca="false">R75-Q75</f>
        <v>1</v>
      </c>
      <c r="T75" s="6" t="s">
        <v>120</v>
      </c>
    </row>
    <row r="76" customFormat="false" ht="35.05" hidden="false" customHeight="false" outlineLevel="0" collapsed="false">
      <c r="A76" s="6" t="n">
        <v>75</v>
      </c>
      <c r="B76" s="6" t="s">
        <v>9</v>
      </c>
      <c r="C76" s="7" t="n">
        <v>0.576388888888889</v>
      </c>
      <c r="D76" s="7"/>
      <c r="E76" s="6" t="s">
        <v>24</v>
      </c>
      <c r="F76" s="6" t="s">
        <v>81</v>
      </c>
      <c r="G76" s="6" t="s">
        <v>400</v>
      </c>
      <c r="H76" s="6" t="s">
        <v>401</v>
      </c>
      <c r="I76" s="6" t="s">
        <v>402</v>
      </c>
      <c r="J76" s="6" t="s">
        <v>403</v>
      </c>
      <c r="K76" s="6" t="n">
        <v>3</v>
      </c>
      <c r="L76" s="6"/>
      <c r="M76" s="6" t="s">
        <v>80</v>
      </c>
      <c r="N76" s="6" t="s">
        <v>65</v>
      </c>
      <c r="O76" s="6" t="s">
        <v>404</v>
      </c>
      <c r="P76" s="6"/>
      <c r="Q76" s="6"/>
      <c r="R76" s="6"/>
      <c r="S76" s="6"/>
      <c r="T76" s="6"/>
    </row>
    <row r="77" customFormat="false" ht="124.6" hidden="false" customHeight="false" outlineLevel="0" collapsed="false">
      <c r="A77" s="6" t="n">
        <v>76</v>
      </c>
      <c r="B77" s="6" t="s">
        <v>9</v>
      </c>
      <c r="C77" s="7" t="n">
        <v>0.576388888888889</v>
      </c>
      <c r="D77" s="7"/>
      <c r="E77" s="6" t="s">
        <v>38</v>
      </c>
      <c r="F77" s="6" t="s">
        <v>134</v>
      </c>
      <c r="G77" s="6" t="s">
        <v>405</v>
      </c>
      <c r="H77" s="6" t="s">
        <v>406</v>
      </c>
      <c r="I77" s="6" t="s">
        <v>407</v>
      </c>
      <c r="J77" s="6" t="s">
        <v>408</v>
      </c>
      <c r="K77" s="6" t="n">
        <v>6</v>
      </c>
      <c r="L77" s="6"/>
      <c r="M77" s="6" t="s">
        <v>97</v>
      </c>
      <c r="N77" s="6" t="s">
        <v>65</v>
      </c>
      <c r="O77" s="6" t="s">
        <v>97</v>
      </c>
      <c r="P77" s="6" t="s">
        <v>409</v>
      </c>
      <c r="Q77" s="6"/>
      <c r="R77" s="6"/>
      <c r="S77" s="6"/>
      <c r="T77" s="6"/>
    </row>
    <row r="78" customFormat="false" ht="35.05" hidden="false" customHeight="false" outlineLevel="0" collapsed="false">
      <c r="A78" s="6" t="n">
        <v>77</v>
      </c>
      <c r="B78" s="6" t="s">
        <v>9</v>
      </c>
      <c r="C78" s="7" t="n">
        <v>0.576388888888889</v>
      </c>
      <c r="D78" s="7"/>
      <c r="E78" s="6" t="s">
        <v>34</v>
      </c>
      <c r="F78" s="6" t="s">
        <v>81</v>
      </c>
      <c r="G78" s="6" t="s">
        <v>410</v>
      </c>
      <c r="H78" s="6" t="s">
        <v>411</v>
      </c>
      <c r="I78" s="6" t="s">
        <v>412</v>
      </c>
      <c r="J78" s="6" t="s">
        <v>413</v>
      </c>
      <c r="K78" s="6" t="n">
        <v>1</v>
      </c>
      <c r="L78" s="6"/>
      <c r="M78" s="6" t="s">
        <v>103</v>
      </c>
      <c r="N78" s="6" t="s">
        <v>87</v>
      </c>
      <c r="O78" s="6" t="s">
        <v>414</v>
      </c>
      <c r="P78" s="6"/>
      <c r="Q78" s="6"/>
      <c r="R78" s="6"/>
      <c r="S78" s="6"/>
      <c r="T78" s="6"/>
    </row>
    <row r="79" customFormat="false" ht="23.85" hidden="false" customHeight="false" outlineLevel="0" collapsed="false">
      <c r="A79" s="6" t="n">
        <v>78</v>
      </c>
      <c r="B79" s="6" t="s">
        <v>9</v>
      </c>
      <c r="C79" s="7" t="n">
        <v>0.576388888888889</v>
      </c>
      <c r="D79" s="7"/>
      <c r="E79" s="6" t="s">
        <v>27</v>
      </c>
      <c r="F79" s="6" t="s">
        <v>81</v>
      </c>
      <c r="G79" s="6" t="s">
        <v>415</v>
      </c>
      <c r="H79" s="6" t="s">
        <v>416</v>
      </c>
      <c r="I79" s="6" t="s">
        <v>417</v>
      </c>
      <c r="J79" s="6" t="s">
        <v>418</v>
      </c>
      <c r="K79" s="6" t="n">
        <v>1</v>
      </c>
      <c r="L79" s="6"/>
      <c r="M79" s="6" t="s">
        <v>86</v>
      </c>
      <c r="N79" s="6" t="s">
        <v>87</v>
      </c>
      <c r="O79" s="6" t="s">
        <v>419</v>
      </c>
      <c r="P79" s="6"/>
      <c r="Q79" s="6"/>
      <c r="R79" s="6"/>
      <c r="S79" s="6"/>
      <c r="T79" s="6"/>
    </row>
    <row r="80" customFormat="false" ht="23.85" hidden="false" customHeight="false" outlineLevel="0" collapsed="false">
      <c r="A80" s="6" t="n">
        <v>79</v>
      </c>
      <c r="B80" s="6" t="s">
        <v>9</v>
      </c>
      <c r="C80" s="7" t="n">
        <v>0.576388888888889</v>
      </c>
      <c r="D80" s="7"/>
      <c r="E80" s="6" t="s">
        <v>21</v>
      </c>
      <c r="F80" s="6" t="s">
        <v>81</v>
      </c>
      <c r="G80" s="6" t="s">
        <v>420</v>
      </c>
      <c r="H80" s="6" t="s">
        <v>421</v>
      </c>
      <c r="I80" s="6" t="s">
        <v>422</v>
      </c>
      <c r="J80" s="6" t="s">
        <v>423</v>
      </c>
      <c r="K80" s="6" t="n">
        <v>1</v>
      </c>
      <c r="L80" s="6"/>
      <c r="M80" s="6" t="s">
        <v>64</v>
      </c>
      <c r="N80" s="6" t="s">
        <v>65</v>
      </c>
      <c r="O80" s="6" t="s">
        <v>424</v>
      </c>
      <c r="P80" s="6"/>
      <c r="Q80" s="6"/>
      <c r="R80" s="6"/>
      <c r="S80" s="6"/>
      <c r="T80" s="6"/>
    </row>
    <row r="81" customFormat="false" ht="68.65" hidden="false" customHeight="false" outlineLevel="0" collapsed="false">
      <c r="A81" s="6" t="n">
        <v>80</v>
      </c>
      <c r="B81" s="6" t="s">
        <v>9</v>
      </c>
      <c r="C81" s="7" t="n">
        <v>0.576388888888889</v>
      </c>
      <c r="D81" s="7"/>
      <c r="E81" s="6" t="s">
        <v>26</v>
      </c>
      <c r="F81" s="6" t="s">
        <v>134</v>
      </c>
      <c r="G81" s="6" t="s">
        <v>425</v>
      </c>
      <c r="H81" s="6" t="s">
        <v>426</v>
      </c>
      <c r="I81" s="6" t="s">
        <v>427</v>
      </c>
      <c r="J81" s="6" t="s">
        <v>428</v>
      </c>
      <c r="K81" s="6" t="n">
        <v>5</v>
      </c>
      <c r="L81" s="6"/>
      <c r="M81" s="6" t="s">
        <v>255</v>
      </c>
      <c r="N81" s="6" t="s">
        <v>87</v>
      </c>
      <c r="O81" s="6" t="s">
        <v>255</v>
      </c>
      <c r="P81" s="6" t="s">
        <v>429</v>
      </c>
      <c r="Q81" s="6"/>
      <c r="R81" s="6"/>
      <c r="S81" s="6"/>
      <c r="T81" s="6"/>
    </row>
    <row r="82" customFormat="false" ht="23.85" hidden="false" customHeight="false" outlineLevel="0" collapsed="false">
      <c r="A82" s="6" t="n">
        <v>81</v>
      </c>
      <c r="B82" s="6" t="s">
        <v>9</v>
      </c>
      <c r="C82" s="7" t="n">
        <v>0.576388888888889</v>
      </c>
      <c r="D82" s="7"/>
      <c r="E82" s="6" t="s">
        <v>28</v>
      </c>
      <c r="F82" s="6" t="s">
        <v>81</v>
      </c>
      <c r="G82" s="6" t="s">
        <v>430</v>
      </c>
      <c r="H82" s="6" t="s">
        <v>431</v>
      </c>
      <c r="I82" s="6" t="s">
        <v>432</v>
      </c>
      <c r="J82" s="6" t="s">
        <v>433</v>
      </c>
      <c r="K82" s="6" t="n">
        <v>1</v>
      </c>
      <c r="L82" s="6"/>
      <c r="M82" s="6" t="s">
        <v>114</v>
      </c>
      <c r="N82" s="6" t="s">
        <v>65</v>
      </c>
      <c r="O82" s="6" t="s">
        <v>115</v>
      </c>
      <c r="P82" s="6"/>
      <c r="Q82" s="6"/>
      <c r="R82" s="6"/>
      <c r="S82" s="6"/>
      <c r="T82" s="6"/>
    </row>
    <row r="83" customFormat="false" ht="124.6" hidden="false" customHeight="false" outlineLevel="0" collapsed="false">
      <c r="A83" s="6" t="n">
        <v>82</v>
      </c>
      <c r="B83" s="6" t="s">
        <v>9</v>
      </c>
      <c r="C83" s="7" t="n">
        <v>0.576388888888889</v>
      </c>
      <c r="D83" s="7"/>
      <c r="E83" s="6" t="s">
        <v>32</v>
      </c>
      <c r="F83" s="6" t="s">
        <v>134</v>
      </c>
      <c r="G83" s="6" t="s">
        <v>434</v>
      </c>
      <c r="H83" s="6" t="s">
        <v>435</v>
      </c>
      <c r="I83" s="6" t="s">
        <v>436</v>
      </c>
      <c r="J83" s="6" t="s">
        <v>437</v>
      </c>
      <c r="K83" s="6" t="n">
        <v>7</v>
      </c>
      <c r="L83" s="6"/>
      <c r="M83" s="6" t="s">
        <v>108</v>
      </c>
      <c r="N83" s="6" t="s">
        <v>87</v>
      </c>
      <c r="O83" s="6" t="s">
        <v>109</v>
      </c>
      <c r="P83" s="6" t="s">
        <v>438</v>
      </c>
      <c r="Q83" s="6"/>
      <c r="R83" s="6"/>
      <c r="S83" s="6"/>
      <c r="T83" s="6"/>
    </row>
    <row r="84" customFormat="false" ht="23.85" hidden="false" customHeight="false" outlineLevel="0" collapsed="false">
      <c r="A84" s="6" t="n">
        <v>83</v>
      </c>
      <c r="B84" s="6" t="s">
        <v>9</v>
      </c>
      <c r="C84" s="7" t="n">
        <v>0.576388888888889</v>
      </c>
      <c r="D84" s="7"/>
      <c r="E84" s="6" t="s">
        <v>25</v>
      </c>
      <c r="F84" s="6" t="s">
        <v>81</v>
      </c>
      <c r="G84" s="6" t="s">
        <v>439</v>
      </c>
      <c r="H84" s="6" t="s">
        <v>440</v>
      </c>
      <c r="I84" s="6" t="s">
        <v>441</v>
      </c>
      <c r="J84" s="6" t="s">
        <v>388</v>
      </c>
      <c r="K84" s="6" t="n">
        <v>1</v>
      </c>
      <c r="L84" s="6"/>
      <c r="M84" s="6" t="s">
        <v>92</v>
      </c>
      <c r="N84" s="6" t="s">
        <v>65</v>
      </c>
      <c r="O84" s="6" t="s">
        <v>92</v>
      </c>
      <c r="P84" s="6"/>
      <c r="Q84" s="6"/>
      <c r="R84" s="6"/>
      <c r="S84" s="6"/>
      <c r="T84" s="6"/>
    </row>
    <row r="85" customFormat="false" ht="124.6" hidden="false" customHeight="false" outlineLevel="0" collapsed="false">
      <c r="A85" s="6" t="n">
        <v>84</v>
      </c>
      <c r="B85" s="6" t="s">
        <v>9</v>
      </c>
      <c r="C85" s="7" t="n">
        <v>0.586805555555556</v>
      </c>
      <c r="D85" s="7"/>
      <c r="E85" s="6" t="s">
        <v>28</v>
      </c>
      <c r="F85" s="6" t="s">
        <v>134</v>
      </c>
      <c r="G85" s="6" t="s">
        <v>442</v>
      </c>
      <c r="H85" s="6" t="s">
        <v>443</v>
      </c>
      <c r="I85" s="6" t="s">
        <v>444</v>
      </c>
      <c r="J85" s="6" t="s">
        <v>445</v>
      </c>
      <c r="K85" s="6" t="n">
        <v>7</v>
      </c>
      <c r="L85" s="6"/>
      <c r="M85" s="6" t="s">
        <v>114</v>
      </c>
      <c r="N85" s="6" t="s">
        <v>65</v>
      </c>
      <c r="O85" s="6" t="s">
        <v>114</v>
      </c>
      <c r="P85" s="6" t="s">
        <v>446</v>
      </c>
      <c r="Q85" s="6"/>
      <c r="R85" s="6"/>
      <c r="S85" s="6"/>
      <c r="T85" s="6"/>
    </row>
    <row r="86" customFormat="false" ht="79.85" hidden="false" customHeight="false" outlineLevel="0" collapsed="false">
      <c r="A86" s="6" t="n">
        <v>85</v>
      </c>
      <c r="B86" s="6" t="s">
        <v>9</v>
      </c>
      <c r="C86" s="7" t="n">
        <v>0.586805555555556</v>
      </c>
      <c r="D86" s="7"/>
      <c r="E86" s="6" t="s">
        <v>34</v>
      </c>
      <c r="F86" s="6" t="s">
        <v>215</v>
      </c>
      <c r="G86" s="6" t="s">
        <v>447</v>
      </c>
      <c r="H86" s="6" t="s">
        <v>448</v>
      </c>
      <c r="I86" s="6" t="s">
        <v>449</v>
      </c>
      <c r="J86" s="6" t="s">
        <v>450</v>
      </c>
      <c r="K86" s="6" t="n">
        <v>5</v>
      </c>
      <c r="L86" s="6"/>
      <c r="M86" s="6" t="s">
        <v>103</v>
      </c>
      <c r="N86" s="6" t="s">
        <v>87</v>
      </c>
      <c r="O86" s="6" t="s">
        <v>103</v>
      </c>
      <c r="P86" s="6" t="s">
        <v>451</v>
      </c>
      <c r="Q86" s="6"/>
      <c r="R86" s="6"/>
      <c r="S86" s="6"/>
      <c r="T86" s="6"/>
    </row>
    <row r="87" customFormat="false" ht="124.6" hidden="false" customHeight="false" outlineLevel="0" collapsed="false">
      <c r="A87" s="6" t="n">
        <v>86</v>
      </c>
      <c r="B87" s="6" t="s">
        <v>9</v>
      </c>
      <c r="C87" s="7" t="n">
        <v>0.586805555555556</v>
      </c>
      <c r="D87" s="7"/>
      <c r="E87" s="6" t="s">
        <v>25</v>
      </c>
      <c r="F87" s="6" t="s">
        <v>134</v>
      </c>
      <c r="G87" s="6" t="s">
        <v>452</v>
      </c>
      <c r="H87" s="6" t="s">
        <v>453</v>
      </c>
      <c r="I87" s="6" t="s">
        <v>454</v>
      </c>
      <c r="J87" s="6" t="s">
        <v>455</v>
      </c>
      <c r="K87" s="6" t="n">
        <v>4</v>
      </c>
      <c r="L87" s="6"/>
      <c r="M87" s="6" t="s">
        <v>92</v>
      </c>
      <c r="N87" s="6" t="s">
        <v>65</v>
      </c>
      <c r="O87" s="6" t="s">
        <v>92</v>
      </c>
      <c r="P87" s="6" t="s">
        <v>456</v>
      </c>
      <c r="Q87" s="6"/>
      <c r="R87" s="6"/>
      <c r="S87" s="6"/>
      <c r="T87" s="6"/>
    </row>
    <row r="88" customFormat="false" ht="91" hidden="false" customHeight="false" outlineLevel="0" collapsed="false">
      <c r="A88" s="6" t="n">
        <v>87</v>
      </c>
      <c r="B88" s="6" t="s">
        <v>9</v>
      </c>
      <c r="C88" s="7" t="n">
        <v>0.586805555555556</v>
      </c>
      <c r="D88" s="7"/>
      <c r="E88" s="6" t="s">
        <v>24</v>
      </c>
      <c r="F88" s="6" t="s">
        <v>134</v>
      </c>
      <c r="G88" s="6" t="s">
        <v>457</v>
      </c>
      <c r="H88" s="6" t="s">
        <v>458</v>
      </c>
      <c r="I88" s="6" t="s">
        <v>459</v>
      </c>
      <c r="J88" s="6" t="s">
        <v>460</v>
      </c>
      <c r="K88" s="6" t="n">
        <v>7</v>
      </c>
      <c r="L88" s="6"/>
      <c r="M88" s="6" t="s">
        <v>80</v>
      </c>
      <c r="N88" s="6" t="s">
        <v>65</v>
      </c>
      <c r="O88" s="6" t="s">
        <v>80</v>
      </c>
      <c r="P88" s="6" t="s">
        <v>461</v>
      </c>
      <c r="Q88" s="6"/>
      <c r="R88" s="6"/>
      <c r="S88" s="6"/>
      <c r="T88" s="6"/>
    </row>
    <row r="89" customFormat="false" ht="91" hidden="false" customHeight="false" outlineLevel="0" collapsed="false">
      <c r="A89" s="6" t="n">
        <v>88</v>
      </c>
      <c r="B89" s="6" t="s">
        <v>9</v>
      </c>
      <c r="C89" s="7" t="n">
        <v>0.586805555555556</v>
      </c>
      <c r="D89" s="7"/>
      <c r="E89" s="6" t="s">
        <v>27</v>
      </c>
      <c r="F89" s="6" t="s">
        <v>215</v>
      </c>
      <c r="G89" s="6" t="s">
        <v>462</v>
      </c>
      <c r="H89" s="6" t="s">
        <v>463</v>
      </c>
      <c r="I89" s="6" t="s">
        <v>464</v>
      </c>
      <c r="J89" s="6" t="s">
        <v>465</v>
      </c>
      <c r="K89" s="6" t="n">
        <v>6</v>
      </c>
      <c r="L89" s="6"/>
      <c r="M89" s="6" t="s">
        <v>86</v>
      </c>
      <c r="N89" s="6" t="s">
        <v>87</v>
      </c>
      <c r="O89" s="6" t="s">
        <v>86</v>
      </c>
      <c r="P89" s="6" t="s">
        <v>466</v>
      </c>
      <c r="Q89" s="6"/>
      <c r="R89" s="6"/>
      <c r="S89" s="6"/>
      <c r="T89" s="6"/>
    </row>
    <row r="90" customFormat="false" ht="79.85" hidden="false" customHeight="false" outlineLevel="0" collapsed="false">
      <c r="A90" s="6" t="n">
        <v>89</v>
      </c>
      <c r="B90" s="6" t="s">
        <v>9</v>
      </c>
      <c r="C90" s="7" t="n">
        <v>0.586805555555556</v>
      </c>
      <c r="D90" s="7"/>
      <c r="E90" s="6" t="s">
        <v>21</v>
      </c>
      <c r="F90" s="6" t="s">
        <v>134</v>
      </c>
      <c r="G90" s="6" t="s">
        <v>467</v>
      </c>
      <c r="H90" s="6" t="s">
        <v>468</v>
      </c>
      <c r="I90" s="6" t="s">
        <v>469</v>
      </c>
      <c r="J90" s="6" t="s">
        <v>470</v>
      </c>
      <c r="K90" s="6" t="n">
        <v>5</v>
      </c>
      <c r="L90" s="6"/>
      <c r="M90" s="6" t="s">
        <v>64</v>
      </c>
      <c r="N90" s="6" t="s">
        <v>65</v>
      </c>
      <c r="O90" s="6" t="s">
        <v>64</v>
      </c>
      <c r="P90" s="6" t="s">
        <v>471</v>
      </c>
      <c r="Q90" s="6"/>
      <c r="R90" s="6"/>
      <c r="S90" s="6"/>
      <c r="T90" s="6"/>
    </row>
    <row r="91" customFormat="false" ht="35.05" hidden="false" customHeight="false" outlineLevel="0" collapsed="false">
      <c r="A91" s="6" t="n">
        <v>90</v>
      </c>
      <c r="B91" s="6" t="s">
        <v>9</v>
      </c>
      <c r="C91" s="7" t="n">
        <v>0.618055555555556</v>
      </c>
      <c r="D91" s="7"/>
      <c r="E91" s="6" t="s">
        <v>31</v>
      </c>
      <c r="F91" s="6" t="s">
        <v>31</v>
      </c>
      <c r="G91" s="6" t="s">
        <v>472</v>
      </c>
      <c r="H91" s="6" t="s">
        <v>209</v>
      </c>
      <c r="I91" s="6" t="s">
        <v>210</v>
      </c>
      <c r="J91" s="6" t="s">
        <v>211</v>
      </c>
      <c r="K91" s="6" t="n">
        <v>1</v>
      </c>
      <c r="L91" s="6"/>
      <c r="M91" s="6" t="s">
        <v>212</v>
      </c>
      <c r="N91" s="6" t="s">
        <v>65</v>
      </c>
      <c r="O91" s="6" t="s">
        <v>213</v>
      </c>
      <c r="P91" s="6" t="s">
        <v>214</v>
      </c>
      <c r="Q91" s="6"/>
      <c r="R91" s="6"/>
      <c r="S91" s="6"/>
      <c r="T91" s="6"/>
    </row>
    <row r="92" customFormat="false" ht="23.85" hidden="false" customHeight="false" outlineLevel="0" collapsed="false">
      <c r="A92" s="6" t="n">
        <v>91</v>
      </c>
      <c r="B92" s="6" t="s">
        <v>9</v>
      </c>
      <c r="C92" s="7" t="n">
        <v>0.659722222222222</v>
      </c>
      <c r="D92" s="7"/>
      <c r="E92" s="6" t="s">
        <v>24</v>
      </c>
      <c r="F92" s="6" t="s">
        <v>81</v>
      </c>
      <c r="G92" s="6" t="s">
        <v>473</v>
      </c>
      <c r="H92" s="6" t="s">
        <v>474</v>
      </c>
      <c r="I92" s="6" t="s">
        <v>475</v>
      </c>
      <c r="J92" s="6" t="s">
        <v>476</v>
      </c>
      <c r="K92" s="6" t="n">
        <v>1</v>
      </c>
      <c r="L92" s="6"/>
      <c r="M92" s="6" t="s">
        <v>80</v>
      </c>
      <c r="N92" s="6" t="s">
        <v>65</v>
      </c>
      <c r="O92" s="6" t="s">
        <v>80</v>
      </c>
      <c r="P92" s="6"/>
      <c r="Q92" s="6"/>
      <c r="R92" s="6"/>
      <c r="S92" s="6"/>
      <c r="T92" s="6"/>
    </row>
    <row r="93" customFormat="false" ht="46.25" hidden="false" customHeight="false" outlineLevel="0" collapsed="false">
      <c r="A93" s="6" t="n">
        <v>92</v>
      </c>
      <c r="B93" s="6" t="s">
        <v>9</v>
      </c>
      <c r="C93" s="7" t="n">
        <v>0.659722222222222</v>
      </c>
      <c r="D93" s="7"/>
      <c r="E93" s="6" t="s">
        <v>38</v>
      </c>
      <c r="F93" s="6" t="s">
        <v>67</v>
      </c>
      <c r="G93" s="6" t="s">
        <v>477</v>
      </c>
      <c r="H93" s="6" t="s">
        <v>478</v>
      </c>
      <c r="I93" s="6" t="s">
        <v>479</v>
      </c>
      <c r="J93" s="6" t="s">
        <v>480</v>
      </c>
      <c r="K93" s="6" t="n">
        <v>3</v>
      </c>
      <c r="L93" s="6"/>
      <c r="M93" s="6" t="s">
        <v>97</v>
      </c>
      <c r="N93" s="6" t="s">
        <v>65</v>
      </c>
      <c r="O93" s="6" t="s">
        <v>97</v>
      </c>
      <c r="P93" s="6"/>
      <c r="Q93" s="6"/>
      <c r="R93" s="6"/>
      <c r="S93" s="6"/>
      <c r="T93" s="6"/>
    </row>
    <row r="94" customFormat="false" ht="23.85" hidden="false" customHeight="false" outlineLevel="0" collapsed="false">
      <c r="A94" s="6" t="n">
        <v>93</v>
      </c>
      <c r="B94" s="6" t="s">
        <v>9</v>
      </c>
      <c r="C94" s="7" t="n">
        <v>0.659722222222222</v>
      </c>
      <c r="D94" s="7"/>
      <c r="E94" s="6" t="s">
        <v>21</v>
      </c>
      <c r="F94" s="6" t="s">
        <v>67</v>
      </c>
      <c r="G94" s="6" t="s">
        <v>481</v>
      </c>
      <c r="H94" s="6" t="s">
        <v>482</v>
      </c>
      <c r="I94" s="6" t="s">
        <v>483</v>
      </c>
      <c r="J94" s="6" t="s">
        <v>484</v>
      </c>
      <c r="K94" s="6" t="n">
        <v>2</v>
      </c>
      <c r="L94" s="6"/>
      <c r="M94" s="6" t="s">
        <v>64</v>
      </c>
      <c r="N94" s="6" t="s">
        <v>65</v>
      </c>
      <c r="O94" s="6" t="s">
        <v>64</v>
      </c>
      <c r="P94" s="6"/>
      <c r="Q94" s="6"/>
      <c r="R94" s="6"/>
      <c r="S94" s="6"/>
      <c r="T94" s="6"/>
    </row>
    <row r="95" customFormat="false" ht="23.85" hidden="false" customHeight="false" outlineLevel="0" collapsed="false">
      <c r="A95" s="6" t="n">
        <v>94</v>
      </c>
      <c r="B95" s="6" t="s">
        <v>9</v>
      </c>
      <c r="C95" s="7" t="n">
        <v>0.659722222222222</v>
      </c>
      <c r="D95" s="7"/>
      <c r="E95" s="6" t="s">
        <v>32</v>
      </c>
      <c r="F95" s="6" t="s">
        <v>81</v>
      </c>
      <c r="G95" s="6" t="s">
        <v>485</v>
      </c>
      <c r="H95" s="6" t="s">
        <v>486</v>
      </c>
      <c r="I95" s="6" t="s">
        <v>487</v>
      </c>
      <c r="J95" s="6" t="s">
        <v>488</v>
      </c>
      <c r="K95" s="6" t="n">
        <v>1</v>
      </c>
      <c r="L95" s="6"/>
      <c r="M95" s="6" t="s">
        <v>108</v>
      </c>
      <c r="N95" s="6" t="s">
        <v>87</v>
      </c>
      <c r="O95" s="6" t="s">
        <v>109</v>
      </c>
      <c r="P95" s="6"/>
      <c r="Q95" s="6"/>
      <c r="R95" s="6"/>
      <c r="S95" s="6"/>
      <c r="T95" s="6"/>
    </row>
    <row r="96" customFormat="false" ht="23.85" hidden="false" customHeight="false" outlineLevel="0" collapsed="false">
      <c r="A96" s="6" t="n">
        <v>95</v>
      </c>
      <c r="B96" s="6" t="s">
        <v>9</v>
      </c>
      <c r="C96" s="7" t="n">
        <v>0.659722222222222</v>
      </c>
      <c r="D96" s="7"/>
      <c r="E96" s="6" t="s">
        <v>26</v>
      </c>
      <c r="F96" s="6" t="s">
        <v>81</v>
      </c>
      <c r="G96" s="6" t="s">
        <v>489</v>
      </c>
      <c r="H96" s="6" t="s">
        <v>490</v>
      </c>
      <c r="I96" s="6" t="s">
        <v>491</v>
      </c>
      <c r="J96" s="6" t="s">
        <v>492</v>
      </c>
      <c r="K96" s="6" t="n">
        <v>1</v>
      </c>
      <c r="L96" s="6"/>
      <c r="M96" s="6" t="s">
        <v>255</v>
      </c>
      <c r="N96" s="6" t="s">
        <v>87</v>
      </c>
      <c r="O96" s="6" t="s">
        <v>255</v>
      </c>
      <c r="P96" s="6"/>
      <c r="Q96" s="6"/>
      <c r="R96" s="6"/>
      <c r="S96" s="6"/>
      <c r="T96" s="6"/>
    </row>
    <row r="97" customFormat="false" ht="35.05" hidden="false" customHeight="false" outlineLevel="0" collapsed="false">
      <c r="A97" s="6" t="n">
        <v>96</v>
      </c>
      <c r="B97" s="6" t="s">
        <v>9</v>
      </c>
      <c r="C97" s="7" t="n">
        <v>0.659722222222222</v>
      </c>
      <c r="D97" s="7"/>
      <c r="E97" s="6" t="s">
        <v>34</v>
      </c>
      <c r="F97" s="6" t="s">
        <v>81</v>
      </c>
      <c r="G97" s="6" t="s">
        <v>493</v>
      </c>
      <c r="H97" s="6" t="s">
        <v>494</v>
      </c>
      <c r="I97" s="6" t="s">
        <v>495</v>
      </c>
      <c r="J97" s="6" t="s">
        <v>496</v>
      </c>
      <c r="K97" s="6" t="n">
        <v>2</v>
      </c>
      <c r="L97" s="6"/>
      <c r="M97" s="6" t="s">
        <v>103</v>
      </c>
      <c r="N97" s="6" t="s">
        <v>87</v>
      </c>
      <c r="O97" s="6" t="s">
        <v>103</v>
      </c>
      <c r="P97" s="6"/>
      <c r="Q97" s="6"/>
      <c r="R97" s="6"/>
      <c r="S97" s="6"/>
      <c r="T97" s="6"/>
    </row>
    <row r="98" customFormat="false" ht="23.85" hidden="false" customHeight="false" outlineLevel="0" collapsed="false">
      <c r="A98" s="6" t="n">
        <v>97</v>
      </c>
      <c r="B98" s="6" t="s">
        <v>9</v>
      </c>
      <c r="C98" s="7" t="n">
        <v>0.659722222222222</v>
      </c>
      <c r="D98" s="7"/>
      <c r="E98" s="6" t="s">
        <v>27</v>
      </c>
      <c r="F98" s="6" t="s">
        <v>81</v>
      </c>
      <c r="G98" s="6" t="s">
        <v>497</v>
      </c>
      <c r="H98" s="6" t="s">
        <v>498</v>
      </c>
      <c r="I98" s="6" t="s">
        <v>499</v>
      </c>
      <c r="J98" s="6" t="s">
        <v>500</v>
      </c>
      <c r="K98" s="6" t="n">
        <v>1</v>
      </c>
      <c r="L98" s="6"/>
      <c r="M98" s="6" t="s">
        <v>86</v>
      </c>
      <c r="N98" s="6" t="s">
        <v>87</v>
      </c>
      <c r="O98" s="6" t="s">
        <v>501</v>
      </c>
      <c r="P98" s="6"/>
      <c r="Q98" s="6"/>
      <c r="R98" s="6"/>
      <c r="S98" s="6"/>
      <c r="T98" s="6"/>
    </row>
    <row r="99" customFormat="false" ht="46.25" hidden="false" customHeight="false" outlineLevel="0" collapsed="false">
      <c r="A99" s="6" t="n">
        <v>98</v>
      </c>
      <c r="B99" s="6" t="s">
        <v>9</v>
      </c>
      <c r="C99" s="7" t="n">
        <v>0.659722222222222</v>
      </c>
      <c r="D99" s="7" t="n">
        <v>0.711805555555556</v>
      </c>
      <c r="E99" s="6" t="s">
        <v>39</v>
      </c>
      <c r="F99" s="6" t="s">
        <v>39</v>
      </c>
      <c r="G99" s="6" t="s">
        <v>502</v>
      </c>
      <c r="H99" s="6" t="s">
        <v>503</v>
      </c>
      <c r="I99" s="6" t="s">
        <v>504</v>
      </c>
      <c r="J99" s="6"/>
      <c r="K99" s="6" t="n">
        <v>4</v>
      </c>
      <c r="L99" s="6"/>
      <c r="M99" s="6" t="s">
        <v>119</v>
      </c>
      <c r="N99" s="6" t="s">
        <v>87</v>
      </c>
      <c r="O99" s="6" t="s">
        <v>119</v>
      </c>
      <c r="P99" s="6"/>
      <c r="Q99" s="6" t="n">
        <v>102</v>
      </c>
      <c r="R99" s="6" t="n">
        <v>120</v>
      </c>
      <c r="S99" s="6" t="n">
        <f aca="false">R99-Q99</f>
        <v>18</v>
      </c>
      <c r="T99" s="6" t="s">
        <v>120</v>
      </c>
    </row>
    <row r="100" customFormat="false" ht="46.25" hidden="false" customHeight="false" outlineLevel="0" collapsed="false">
      <c r="A100" s="6" t="n">
        <v>99</v>
      </c>
      <c r="B100" s="6" t="s">
        <v>9</v>
      </c>
      <c r="C100" s="7" t="n">
        <v>0.666666666666667</v>
      </c>
      <c r="D100" s="7"/>
      <c r="E100" s="6" t="s">
        <v>36</v>
      </c>
      <c r="F100" s="6" t="s">
        <v>39</v>
      </c>
      <c r="G100" s="6" t="s">
        <v>505</v>
      </c>
      <c r="H100" s="6" t="s">
        <v>506</v>
      </c>
      <c r="I100" s="6" t="s">
        <v>507</v>
      </c>
      <c r="J100" s="6" t="s">
        <v>508</v>
      </c>
      <c r="K100" s="6" t="n">
        <v>2</v>
      </c>
      <c r="L100" s="6"/>
      <c r="M100" s="6"/>
      <c r="N100" s="6"/>
      <c r="O100" s="6"/>
      <c r="P100" s="6" t="s">
        <v>509</v>
      </c>
      <c r="Q100" s="6"/>
      <c r="R100" s="6"/>
      <c r="S100" s="6"/>
      <c r="T100" s="6"/>
    </row>
    <row r="101" customFormat="false" ht="46.25" hidden="false" customHeight="false" outlineLevel="0" collapsed="false">
      <c r="A101" s="6" t="n">
        <v>100</v>
      </c>
      <c r="B101" s="6" t="s">
        <v>9</v>
      </c>
      <c r="C101" s="7" t="n">
        <v>0.670138888888889</v>
      </c>
      <c r="D101" s="7"/>
      <c r="E101" s="6" t="s">
        <v>28</v>
      </c>
      <c r="F101" s="6" t="s">
        <v>67</v>
      </c>
      <c r="G101" s="6" t="s">
        <v>510</v>
      </c>
      <c r="H101" s="6" t="s">
        <v>511</v>
      </c>
      <c r="I101" s="6" t="s">
        <v>512</v>
      </c>
      <c r="J101" s="6" t="s">
        <v>513</v>
      </c>
      <c r="K101" s="6" t="n">
        <v>2</v>
      </c>
      <c r="L101" s="6"/>
      <c r="M101" s="6" t="s">
        <v>114</v>
      </c>
      <c r="N101" s="6" t="s">
        <v>65</v>
      </c>
      <c r="O101" s="6" t="s">
        <v>114</v>
      </c>
      <c r="P101" s="6" t="s">
        <v>514</v>
      </c>
      <c r="Q101" s="6"/>
      <c r="R101" s="6"/>
      <c r="S101" s="6"/>
      <c r="T101" s="6"/>
    </row>
    <row r="102" customFormat="false" ht="91" hidden="false" customHeight="false" outlineLevel="0" collapsed="false">
      <c r="A102" s="6" t="n">
        <v>101</v>
      </c>
      <c r="B102" s="6" t="s">
        <v>9</v>
      </c>
      <c r="C102" s="7" t="n">
        <v>0.670138888888889</v>
      </c>
      <c r="D102" s="7"/>
      <c r="E102" s="6" t="s">
        <v>38</v>
      </c>
      <c r="F102" s="6" t="s">
        <v>134</v>
      </c>
      <c r="G102" s="6" t="s">
        <v>515</v>
      </c>
      <c r="H102" s="6" t="s">
        <v>516</v>
      </c>
      <c r="I102" s="6" t="s">
        <v>517</v>
      </c>
      <c r="J102" s="6" t="s">
        <v>518</v>
      </c>
      <c r="K102" s="6" t="n">
        <v>5</v>
      </c>
      <c r="L102" s="6"/>
      <c r="M102" s="6" t="s">
        <v>97</v>
      </c>
      <c r="N102" s="6" t="s">
        <v>65</v>
      </c>
      <c r="O102" s="6" t="s">
        <v>97</v>
      </c>
      <c r="P102" s="6" t="s">
        <v>519</v>
      </c>
      <c r="Q102" s="6"/>
      <c r="R102" s="6"/>
      <c r="S102" s="6"/>
      <c r="T102" s="6"/>
    </row>
    <row r="103" customFormat="false" ht="57.45" hidden="false" customHeight="false" outlineLevel="0" collapsed="false">
      <c r="A103" s="6" t="n">
        <v>102</v>
      </c>
      <c r="B103" s="6" t="s">
        <v>9</v>
      </c>
      <c r="C103" s="7" t="n">
        <v>0.670138888888889</v>
      </c>
      <c r="D103" s="7"/>
      <c r="E103" s="6" t="s">
        <v>26</v>
      </c>
      <c r="F103" s="6" t="s">
        <v>215</v>
      </c>
      <c r="G103" s="6" t="s">
        <v>520</v>
      </c>
      <c r="H103" s="6" t="s">
        <v>521</v>
      </c>
      <c r="I103" s="6" t="s">
        <v>522</v>
      </c>
      <c r="J103" s="6" t="s">
        <v>523</v>
      </c>
      <c r="K103" s="6" t="n">
        <v>5</v>
      </c>
      <c r="L103" s="6"/>
      <c r="M103" s="6" t="s">
        <v>255</v>
      </c>
      <c r="N103" s="6" t="s">
        <v>87</v>
      </c>
      <c r="O103" s="6" t="s">
        <v>255</v>
      </c>
      <c r="P103" s="6"/>
      <c r="Q103" s="6"/>
      <c r="R103" s="6"/>
      <c r="S103" s="6"/>
      <c r="T103" s="6"/>
    </row>
    <row r="104" customFormat="false" ht="57.45" hidden="false" customHeight="false" outlineLevel="0" collapsed="false">
      <c r="A104" s="6" t="n">
        <v>103</v>
      </c>
      <c r="B104" s="6" t="s">
        <v>9</v>
      </c>
      <c r="C104" s="7" t="n">
        <v>0.670138888888889</v>
      </c>
      <c r="D104" s="7"/>
      <c r="E104" s="6" t="s">
        <v>32</v>
      </c>
      <c r="F104" s="6" t="s">
        <v>215</v>
      </c>
      <c r="G104" s="6" t="s">
        <v>524</v>
      </c>
      <c r="H104" s="6" t="s">
        <v>525</v>
      </c>
      <c r="I104" s="6" t="s">
        <v>526</v>
      </c>
      <c r="J104" s="6" t="s">
        <v>527</v>
      </c>
      <c r="K104" s="6" t="n">
        <v>3</v>
      </c>
      <c r="L104" s="6"/>
      <c r="M104" s="6" t="s">
        <v>108</v>
      </c>
      <c r="N104" s="6" t="s">
        <v>87</v>
      </c>
      <c r="O104" s="6" t="s">
        <v>109</v>
      </c>
      <c r="P104" s="6" t="s">
        <v>528</v>
      </c>
      <c r="Q104" s="6"/>
      <c r="R104" s="6"/>
      <c r="S104" s="6"/>
      <c r="T104" s="6"/>
    </row>
    <row r="105" customFormat="false" ht="23.85" hidden="false" customHeight="false" outlineLevel="0" collapsed="false">
      <c r="A105" s="6" t="n">
        <v>104</v>
      </c>
      <c r="B105" s="6" t="s">
        <v>9</v>
      </c>
      <c r="C105" s="7" t="n">
        <v>0.670138888888889</v>
      </c>
      <c r="D105" s="7"/>
      <c r="E105" s="6" t="s">
        <v>21</v>
      </c>
      <c r="F105" s="6" t="s">
        <v>81</v>
      </c>
      <c r="G105" s="6" t="s">
        <v>529</v>
      </c>
      <c r="H105" s="6" t="s">
        <v>530</v>
      </c>
      <c r="I105" s="6" t="s">
        <v>531</v>
      </c>
      <c r="J105" s="6" t="s">
        <v>532</v>
      </c>
      <c r="K105" s="6" t="n">
        <v>1</v>
      </c>
      <c r="L105" s="6"/>
      <c r="M105" s="6" t="s">
        <v>64</v>
      </c>
      <c r="N105" s="6" t="s">
        <v>65</v>
      </c>
      <c r="O105" s="6" t="s">
        <v>533</v>
      </c>
      <c r="P105" s="6"/>
      <c r="Q105" s="6"/>
      <c r="R105" s="6"/>
      <c r="S105" s="6"/>
      <c r="T105" s="6"/>
    </row>
    <row r="106" customFormat="false" ht="46.25" hidden="false" customHeight="false" outlineLevel="0" collapsed="false">
      <c r="A106" s="6" t="n">
        <v>105</v>
      </c>
      <c r="B106" s="6" t="s">
        <v>9</v>
      </c>
      <c r="C106" s="7" t="n">
        <v>0.670138888888889</v>
      </c>
      <c r="D106" s="7"/>
      <c r="E106" s="6" t="s">
        <v>34</v>
      </c>
      <c r="F106" s="6" t="s">
        <v>67</v>
      </c>
      <c r="G106" s="6" t="s">
        <v>534</v>
      </c>
      <c r="H106" s="6" t="s">
        <v>535</v>
      </c>
      <c r="I106" s="6" t="s">
        <v>536</v>
      </c>
      <c r="J106" s="6" t="s">
        <v>537</v>
      </c>
      <c r="K106" s="6" t="n">
        <v>3</v>
      </c>
      <c r="L106" s="6"/>
      <c r="M106" s="6" t="s">
        <v>103</v>
      </c>
      <c r="N106" s="6" t="s">
        <v>87</v>
      </c>
      <c r="O106" s="6" t="s">
        <v>151</v>
      </c>
      <c r="P106" s="6"/>
      <c r="Q106" s="6"/>
      <c r="R106" s="6"/>
      <c r="S106" s="6"/>
      <c r="T106" s="6"/>
    </row>
    <row r="107" customFormat="false" ht="23.85" hidden="false" customHeight="false" outlineLevel="0" collapsed="false">
      <c r="A107" s="6" t="n">
        <v>106</v>
      </c>
      <c r="B107" s="6" t="s">
        <v>9</v>
      </c>
      <c r="C107" s="7" t="n">
        <v>0.670138888888889</v>
      </c>
      <c r="D107" s="7"/>
      <c r="E107" s="6" t="s">
        <v>27</v>
      </c>
      <c r="F107" s="6" t="s">
        <v>81</v>
      </c>
      <c r="G107" s="6" t="s">
        <v>538</v>
      </c>
      <c r="H107" s="6" t="s">
        <v>539</v>
      </c>
      <c r="I107" s="6" t="s">
        <v>540</v>
      </c>
      <c r="J107" s="6" t="s">
        <v>541</v>
      </c>
      <c r="K107" s="6" t="n">
        <v>1</v>
      </c>
      <c r="L107" s="6"/>
      <c r="M107" s="6" t="s">
        <v>86</v>
      </c>
      <c r="N107" s="6" t="s">
        <v>87</v>
      </c>
      <c r="O107" s="6" t="s">
        <v>501</v>
      </c>
      <c r="P107" s="6"/>
      <c r="Q107" s="6"/>
      <c r="R107" s="6"/>
      <c r="S107" s="6"/>
      <c r="T107" s="6"/>
    </row>
    <row r="108" customFormat="false" ht="23.85" hidden="false" customHeight="false" outlineLevel="0" collapsed="false">
      <c r="A108" s="6" t="n">
        <v>107</v>
      </c>
      <c r="B108" s="6" t="s">
        <v>9</v>
      </c>
      <c r="C108" s="7" t="n">
        <v>0.670138888888889</v>
      </c>
      <c r="D108" s="7"/>
      <c r="E108" s="6" t="s">
        <v>24</v>
      </c>
      <c r="F108" s="6" t="s">
        <v>81</v>
      </c>
      <c r="G108" s="6" t="s">
        <v>542</v>
      </c>
      <c r="H108" s="6" t="s">
        <v>543</v>
      </c>
      <c r="I108" s="6" t="s">
        <v>544</v>
      </c>
      <c r="J108" s="6" t="s">
        <v>545</v>
      </c>
      <c r="K108" s="6" t="n">
        <v>1</v>
      </c>
      <c r="L108" s="6"/>
      <c r="M108" s="6" t="s">
        <v>80</v>
      </c>
      <c r="N108" s="6" t="s">
        <v>65</v>
      </c>
      <c r="O108" s="6" t="s">
        <v>80</v>
      </c>
      <c r="P108" s="6"/>
      <c r="Q108" s="6"/>
      <c r="R108" s="6"/>
      <c r="S108" s="6"/>
      <c r="T108" s="6"/>
    </row>
    <row r="109" customFormat="false" ht="102.2" hidden="false" customHeight="false" outlineLevel="0" collapsed="false">
      <c r="A109" s="6" t="n">
        <v>108</v>
      </c>
      <c r="B109" s="6" t="s">
        <v>9</v>
      </c>
      <c r="C109" s="7" t="n">
        <v>0.680555555555556</v>
      </c>
      <c r="D109" s="7"/>
      <c r="E109" s="6" t="s">
        <v>24</v>
      </c>
      <c r="F109" s="6" t="s">
        <v>134</v>
      </c>
      <c r="G109" s="6" t="s">
        <v>546</v>
      </c>
      <c r="H109" s="6" t="s">
        <v>547</v>
      </c>
      <c r="I109" s="6" t="s">
        <v>548</v>
      </c>
      <c r="J109" s="6" t="s">
        <v>549</v>
      </c>
      <c r="K109" s="6" t="n">
        <v>6</v>
      </c>
      <c r="L109" s="6"/>
      <c r="M109" s="6" t="s">
        <v>80</v>
      </c>
      <c r="N109" s="6" t="s">
        <v>65</v>
      </c>
      <c r="O109" s="6" t="s">
        <v>80</v>
      </c>
      <c r="P109" s="6"/>
      <c r="Q109" s="6"/>
      <c r="R109" s="6"/>
      <c r="S109" s="6"/>
      <c r="T109" s="6"/>
    </row>
    <row r="110" customFormat="false" ht="102.2" hidden="false" customHeight="false" outlineLevel="0" collapsed="false">
      <c r="A110" s="6" t="n">
        <v>109</v>
      </c>
      <c r="B110" s="6" t="s">
        <v>9</v>
      </c>
      <c r="C110" s="7" t="n">
        <v>0.680555555555556</v>
      </c>
      <c r="D110" s="7"/>
      <c r="E110" s="6" t="s">
        <v>27</v>
      </c>
      <c r="F110" s="6" t="s">
        <v>134</v>
      </c>
      <c r="G110" s="6" t="s">
        <v>550</v>
      </c>
      <c r="H110" s="6" t="s">
        <v>551</v>
      </c>
      <c r="I110" s="6" t="s">
        <v>552</v>
      </c>
      <c r="J110" s="6" t="s">
        <v>553</v>
      </c>
      <c r="K110" s="6" t="n">
        <v>7</v>
      </c>
      <c r="L110" s="6"/>
      <c r="M110" s="6" t="s">
        <v>86</v>
      </c>
      <c r="N110" s="6" t="s">
        <v>87</v>
      </c>
      <c r="O110" s="6" t="s">
        <v>86</v>
      </c>
      <c r="P110" s="6"/>
      <c r="Q110" s="6"/>
      <c r="R110" s="6"/>
      <c r="S110" s="6"/>
      <c r="T110" s="6"/>
    </row>
    <row r="111" customFormat="false" ht="91" hidden="false" customHeight="false" outlineLevel="0" collapsed="false">
      <c r="A111" s="6" t="n">
        <v>110</v>
      </c>
      <c r="B111" s="6" t="s">
        <v>9</v>
      </c>
      <c r="C111" s="7" t="n">
        <v>0.680555555555556</v>
      </c>
      <c r="D111" s="7"/>
      <c r="E111" s="6" t="s">
        <v>28</v>
      </c>
      <c r="F111" s="6" t="s">
        <v>554</v>
      </c>
      <c r="G111" s="6" t="s">
        <v>555</v>
      </c>
      <c r="H111" s="6" t="s">
        <v>556</v>
      </c>
      <c r="I111" s="6" t="s">
        <v>557</v>
      </c>
      <c r="J111" s="6" t="s">
        <v>558</v>
      </c>
      <c r="K111" s="6" t="n">
        <v>6</v>
      </c>
      <c r="L111" s="6"/>
      <c r="M111" s="6" t="s">
        <v>114</v>
      </c>
      <c r="N111" s="6" t="s">
        <v>65</v>
      </c>
      <c r="O111" s="6" t="s">
        <v>114</v>
      </c>
      <c r="P111" s="6" t="s">
        <v>559</v>
      </c>
      <c r="Q111" s="6"/>
      <c r="R111" s="6"/>
      <c r="S111" s="6"/>
      <c r="T111" s="6"/>
    </row>
    <row r="112" customFormat="false" ht="102.2" hidden="false" customHeight="false" outlineLevel="0" collapsed="false">
      <c r="A112" s="6" t="n">
        <v>111</v>
      </c>
      <c r="B112" s="6" t="s">
        <v>9</v>
      </c>
      <c r="C112" s="7" t="n">
        <v>0.680555555555556</v>
      </c>
      <c r="D112" s="7"/>
      <c r="E112" s="6" t="s">
        <v>34</v>
      </c>
      <c r="F112" s="6" t="s">
        <v>215</v>
      </c>
      <c r="G112" s="6" t="s">
        <v>560</v>
      </c>
      <c r="H112" s="6" t="s">
        <v>561</v>
      </c>
      <c r="I112" s="6" t="s">
        <v>562</v>
      </c>
      <c r="J112" s="6" t="s">
        <v>563</v>
      </c>
      <c r="K112" s="6" t="n">
        <v>6</v>
      </c>
      <c r="L112" s="6"/>
      <c r="M112" s="6" t="s">
        <v>103</v>
      </c>
      <c r="N112" s="6" t="s">
        <v>87</v>
      </c>
      <c r="O112" s="6" t="s">
        <v>103</v>
      </c>
      <c r="P112" s="6" t="s">
        <v>564</v>
      </c>
      <c r="Q112" s="6"/>
      <c r="R112" s="6"/>
      <c r="S112" s="6"/>
      <c r="T112" s="6"/>
    </row>
    <row r="113" customFormat="false" ht="23.85" hidden="false" customHeight="false" outlineLevel="0" collapsed="false">
      <c r="A113" s="6" t="n">
        <v>112</v>
      </c>
      <c r="B113" s="6" t="s">
        <v>9</v>
      </c>
      <c r="C113" s="7" t="n">
        <v>0.680555555555556</v>
      </c>
      <c r="D113" s="7"/>
      <c r="E113" s="6" t="s">
        <v>21</v>
      </c>
      <c r="F113" s="6" t="s">
        <v>81</v>
      </c>
      <c r="G113" s="6" t="s">
        <v>565</v>
      </c>
      <c r="H113" s="6" t="s">
        <v>566</v>
      </c>
      <c r="I113" s="6" t="s">
        <v>567</v>
      </c>
      <c r="J113" s="6" t="s">
        <v>568</v>
      </c>
      <c r="K113" s="6" t="n">
        <v>1</v>
      </c>
      <c r="L113" s="6"/>
      <c r="M113" s="6" t="s">
        <v>64</v>
      </c>
      <c r="N113" s="6" t="s">
        <v>65</v>
      </c>
      <c r="O113" s="6" t="s">
        <v>64</v>
      </c>
      <c r="P113" s="6"/>
      <c r="Q113" s="6"/>
      <c r="R113" s="6"/>
      <c r="S113" s="6"/>
      <c r="T113" s="6"/>
    </row>
    <row r="114" customFormat="false" ht="113.4" hidden="false" customHeight="false" outlineLevel="0" collapsed="false">
      <c r="A114" s="6" t="n">
        <v>113</v>
      </c>
      <c r="B114" s="6" t="s">
        <v>9</v>
      </c>
      <c r="C114" s="7" t="n">
        <v>0.680555555555556</v>
      </c>
      <c r="D114" s="7"/>
      <c r="E114" s="6" t="s">
        <v>32</v>
      </c>
      <c r="F114" s="6" t="s">
        <v>134</v>
      </c>
      <c r="G114" s="6" t="s">
        <v>569</v>
      </c>
      <c r="H114" s="6" t="s">
        <v>570</v>
      </c>
      <c r="I114" s="6" t="s">
        <v>571</v>
      </c>
      <c r="J114" s="6" t="s">
        <v>572</v>
      </c>
      <c r="K114" s="6" t="n">
        <v>4</v>
      </c>
      <c r="L114" s="6"/>
      <c r="M114" s="6" t="s">
        <v>108</v>
      </c>
      <c r="N114" s="6" t="s">
        <v>87</v>
      </c>
      <c r="O114" s="6" t="s">
        <v>109</v>
      </c>
      <c r="P114" s="6" t="s">
        <v>573</v>
      </c>
      <c r="Q114" s="6"/>
      <c r="R114" s="6"/>
      <c r="S114" s="6"/>
      <c r="T114" s="6"/>
    </row>
    <row r="115" customFormat="false" ht="68.65" hidden="false" customHeight="false" outlineLevel="0" collapsed="false">
      <c r="A115" s="6" t="n">
        <v>114</v>
      </c>
      <c r="B115" s="6" t="s">
        <v>9</v>
      </c>
      <c r="C115" s="7" t="n">
        <v>0.690972222222222</v>
      </c>
      <c r="D115" s="7"/>
      <c r="E115" s="6" t="s">
        <v>21</v>
      </c>
      <c r="F115" s="6" t="s">
        <v>134</v>
      </c>
      <c r="G115" s="6" t="s">
        <v>574</v>
      </c>
      <c r="H115" s="6" t="s">
        <v>575</v>
      </c>
      <c r="I115" s="6" t="s">
        <v>576</v>
      </c>
      <c r="J115" s="6" t="s">
        <v>577</v>
      </c>
      <c r="K115" s="6" t="n">
        <v>5</v>
      </c>
      <c r="L115" s="6"/>
      <c r="M115" s="6" t="s">
        <v>64</v>
      </c>
      <c r="N115" s="6" t="s">
        <v>65</v>
      </c>
      <c r="O115" s="6" t="s">
        <v>64</v>
      </c>
      <c r="P115" s="6" t="s">
        <v>578</v>
      </c>
      <c r="Q115" s="6"/>
      <c r="R115" s="6"/>
      <c r="S115" s="6"/>
      <c r="T115" s="6"/>
    </row>
    <row r="116" customFormat="false" ht="15" hidden="false" customHeight="false" outlineLevel="0" collapsed="false">
      <c r="A116" s="6" t="n">
        <v>115</v>
      </c>
      <c r="B116" s="6" t="s">
        <v>9</v>
      </c>
      <c r="C116" s="7" t="n">
        <v>0.71875</v>
      </c>
      <c r="D116" s="7"/>
      <c r="E116" s="6" t="s">
        <v>31</v>
      </c>
      <c r="F116" s="6" t="s">
        <v>59</v>
      </c>
      <c r="G116" s="6" t="s">
        <v>579</v>
      </c>
      <c r="H116" s="6" t="s">
        <v>209</v>
      </c>
      <c r="I116" s="6" t="s">
        <v>210</v>
      </c>
      <c r="J116" s="6" t="s">
        <v>211</v>
      </c>
      <c r="K116" s="6" t="n">
        <v>1</v>
      </c>
      <c r="L116" s="6"/>
      <c r="M116" s="6" t="s">
        <v>580</v>
      </c>
      <c r="N116" s="6" t="s">
        <v>65</v>
      </c>
      <c r="O116" s="6" t="s">
        <v>581</v>
      </c>
      <c r="P116" s="6"/>
      <c r="Q116" s="6"/>
      <c r="R116" s="6"/>
      <c r="S116" s="6"/>
      <c r="T116"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10</v>
      </c>
      <c r="C2" s="7" t="n">
        <v>0.34375</v>
      </c>
      <c r="D2" s="7"/>
      <c r="E2" s="6" t="s">
        <v>31</v>
      </c>
      <c r="F2" s="6" t="s">
        <v>31</v>
      </c>
      <c r="G2" s="6" t="s">
        <v>582</v>
      </c>
      <c r="H2" s="6" t="s">
        <v>209</v>
      </c>
      <c r="I2" s="6" t="s">
        <v>210</v>
      </c>
      <c r="J2" s="6" t="s">
        <v>211</v>
      </c>
      <c r="K2" s="6" t="n">
        <v>1</v>
      </c>
      <c r="L2" s="6"/>
      <c r="M2" s="6" t="s">
        <v>212</v>
      </c>
      <c r="N2" s="6" t="s">
        <v>65</v>
      </c>
      <c r="O2" s="6" t="s">
        <v>583</v>
      </c>
      <c r="P2" s="6"/>
      <c r="Q2" s="6"/>
      <c r="R2" s="6"/>
      <c r="S2" s="6"/>
      <c r="T2" s="6"/>
    </row>
    <row r="3" customFormat="false" ht="15" hidden="false" customHeight="false" outlineLevel="0" collapsed="false">
      <c r="A3" s="6" t="n">
        <v>2</v>
      </c>
      <c r="B3" s="6" t="s">
        <v>10</v>
      </c>
      <c r="C3" s="7" t="n">
        <v>0.381944444444444</v>
      </c>
      <c r="D3" s="7"/>
      <c r="E3" s="6" t="s">
        <v>14</v>
      </c>
      <c r="F3" s="6" t="s">
        <v>59</v>
      </c>
      <c r="G3" s="6" t="s">
        <v>584</v>
      </c>
      <c r="H3" s="6" t="s">
        <v>585</v>
      </c>
      <c r="I3" s="6" t="s">
        <v>586</v>
      </c>
      <c r="J3" s="6" t="s">
        <v>587</v>
      </c>
      <c r="K3" s="6" t="n">
        <v>1</v>
      </c>
      <c r="L3" s="6"/>
      <c r="M3" s="6" t="s">
        <v>588</v>
      </c>
      <c r="N3" s="6" t="s">
        <v>87</v>
      </c>
      <c r="O3" s="6" t="s">
        <v>589</v>
      </c>
      <c r="P3" s="6"/>
      <c r="Q3" s="6"/>
      <c r="R3" s="6"/>
      <c r="S3" s="6"/>
      <c r="T3" s="6"/>
    </row>
    <row r="4" customFormat="false" ht="23.85" hidden="false" customHeight="false" outlineLevel="0" collapsed="false">
      <c r="A4" s="6" t="n">
        <v>3</v>
      </c>
      <c r="B4" s="6" t="s">
        <v>10</v>
      </c>
      <c r="C4" s="7" t="n">
        <v>0.385416666666667</v>
      </c>
      <c r="D4" s="7"/>
      <c r="E4" s="6" t="s">
        <v>18</v>
      </c>
      <c r="F4" s="6" t="s">
        <v>59</v>
      </c>
      <c r="G4" s="6" t="s">
        <v>590</v>
      </c>
      <c r="H4" s="6" t="s">
        <v>591</v>
      </c>
      <c r="I4" s="6" t="s">
        <v>592</v>
      </c>
      <c r="J4" s="6" t="s">
        <v>593</v>
      </c>
      <c r="K4" s="6" t="n">
        <v>1</v>
      </c>
      <c r="L4" s="6"/>
      <c r="M4" s="6" t="s">
        <v>64</v>
      </c>
      <c r="N4" s="6" t="s">
        <v>65</v>
      </c>
      <c r="O4" s="6" t="s">
        <v>64</v>
      </c>
      <c r="P4" s="6"/>
      <c r="Q4" s="6"/>
      <c r="R4" s="6"/>
      <c r="S4" s="6"/>
      <c r="T4" s="6"/>
    </row>
    <row r="5" customFormat="false" ht="23.85" hidden="false" customHeight="false" outlineLevel="0" collapsed="false">
      <c r="A5" s="6" t="n">
        <v>4</v>
      </c>
      <c r="B5" s="6" t="s">
        <v>10</v>
      </c>
      <c r="C5" s="7" t="n">
        <v>0.388888888888889</v>
      </c>
      <c r="D5" s="7"/>
      <c r="E5" s="6" t="s">
        <v>18</v>
      </c>
      <c r="F5" s="6" t="s">
        <v>594</v>
      </c>
      <c r="G5" s="6" t="s">
        <v>595</v>
      </c>
      <c r="H5" s="6" t="s">
        <v>596</v>
      </c>
      <c r="I5" s="6" t="s">
        <v>597</v>
      </c>
      <c r="J5" s="6" t="s">
        <v>598</v>
      </c>
      <c r="K5" s="6" t="n">
        <v>2</v>
      </c>
      <c r="L5" s="6"/>
      <c r="M5" s="6" t="s">
        <v>64</v>
      </c>
      <c r="N5" s="6" t="s">
        <v>65</v>
      </c>
      <c r="O5" s="6" t="s">
        <v>64</v>
      </c>
      <c r="P5" s="6"/>
      <c r="Q5" s="6"/>
      <c r="R5" s="6"/>
      <c r="S5" s="6"/>
      <c r="T5" s="6"/>
    </row>
    <row r="6" customFormat="false" ht="23.85" hidden="false" customHeight="false" outlineLevel="0" collapsed="false">
      <c r="A6" s="6" t="n">
        <v>5</v>
      </c>
      <c r="B6" s="6" t="s">
        <v>10</v>
      </c>
      <c r="C6" s="7" t="n">
        <v>0.388888888888889</v>
      </c>
      <c r="D6" s="7"/>
      <c r="E6" s="6" t="s">
        <v>14</v>
      </c>
      <c r="F6" s="6" t="s">
        <v>594</v>
      </c>
      <c r="G6" s="6" t="s">
        <v>599</v>
      </c>
      <c r="H6" s="6" t="s">
        <v>600</v>
      </c>
      <c r="I6" s="6" t="s">
        <v>601</v>
      </c>
      <c r="J6" s="6" t="s">
        <v>602</v>
      </c>
      <c r="K6" s="6" t="n">
        <v>2</v>
      </c>
      <c r="L6" s="6"/>
      <c r="M6" s="6" t="s">
        <v>588</v>
      </c>
      <c r="N6" s="6" t="s">
        <v>87</v>
      </c>
      <c r="O6" s="6" t="s">
        <v>588</v>
      </c>
      <c r="P6" s="6"/>
      <c r="Q6" s="6"/>
      <c r="R6" s="6"/>
      <c r="S6" s="6"/>
      <c r="T6" s="6"/>
    </row>
    <row r="7" customFormat="false" ht="23.85" hidden="false" customHeight="false" outlineLevel="0" collapsed="false">
      <c r="A7" s="6" t="n">
        <v>6</v>
      </c>
      <c r="B7" s="6" t="s">
        <v>10</v>
      </c>
      <c r="C7" s="7" t="n">
        <v>0.395833333333333</v>
      </c>
      <c r="D7" s="7"/>
      <c r="E7" s="6" t="s">
        <v>14</v>
      </c>
      <c r="F7" s="6" t="s">
        <v>594</v>
      </c>
      <c r="G7" s="6" t="s">
        <v>603</v>
      </c>
      <c r="H7" s="6" t="s">
        <v>604</v>
      </c>
      <c r="I7" s="6" t="s">
        <v>605</v>
      </c>
      <c r="J7" s="6" t="s">
        <v>606</v>
      </c>
      <c r="K7" s="6" t="n">
        <v>2</v>
      </c>
      <c r="L7" s="6"/>
      <c r="M7" s="6" t="s">
        <v>588</v>
      </c>
      <c r="N7" s="6" t="s">
        <v>87</v>
      </c>
      <c r="O7" s="6" t="s">
        <v>588</v>
      </c>
      <c r="P7" s="6"/>
      <c r="Q7" s="6"/>
      <c r="R7" s="6"/>
      <c r="S7" s="6"/>
      <c r="T7" s="6"/>
    </row>
    <row r="8" customFormat="false" ht="35.05" hidden="false" customHeight="false" outlineLevel="0" collapsed="false">
      <c r="A8" s="6" t="n">
        <v>7</v>
      </c>
      <c r="B8" s="6" t="s">
        <v>10</v>
      </c>
      <c r="C8" s="7" t="n">
        <v>0.395833333333333</v>
      </c>
      <c r="D8" s="7"/>
      <c r="E8" s="6" t="s">
        <v>18</v>
      </c>
      <c r="F8" s="6" t="s">
        <v>594</v>
      </c>
      <c r="G8" s="6" t="s">
        <v>607</v>
      </c>
      <c r="H8" s="6" t="s">
        <v>608</v>
      </c>
      <c r="I8" s="6" t="s">
        <v>609</v>
      </c>
      <c r="J8" s="6" t="s">
        <v>610</v>
      </c>
      <c r="K8" s="6" t="n">
        <v>2</v>
      </c>
      <c r="L8" s="6"/>
      <c r="M8" s="6" t="s">
        <v>64</v>
      </c>
      <c r="N8" s="6" t="s">
        <v>65</v>
      </c>
      <c r="O8" s="6" t="s">
        <v>64</v>
      </c>
      <c r="P8" s="6"/>
      <c r="Q8" s="6"/>
      <c r="R8" s="6"/>
      <c r="S8" s="6"/>
      <c r="T8" s="6"/>
    </row>
    <row r="9" customFormat="false" ht="35.05" hidden="false" customHeight="false" outlineLevel="0" collapsed="false">
      <c r="A9" s="6" t="n">
        <v>8</v>
      </c>
      <c r="B9" s="6" t="s">
        <v>10</v>
      </c>
      <c r="C9" s="7" t="n">
        <v>0.402777777777778</v>
      </c>
      <c r="D9" s="7"/>
      <c r="E9" s="6" t="s">
        <v>18</v>
      </c>
      <c r="F9" s="6" t="s">
        <v>594</v>
      </c>
      <c r="G9" s="6" t="s">
        <v>611</v>
      </c>
      <c r="H9" s="6" t="s">
        <v>612</v>
      </c>
      <c r="I9" s="6" t="s">
        <v>613</v>
      </c>
      <c r="J9" s="6" t="s">
        <v>614</v>
      </c>
      <c r="K9" s="6" t="n">
        <v>2</v>
      </c>
      <c r="L9" s="6"/>
      <c r="M9" s="6" t="s">
        <v>64</v>
      </c>
      <c r="N9" s="6" t="s">
        <v>65</v>
      </c>
      <c r="O9" s="6" t="s">
        <v>64</v>
      </c>
      <c r="P9" s="6"/>
      <c r="Q9" s="6"/>
      <c r="R9" s="6"/>
      <c r="S9" s="6"/>
      <c r="T9" s="6"/>
    </row>
    <row r="10" customFormat="false" ht="23.85" hidden="false" customHeight="false" outlineLevel="0" collapsed="false">
      <c r="A10" s="6" t="n">
        <v>9</v>
      </c>
      <c r="B10" s="6" t="s">
        <v>10</v>
      </c>
      <c r="C10" s="7" t="n">
        <v>0.402777777777778</v>
      </c>
      <c r="D10" s="7"/>
      <c r="E10" s="6" t="s">
        <v>14</v>
      </c>
      <c r="F10" s="6" t="s">
        <v>594</v>
      </c>
      <c r="G10" s="6" t="s">
        <v>615</v>
      </c>
      <c r="H10" s="6" t="s">
        <v>616</v>
      </c>
      <c r="I10" s="6" t="s">
        <v>617</v>
      </c>
      <c r="J10" s="6" t="s">
        <v>618</v>
      </c>
      <c r="K10" s="6" t="n">
        <v>2</v>
      </c>
      <c r="L10" s="6"/>
      <c r="M10" s="6" t="s">
        <v>588</v>
      </c>
      <c r="N10" s="6" t="s">
        <v>87</v>
      </c>
      <c r="O10" s="6" t="s">
        <v>588</v>
      </c>
      <c r="P10" s="6"/>
      <c r="Q10" s="6"/>
      <c r="R10" s="6"/>
      <c r="S10" s="6"/>
      <c r="T10" s="6"/>
    </row>
    <row r="11" customFormat="false" ht="68.65" hidden="false" customHeight="false" outlineLevel="0" collapsed="false">
      <c r="A11" s="6" t="n">
        <v>10</v>
      </c>
      <c r="B11" s="6" t="s">
        <v>10</v>
      </c>
      <c r="C11" s="7" t="n">
        <v>0.409722222222222</v>
      </c>
      <c r="D11" s="7"/>
      <c r="E11" s="6" t="s">
        <v>14</v>
      </c>
      <c r="F11" s="6" t="s">
        <v>134</v>
      </c>
      <c r="G11" s="6" t="s">
        <v>619</v>
      </c>
      <c r="H11" s="6" t="s">
        <v>620</v>
      </c>
      <c r="I11" s="6" t="s">
        <v>621</v>
      </c>
      <c r="J11" s="6" t="s">
        <v>622</v>
      </c>
      <c r="K11" s="6" t="n">
        <v>3</v>
      </c>
      <c r="L11" s="6" t="n">
        <v>1</v>
      </c>
      <c r="M11" s="6" t="s">
        <v>588</v>
      </c>
      <c r="N11" s="6" t="s">
        <v>87</v>
      </c>
      <c r="O11" s="6" t="s">
        <v>588</v>
      </c>
      <c r="P11" s="6" t="s">
        <v>623</v>
      </c>
      <c r="Q11" s="6"/>
      <c r="R11" s="6"/>
      <c r="S11" s="6"/>
      <c r="T11" s="6"/>
    </row>
    <row r="12" customFormat="false" ht="23.85" hidden="false" customHeight="false" outlineLevel="0" collapsed="false">
      <c r="A12" s="6" t="n">
        <v>11</v>
      </c>
      <c r="B12" s="6" t="s">
        <v>10</v>
      </c>
      <c r="C12" s="7" t="n">
        <v>0.409722222222222</v>
      </c>
      <c r="D12" s="7"/>
      <c r="E12" s="6" t="s">
        <v>18</v>
      </c>
      <c r="F12" s="6" t="s">
        <v>594</v>
      </c>
      <c r="G12" s="6" t="s">
        <v>624</v>
      </c>
      <c r="H12" s="6" t="s">
        <v>625</v>
      </c>
      <c r="I12" s="6" t="s">
        <v>626</v>
      </c>
      <c r="J12" s="6" t="s">
        <v>627</v>
      </c>
      <c r="K12" s="6" t="n">
        <v>2</v>
      </c>
      <c r="L12" s="6"/>
      <c r="M12" s="6" t="s">
        <v>64</v>
      </c>
      <c r="N12" s="6" t="s">
        <v>65</v>
      </c>
      <c r="O12" s="6" t="s">
        <v>64</v>
      </c>
      <c r="P12" s="6"/>
      <c r="Q12" s="6"/>
      <c r="R12" s="6"/>
      <c r="S12" s="6"/>
      <c r="T12" s="6"/>
    </row>
    <row r="13" customFormat="false" ht="113.4" hidden="false" customHeight="false" outlineLevel="0" collapsed="false">
      <c r="A13" s="6" t="n">
        <v>12</v>
      </c>
      <c r="B13" s="6" t="s">
        <v>10</v>
      </c>
      <c r="C13" s="7" t="n">
        <v>0.416666666666667</v>
      </c>
      <c r="D13" s="7"/>
      <c r="E13" s="6" t="s">
        <v>18</v>
      </c>
      <c r="F13" s="6" t="s">
        <v>134</v>
      </c>
      <c r="G13" s="6" t="s">
        <v>628</v>
      </c>
      <c r="H13" s="6" t="s">
        <v>629</v>
      </c>
      <c r="I13" s="6" t="s">
        <v>630</v>
      </c>
      <c r="J13" s="6" t="s">
        <v>631</v>
      </c>
      <c r="K13" s="6" t="n">
        <v>3</v>
      </c>
      <c r="L13" s="6" t="n">
        <v>2</v>
      </c>
      <c r="M13" s="6" t="s">
        <v>64</v>
      </c>
      <c r="N13" s="6" t="s">
        <v>65</v>
      </c>
      <c r="O13" s="6" t="s">
        <v>64</v>
      </c>
      <c r="P13" s="6" t="s">
        <v>632</v>
      </c>
      <c r="Q13" s="6"/>
      <c r="R13" s="6"/>
      <c r="S13" s="6"/>
      <c r="T13" s="6"/>
    </row>
    <row r="14" customFormat="false" ht="23.85" hidden="false" customHeight="false" outlineLevel="0" collapsed="false">
      <c r="A14" s="6" t="n">
        <v>13</v>
      </c>
      <c r="B14" s="6" t="s">
        <v>10</v>
      </c>
      <c r="C14" s="7" t="n">
        <v>0.447916666666667</v>
      </c>
      <c r="D14" s="7" t="n">
        <v>0.479166666666667</v>
      </c>
      <c r="E14" s="6" t="s">
        <v>35</v>
      </c>
      <c r="F14" s="6" t="s">
        <v>35</v>
      </c>
      <c r="G14" s="6" t="s">
        <v>633</v>
      </c>
      <c r="H14" s="6" t="s">
        <v>634</v>
      </c>
      <c r="I14" s="6" t="s">
        <v>635</v>
      </c>
      <c r="J14" s="6"/>
      <c r="K14" s="6" t="n">
        <v>2</v>
      </c>
      <c r="L14" s="6"/>
      <c r="M14" s="6" t="s">
        <v>580</v>
      </c>
      <c r="N14" s="6" t="s">
        <v>65</v>
      </c>
      <c r="O14" s="6" t="s">
        <v>636</v>
      </c>
      <c r="P14" s="6"/>
      <c r="Q14" s="6" t="n">
        <v>36</v>
      </c>
      <c r="R14" s="6" t="n">
        <v>40</v>
      </c>
      <c r="S14" s="6" t="n">
        <f aca="false">R14-Q14</f>
        <v>4</v>
      </c>
      <c r="T14" s="6" t="s">
        <v>637</v>
      </c>
    </row>
    <row r="15" customFormat="false" ht="23.85" hidden="false" customHeight="false" outlineLevel="0" collapsed="false">
      <c r="A15" s="6" t="n">
        <v>14</v>
      </c>
      <c r="B15" s="6" t="s">
        <v>10</v>
      </c>
      <c r="C15" s="7" t="n">
        <v>0.447916666666667</v>
      </c>
      <c r="D15" s="7" t="n">
        <v>0.479166666666667</v>
      </c>
      <c r="E15" s="6" t="s">
        <v>35</v>
      </c>
      <c r="F15" s="6" t="s">
        <v>35</v>
      </c>
      <c r="G15" s="6" t="s">
        <v>638</v>
      </c>
      <c r="H15" s="6" t="s">
        <v>639</v>
      </c>
      <c r="I15" s="6" t="s">
        <v>640</v>
      </c>
      <c r="J15" s="6"/>
      <c r="K15" s="6" t="n">
        <v>2</v>
      </c>
      <c r="L15" s="6"/>
      <c r="M15" s="6" t="s">
        <v>580</v>
      </c>
      <c r="N15" s="6" t="s">
        <v>65</v>
      </c>
      <c r="O15" s="6" t="s">
        <v>636</v>
      </c>
      <c r="P15" s="6"/>
      <c r="Q15" s="6" t="n">
        <v>12</v>
      </c>
      <c r="R15" s="6" t="n">
        <v>40</v>
      </c>
      <c r="S15" s="6" t="n">
        <f aca="false">R15-Q15</f>
        <v>28</v>
      </c>
      <c r="T15" s="6" t="s">
        <v>637</v>
      </c>
    </row>
    <row r="16" customFormat="false" ht="23.85" hidden="false" customHeight="false" outlineLevel="0" collapsed="false">
      <c r="A16" s="6" t="n">
        <v>15</v>
      </c>
      <c r="B16" s="6" t="s">
        <v>10</v>
      </c>
      <c r="C16" s="7" t="n">
        <v>0.447916666666667</v>
      </c>
      <c r="D16" s="7" t="n">
        <v>0.479166666666667</v>
      </c>
      <c r="E16" s="6" t="s">
        <v>35</v>
      </c>
      <c r="F16" s="6" t="s">
        <v>35</v>
      </c>
      <c r="G16" s="6" t="s">
        <v>641</v>
      </c>
      <c r="H16" s="6" t="s">
        <v>642</v>
      </c>
      <c r="I16" s="6" t="s">
        <v>643</v>
      </c>
      <c r="J16" s="6"/>
      <c r="K16" s="6" t="n">
        <v>2</v>
      </c>
      <c r="L16" s="6"/>
      <c r="M16" s="6" t="s">
        <v>580</v>
      </c>
      <c r="N16" s="6" t="s">
        <v>65</v>
      </c>
      <c r="O16" s="6" t="s">
        <v>636</v>
      </c>
      <c r="P16" s="6"/>
      <c r="Q16" s="6" t="n">
        <v>50</v>
      </c>
      <c r="R16" s="6" t="n">
        <v>50</v>
      </c>
      <c r="S16" s="6" t="n">
        <f aca="false">R16-Q16</f>
        <v>0</v>
      </c>
      <c r="T16" s="6" t="s">
        <v>644</v>
      </c>
    </row>
    <row r="17" customFormat="false" ht="23.85" hidden="false" customHeight="false" outlineLevel="0" collapsed="false">
      <c r="A17" s="6" t="n">
        <v>16</v>
      </c>
      <c r="B17" s="6" t="s">
        <v>10</v>
      </c>
      <c r="C17" s="7" t="n">
        <v>0.447916666666667</v>
      </c>
      <c r="D17" s="7" t="n">
        <v>0.479166666666667</v>
      </c>
      <c r="E17" s="6" t="s">
        <v>35</v>
      </c>
      <c r="F17" s="6" t="s">
        <v>35</v>
      </c>
      <c r="G17" s="6" t="s">
        <v>645</v>
      </c>
      <c r="H17" s="6" t="s">
        <v>646</v>
      </c>
      <c r="I17" s="6" t="s">
        <v>647</v>
      </c>
      <c r="J17" s="6"/>
      <c r="K17" s="6" t="n">
        <v>2</v>
      </c>
      <c r="L17" s="6"/>
      <c r="M17" s="6" t="s">
        <v>580</v>
      </c>
      <c r="N17" s="6" t="s">
        <v>65</v>
      </c>
      <c r="O17" s="6" t="s">
        <v>636</v>
      </c>
      <c r="P17" s="6"/>
      <c r="Q17" s="6" t="n">
        <v>7</v>
      </c>
      <c r="R17" s="6" t="n">
        <v>40</v>
      </c>
      <c r="S17" s="6" t="n">
        <f aca="false">R17-Q17</f>
        <v>33</v>
      </c>
      <c r="T17" s="6" t="s">
        <v>637</v>
      </c>
    </row>
    <row r="18" customFormat="false" ht="35.05" hidden="false" customHeight="false" outlineLevel="0" collapsed="false">
      <c r="A18" s="6" t="n">
        <v>17</v>
      </c>
      <c r="B18" s="6" t="s">
        <v>10</v>
      </c>
      <c r="C18" s="7" t="n">
        <v>0.447916666666667</v>
      </c>
      <c r="D18" s="7" t="n">
        <v>0.479166666666667</v>
      </c>
      <c r="E18" s="6" t="s">
        <v>35</v>
      </c>
      <c r="F18" s="6" t="s">
        <v>35</v>
      </c>
      <c r="G18" s="6" t="s">
        <v>648</v>
      </c>
      <c r="H18" s="6" t="s">
        <v>649</v>
      </c>
      <c r="I18" s="6" t="s">
        <v>649</v>
      </c>
      <c r="J18" s="6"/>
      <c r="K18" s="6" t="n">
        <v>1</v>
      </c>
      <c r="L18" s="6"/>
      <c r="M18" s="6" t="s">
        <v>580</v>
      </c>
      <c r="N18" s="6" t="s">
        <v>65</v>
      </c>
      <c r="O18" s="6" t="s">
        <v>636</v>
      </c>
      <c r="P18" s="6"/>
      <c r="Q18" s="6" t="n">
        <v>18</v>
      </c>
      <c r="R18" s="6" t="n">
        <v>40</v>
      </c>
      <c r="S18" s="6" t="n">
        <f aca="false">R18-Q18</f>
        <v>22</v>
      </c>
      <c r="T18" s="6" t="s">
        <v>637</v>
      </c>
    </row>
    <row r="19" customFormat="false" ht="23.85" hidden="false" customHeight="false" outlineLevel="0" collapsed="false">
      <c r="A19" s="6" t="n">
        <v>18</v>
      </c>
      <c r="B19" s="6" t="s">
        <v>10</v>
      </c>
      <c r="C19" s="7" t="n">
        <v>0.447916666666667</v>
      </c>
      <c r="D19" s="7" t="n">
        <v>0.479166666666667</v>
      </c>
      <c r="E19" s="6" t="s">
        <v>35</v>
      </c>
      <c r="F19" s="6" t="s">
        <v>35</v>
      </c>
      <c r="G19" s="6" t="s">
        <v>650</v>
      </c>
      <c r="H19" s="6" t="s">
        <v>651</v>
      </c>
      <c r="I19" s="6" t="s">
        <v>652</v>
      </c>
      <c r="J19" s="6"/>
      <c r="K19" s="6" t="n">
        <v>2</v>
      </c>
      <c r="L19" s="6"/>
      <c r="M19" s="6" t="s">
        <v>580</v>
      </c>
      <c r="N19" s="6" t="s">
        <v>65</v>
      </c>
      <c r="O19" s="6" t="s">
        <v>636</v>
      </c>
      <c r="P19" s="6"/>
      <c r="Q19" s="6" t="n">
        <v>1</v>
      </c>
      <c r="R19" s="6" t="n">
        <v>40</v>
      </c>
      <c r="S19" s="6" t="n">
        <f aca="false">R19-Q19</f>
        <v>39</v>
      </c>
      <c r="T19" s="6" t="s">
        <v>637</v>
      </c>
    </row>
    <row r="20" customFormat="false" ht="23.85" hidden="false" customHeight="false" outlineLevel="0" collapsed="false">
      <c r="A20" s="6" t="n">
        <v>19</v>
      </c>
      <c r="B20" s="6" t="s">
        <v>10</v>
      </c>
      <c r="C20" s="7" t="n">
        <v>0.447916666666667</v>
      </c>
      <c r="D20" s="7" t="n">
        <v>0.479166666666667</v>
      </c>
      <c r="E20" s="6" t="s">
        <v>35</v>
      </c>
      <c r="F20" s="6" t="s">
        <v>35</v>
      </c>
      <c r="G20" s="6" t="s">
        <v>653</v>
      </c>
      <c r="H20" s="6" t="s">
        <v>654</v>
      </c>
      <c r="I20" s="6" t="s">
        <v>655</v>
      </c>
      <c r="J20" s="6"/>
      <c r="K20" s="6" t="n">
        <v>2</v>
      </c>
      <c r="L20" s="6"/>
      <c r="M20" s="6" t="s">
        <v>580</v>
      </c>
      <c r="N20" s="6" t="s">
        <v>65</v>
      </c>
      <c r="O20" s="6" t="s">
        <v>636</v>
      </c>
      <c r="P20" s="6"/>
      <c r="Q20" s="6" t="n">
        <v>31</v>
      </c>
      <c r="R20" s="6" t="n">
        <v>40</v>
      </c>
      <c r="S20" s="6" t="n">
        <f aca="false">R20-Q20</f>
        <v>9</v>
      </c>
      <c r="T20" s="6" t="s">
        <v>637</v>
      </c>
    </row>
    <row r="21" customFormat="false" ht="35.05" hidden="false" customHeight="false" outlineLevel="0" collapsed="false">
      <c r="A21" s="6" t="n">
        <v>20</v>
      </c>
      <c r="B21" s="6" t="s">
        <v>10</v>
      </c>
      <c r="C21" s="7" t="n">
        <v>0.447916666666667</v>
      </c>
      <c r="D21" s="7" t="n">
        <v>0.479166666666667</v>
      </c>
      <c r="E21" s="6" t="s">
        <v>35</v>
      </c>
      <c r="F21" s="6" t="s">
        <v>35</v>
      </c>
      <c r="G21" s="6" t="s">
        <v>656</v>
      </c>
      <c r="H21" s="6" t="s">
        <v>657</v>
      </c>
      <c r="I21" s="6" t="s">
        <v>658</v>
      </c>
      <c r="J21" s="6"/>
      <c r="K21" s="6" t="n">
        <v>2</v>
      </c>
      <c r="L21" s="6"/>
      <c r="M21" s="6" t="s">
        <v>580</v>
      </c>
      <c r="N21" s="6" t="s">
        <v>65</v>
      </c>
      <c r="O21" s="6" t="s">
        <v>636</v>
      </c>
      <c r="P21" s="6"/>
      <c r="Q21" s="6" t="n">
        <v>40</v>
      </c>
      <c r="R21" s="6" t="n">
        <v>40</v>
      </c>
      <c r="S21" s="6" t="n">
        <f aca="false">R21-Q21</f>
        <v>0</v>
      </c>
      <c r="T21" s="6" t="s">
        <v>644</v>
      </c>
    </row>
    <row r="22" customFormat="false" ht="35.05" hidden="false" customHeight="false" outlineLevel="0" collapsed="false">
      <c r="A22" s="6" t="n">
        <v>21</v>
      </c>
      <c r="B22" s="6" t="s">
        <v>10</v>
      </c>
      <c r="C22" s="7" t="n">
        <v>0.447916666666667</v>
      </c>
      <c r="D22" s="7" t="n">
        <v>0.479166666666667</v>
      </c>
      <c r="E22" s="6" t="s">
        <v>35</v>
      </c>
      <c r="F22" s="6" t="s">
        <v>35</v>
      </c>
      <c r="G22" s="6" t="s">
        <v>659</v>
      </c>
      <c r="H22" s="6" t="s">
        <v>660</v>
      </c>
      <c r="I22" s="6" t="s">
        <v>660</v>
      </c>
      <c r="J22" s="6"/>
      <c r="K22" s="6" t="n">
        <v>1</v>
      </c>
      <c r="L22" s="6"/>
      <c r="M22" s="6" t="s">
        <v>580</v>
      </c>
      <c r="N22" s="6" t="s">
        <v>65</v>
      </c>
      <c r="O22" s="6" t="s">
        <v>636</v>
      </c>
      <c r="P22" s="6"/>
      <c r="Q22" s="6" t="n">
        <v>9</v>
      </c>
      <c r="R22" s="6" t="n">
        <v>40</v>
      </c>
      <c r="S22" s="6" t="n">
        <f aca="false">R22-Q22</f>
        <v>31</v>
      </c>
      <c r="T22" s="6" t="s">
        <v>637</v>
      </c>
    </row>
    <row r="23" customFormat="false" ht="23.85" hidden="false" customHeight="false" outlineLevel="0" collapsed="false">
      <c r="A23" s="6" t="n">
        <v>22</v>
      </c>
      <c r="B23" s="6" t="s">
        <v>10</v>
      </c>
      <c r="C23" s="7" t="n">
        <v>0.447916666666667</v>
      </c>
      <c r="D23" s="7" t="n">
        <v>0.479166666666667</v>
      </c>
      <c r="E23" s="6" t="s">
        <v>35</v>
      </c>
      <c r="F23" s="6" t="s">
        <v>35</v>
      </c>
      <c r="G23" s="6" t="s">
        <v>661</v>
      </c>
      <c r="H23" s="6" t="s">
        <v>662</v>
      </c>
      <c r="I23" s="6" t="s">
        <v>663</v>
      </c>
      <c r="J23" s="6"/>
      <c r="K23" s="6" t="n">
        <v>2</v>
      </c>
      <c r="L23" s="6"/>
      <c r="M23" s="6" t="s">
        <v>580</v>
      </c>
      <c r="N23" s="6" t="s">
        <v>65</v>
      </c>
      <c r="O23" s="6" t="s">
        <v>636</v>
      </c>
      <c r="P23" s="6"/>
      <c r="Q23" s="6" t="n">
        <v>26</v>
      </c>
      <c r="R23" s="6" t="n">
        <v>40</v>
      </c>
      <c r="S23" s="6" t="n">
        <f aca="false">R23-Q23</f>
        <v>14</v>
      </c>
      <c r="T23" s="6" t="s">
        <v>637</v>
      </c>
    </row>
    <row r="24" customFormat="false" ht="23.85" hidden="false" customHeight="false" outlineLevel="0" collapsed="false">
      <c r="A24" s="6" t="n">
        <v>23</v>
      </c>
      <c r="B24" s="6" t="s">
        <v>10</v>
      </c>
      <c r="C24" s="7" t="n">
        <v>0.447916666666667</v>
      </c>
      <c r="D24" s="7" t="n">
        <v>0.479166666666667</v>
      </c>
      <c r="E24" s="6" t="s">
        <v>35</v>
      </c>
      <c r="F24" s="6" t="s">
        <v>35</v>
      </c>
      <c r="G24" s="6" t="s">
        <v>664</v>
      </c>
      <c r="H24" s="6" t="s">
        <v>665</v>
      </c>
      <c r="I24" s="6" t="s">
        <v>666</v>
      </c>
      <c r="J24" s="6"/>
      <c r="K24" s="6" t="n">
        <v>2</v>
      </c>
      <c r="L24" s="6"/>
      <c r="M24" s="6" t="s">
        <v>580</v>
      </c>
      <c r="N24" s="6" t="s">
        <v>65</v>
      </c>
      <c r="O24" s="6" t="s">
        <v>636</v>
      </c>
      <c r="P24" s="6"/>
      <c r="Q24" s="6" t="n">
        <v>23</v>
      </c>
      <c r="R24" s="6" t="n">
        <v>40</v>
      </c>
      <c r="S24" s="6" t="n">
        <f aca="false">R24-Q24</f>
        <v>17</v>
      </c>
      <c r="T24" s="6" t="s">
        <v>667</v>
      </c>
    </row>
    <row r="25" customFormat="false" ht="35.05" hidden="false" customHeight="false" outlineLevel="0" collapsed="false">
      <c r="A25" s="6" t="n">
        <v>24</v>
      </c>
      <c r="B25" s="6" t="s">
        <v>10</v>
      </c>
      <c r="C25" s="7" t="n">
        <v>0.447916666666667</v>
      </c>
      <c r="D25" s="7" t="n">
        <v>0.479166666666667</v>
      </c>
      <c r="E25" s="6" t="s">
        <v>35</v>
      </c>
      <c r="F25" s="6" t="s">
        <v>35</v>
      </c>
      <c r="G25" s="6" t="s">
        <v>668</v>
      </c>
      <c r="H25" s="6" t="s">
        <v>669</v>
      </c>
      <c r="I25" s="6" t="s">
        <v>670</v>
      </c>
      <c r="J25" s="6"/>
      <c r="K25" s="6" t="n">
        <v>2</v>
      </c>
      <c r="L25" s="6"/>
      <c r="M25" s="6" t="s">
        <v>580</v>
      </c>
      <c r="N25" s="6" t="s">
        <v>65</v>
      </c>
      <c r="O25" s="6" t="s">
        <v>636</v>
      </c>
      <c r="P25" s="6"/>
      <c r="Q25" s="6" t="n">
        <v>13</v>
      </c>
      <c r="R25" s="6" t="n">
        <v>40</v>
      </c>
      <c r="S25" s="6" t="n">
        <f aca="false">R25-Q25</f>
        <v>27</v>
      </c>
      <c r="T25" s="6" t="s">
        <v>637</v>
      </c>
    </row>
    <row r="26" customFormat="false" ht="23.85" hidden="false" customHeight="false" outlineLevel="0" collapsed="false">
      <c r="A26" s="6" t="n">
        <v>25</v>
      </c>
      <c r="B26" s="6" t="s">
        <v>10</v>
      </c>
      <c r="C26" s="7" t="n">
        <v>0.447916666666667</v>
      </c>
      <c r="D26" s="7" t="n">
        <v>0.479166666666667</v>
      </c>
      <c r="E26" s="6" t="s">
        <v>35</v>
      </c>
      <c r="F26" s="6" t="s">
        <v>35</v>
      </c>
      <c r="G26" s="6" t="s">
        <v>671</v>
      </c>
      <c r="H26" s="6" t="s">
        <v>672</v>
      </c>
      <c r="I26" s="6" t="s">
        <v>673</v>
      </c>
      <c r="J26" s="6"/>
      <c r="K26" s="6" t="n">
        <v>2</v>
      </c>
      <c r="L26" s="6"/>
      <c r="M26" s="6" t="s">
        <v>580</v>
      </c>
      <c r="N26" s="6" t="s">
        <v>65</v>
      </c>
      <c r="O26" s="6" t="s">
        <v>636</v>
      </c>
      <c r="P26" s="6"/>
      <c r="Q26" s="6" t="n">
        <v>3</v>
      </c>
      <c r="R26" s="6" t="n">
        <v>40</v>
      </c>
      <c r="S26" s="6" t="n">
        <f aca="false">R26-Q26</f>
        <v>37</v>
      </c>
      <c r="T26" s="6" t="s">
        <v>637</v>
      </c>
    </row>
    <row r="27" customFormat="false" ht="35.05" hidden="false" customHeight="false" outlineLevel="0" collapsed="false">
      <c r="A27" s="6" t="n">
        <v>26</v>
      </c>
      <c r="B27" s="6" t="s">
        <v>10</v>
      </c>
      <c r="C27" s="7" t="n">
        <v>0.447916666666667</v>
      </c>
      <c r="D27" s="7" t="n">
        <v>0.479166666666667</v>
      </c>
      <c r="E27" s="6" t="s">
        <v>35</v>
      </c>
      <c r="F27" s="6" t="s">
        <v>35</v>
      </c>
      <c r="G27" s="6" t="s">
        <v>674</v>
      </c>
      <c r="H27" s="6" t="s">
        <v>675</v>
      </c>
      <c r="I27" s="6" t="s">
        <v>676</v>
      </c>
      <c r="J27" s="6"/>
      <c r="K27" s="6" t="n">
        <v>2</v>
      </c>
      <c r="L27" s="6"/>
      <c r="M27" s="6" t="s">
        <v>580</v>
      </c>
      <c r="N27" s="6" t="s">
        <v>65</v>
      </c>
      <c r="O27" s="6" t="s">
        <v>636</v>
      </c>
      <c r="P27" s="6"/>
      <c r="Q27" s="6" t="n">
        <v>4</v>
      </c>
      <c r="R27" s="6" t="n">
        <v>40</v>
      </c>
      <c r="S27" s="6" t="n">
        <f aca="false">R27-Q27</f>
        <v>36</v>
      </c>
      <c r="T27" s="6" t="s">
        <v>637</v>
      </c>
    </row>
    <row r="28" customFormat="false" ht="23.85" hidden="false" customHeight="false" outlineLevel="0" collapsed="false">
      <c r="A28" s="6" t="n">
        <v>27</v>
      </c>
      <c r="B28" s="6" t="s">
        <v>10</v>
      </c>
      <c r="C28" s="7" t="n">
        <v>0.447916666666667</v>
      </c>
      <c r="D28" s="7" t="n">
        <v>0.479166666666667</v>
      </c>
      <c r="E28" s="6" t="s">
        <v>35</v>
      </c>
      <c r="F28" s="6" t="s">
        <v>35</v>
      </c>
      <c r="G28" s="6" t="s">
        <v>677</v>
      </c>
      <c r="H28" s="6" t="s">
        <v>678</v>
      </c>
      <c r="I28" s="6" t="s">
        <v>679</v>
      </c>
      <c r="J28" s="6"/>
      <c r="K28" s="6" t="n">
        <v>2</v>
      </c>
      <c r="L28" s="6"/>
      <c r="M28" s="6" t="s">
        <v>580</v>
      </c>
      <c r="N28" s="6" t="s">
        <v>65</v>
      </c>
      <c r="O28" s="6" t="s">
        <v>636</v>
      </c>
      <c r="P28" s="6"/>
      <c r="Q28" s="6" t="n">
        <v>10</v>
      </c>
      <c r="R28" s="6" t="n">
        <v>40</v>
      </c>
      <c r="S28" s="6" t="n">
        <f aca="false">R28-Q28</f>
        <v>30</v>
      </c>
      <c r="T28" s="6" t="s">
        <v>637</v>
      </c>
    </row>
    <row r="29" customFormat="false" ht="23.85" hidden="false" customHeight="false" outlineLevel="0" collapsed="false">
      <c r="A29" s="6" t="n">
        <v>28</v>
      </c>
      <c r="B29" s="6" t="s">
        <v>10</v>
      </c>
      <c r="C29" s="7" t="n">
        <v>0.447916666666667</v>
      </c>
      <c r="D29" s="7" t="n">
        <v>0.479166666666667</v>
      </c>
      <c r="E29" s="6" t="s">
        <v>35</v>
      </c>
      <c r="F29" s="6" t="s">
        <v>35</v>
      </c>
      <c r="G29" s="6" t="s">
        <v>680</v>
      </c>
      <c r="H29" s="6" t="s">
        <v>681</v>
      </c>
      <c r="I29" s="6" t="s">
        <v>682</v>
      </c>
      <c r="J29" s="6"/>
      <c r="K29" s="6" t="n">
        <v>2</v>
      </c>
      <c r="L29" s="6"/>
      <c r="M29" s="6" t="s">
        <v>580</v>
      </c>
      <c r="N29" s="6" t="s">
        <v>65</v>
      </c>
      <c r="O29" s="6" t="s">
        <v>636</v>
      </c>
      <c r="P29" s="6"/>
      <c r="Q29" s="6" t="n">
        <v>9</v>
      </c>
      <c r="R29" s="6" t="n">
        <v>40</v>
      </c>
      <c r="S29" s="6" t="n">
        <f aca="false">R29-Q29</f>
        <v>31</v>
      </c>
      <c r="T29" s="6" t="s">
        <v>637</v>
      </c>
    </row>
    <row r="30" customFormat="false" ht="23.85" hidden="false" customHeight="false" outlineLevel="0" collapsed="false">
      <c r="A30" s="6" t="n">
        <v>29</v>
      </c>
      <c r="B30" s="6" t="s">
        <v>10</v>
      </c>
      <c r="C30" s="7" t="n">
        <v>0.447916666666667</v>
      </c>
      <c r="D30" s="7" t="n">
        <v>0.479166666666667</v>
      </c>
      <c r="E30" s="6" t="s">
        <v>35</v>
      </c>
      <c r="F30" s="6" t="s">
        <v>35</v>
      </c>
      <c r="G30" s="6" t="s">
        <v>683</v>
      </c>
      <c r="H30" s="6" t="s">
        <v>684</v>
      </c>
      <c r="I30" s="6" t="s">
        <v>685</v>
      </c>
      <c r="J30" s="6"/>
      <c r="K30" s="6" t="n">
        <v>2</v>
      </c>
      <c r="L30" s="6"/>
      <c r="M30" s="6" t="s">
        <v>580</v>
      </c>
      <c r="N30" s="6" t="s">
        <v>65</v>
      </c>
      <c r="O30" s="6" t="s">
        <v>636</v>
      </c>
      <c r="P30" s="6"/>
      <c r="Q30" s="6" t="n">
        <v>18</v>
      </c>
      <c r="R30" s="6" t="n">
        <v>40</v>
      </c>
      <c r="S30" s="6" t="n">
        <f aca="false">R30-Q30</f>
        <v>22</v>
      </c>
      <c r="T30" s="6" t="s">
        <v>637</v>
      </c>
    </row>
    <row r="31" customFormat="false" ht="23.85" hidden="false" customHeight="false" outlineLevel="0" collapsed="false">
      <c r="A31" s="6" t="n">
        <v>30</v>
      </c>
      <c r="B31" s="6" t="s">
        <v>10</v>
      </c>
      <c r="C31" s="7" t="n">
        <v>0.447916666666667</v>
      </c>
      <c r="D31" s="7" t="n">
        <v>0.479166666666667</v>
      </c>
      <c r="E31" s="6" t="s">
        <v>35</v>
      </c>
      <c r="F31" s="6" t="s">
        <v>35</v>
      </c>
      <c r="G31" s="6" t="s">
        <v>686</v>
      </c>
      <c r="H31" s="6" t="s">
        <v>687</v>
      </c>
      <c r="I31" s="6" t="s">
        <v>688</v>
      </c>
      <c r="J31" s="6"/>
      <c r="K31" s="6" t="n">
        <v>2</v>
      </c>
      <c r="L31" s="6"/>
      <c r="M31" s="6" t="s">
        <v>580</v>
      </c>
      <c r="N31" s="6" t="s">
        <v>65</v>
      </c>
      <c r="O31" s="6" t="s">
        <v>636</v>
      </c>
      <c r="P31" s="6"/>
      <c r="Q31" s="6" t="n">
        <v>4</v>
      </c>
      <c r="R31" s="6" t="n">
        <v>40</v>
      </c>
      <c r="S31" s="6" t="n">
        <f aca="false">R31-Q31</f>
        <v>36</v>
      </c>
      <c r="T31" s="6" t="s">
        <v>637</v>
      </c>
    </row>
    <row r="32" customFormat="false" ht="23.85" hidden="false" customHeight="false" outlineLevel="0" collapsed="false">
      <c r="A32" s="6" t="n">
        <v>31</v>
      </c>
      <c r="B32" s="6" t="s">
        <v>10</v>
      </c>
      <c r="C32" s="7" t="n">
        <v>0.447916666666667</v>
      </c>
      <c r="D32" s="7" t="n">
        <v>0.479166666666667</v>
      </c>
      <c r="E32" s="6" t="s">
        <v>35</v>
      </c>
      <c r="F32" s="6" t="s">
        <v>35</v>
      </c>
      <c r="G32" s="6" t="s">
        <v>689</v>
      </c>
      <c r="H32" s="6" t="s">
        <v>690</v>
      </c>
      <c r="I32" s="6" t="s">
        <v>691</v>
      </c>
      <c r="J32" s="6"/>
      <c r="K32" s="6" t="n">
        <v>2</v>
      </c>
      <c r="L32" s="6"/>
      <c r="M32" s="6" t="s">
        <v>580</v>
      </c>
      <c r="N32" s="6" t="s">
        <v>65</v>
      </c>
      <c r="O32" s="6" t="s">
        <v>636</v>
      </c>
      <c r="P32" s="6"/>
      <c r="Q32" s="6" t="n">
        <v>40</v>
      </c>
      <c r="R32" s="6" t="n">
        <v>40</v>
      </c>
      <c r="S32" s="6" t="n">
        <f aca="false">R32-Q32</f>
        <v>0</v>
      </c>
      <c r="T32" s="6" t="s">
        <v>644</v>
      </c>
    </row>
    <row r="33" customFormat="false" ht="35.05" hidden="false" customHeight="false" outlineLevel="0" collapsed="false">
      <c r="A33" s="6" t="n">
        <v>32</v>
      </c>
      <c r="B33" s="6" t="s">
        <v>10</v>
      </c>
      <c r="C33" s="7" t="n">
        <v>0.447916666666667</v>
      </c>
      <c r="D33" s="7" t="n">
        <v>0.479166666666667</v>
      </c>
      <c r="E33" s="6" t="s">
        <v>35</v>
      </c>
      <c r="F33" s="6" t="s">
        <v>35</v>
      </c>
      <c r="G33" s="6" t="s">
        <v>692</v>
      </c>
      <c r="H33" s="6" t="s">
        <v>693</v>
      </c>
      <c r="I33" s="6" t="s">
        <v>265</v>
      </c>
      <c r="J33" s="6"/>
      <c r="K33" s="6" t="n">
        <v>2</v>
      </c>
      <c r="L33" s="6"/>
      <c r="M33" s="6" t="s">
        <v>580</v>
      </c>
      <c r="N33" s="6" t="s">
        <v>65</v>
      </c>
      <c r="O33" s="6" t="s">
        <v>636</v>
      </c>
      <c r="P33" s="6"/>
      <c r="Q33" s="6" t="n">
        <v>10</v>
      </c>
      <c r="R33" s="6" t="n">
        <v>40</v>
      </c>
      <c r="S33" s="6" t="n">
        <f aca="false">R33-Q33</f>
        <v>30</v>
      </c>
      <c r="T33" s="6" t="s">
        <v>637</v>
      </c>
    </row>
    <row r="34" customFormat="false" ht="35.05" hidden="false" customHeight="false" outlineLevel="0" collapsed="false">
      <c r="A34" s="6" t="n">
        <v>33</v>
      </c>
      <c r="B34" s="6" t="s">
        <v>10</v>
      </c>
      <c r="C34" s="7" t="n">
        <v>0.479166666666667</v>
      </c>
      <c r="D34" s="7"/>
      <c r="E34" s="6" t="s">
        <v>31</v>
      </c>
      <c r="F34" s="6" t="s">
        <v>31</v>
      </c>
      <c r="G34" s="6" t="s">
        <v>694</v>
      </c>
      <c r="H34" s="6" t="s">
        <v>209</v>
      </c>
      <c r="I34" s="6" t="s">
        <v>210</v>
      </c>
      <c r="J34" s="6" t="s">
        <v>211</v>
      </c>
      <c r="K34" s="6" t="n">
        <v>1</v>
      </c>
      <c r="L34" s="6"/>
      <c r="M34" s="6" t="s">
        <v>212</v>
      </c>
      <c r="N34" s="6" t="s">
        <v>65</v>
      </c>
      <c r="O34" s="6" t="s">
        <v>583</v>
      </c>
      <c r="P34" s="6" t="s">
        <v>214</v>
      </c>
      <c r="Q34" s="6"/>
      <c r="R34" s="6"/>
      <c r="S34" s="6"/>
      <c r="T34" s="6"/>
    </row>
    <row r="35" customFormat="false" ht="15" hidden="false" customHeight="false" outlineLevel="0" collapsed="false">
      <c r="A35" s="6" t="n">
        <v>34</v>
      </c>
      <c r="B35" s="6" t="s">
        <v>10</v>
      </c>
      <c r="C35" s="7" t="n">
        <v>0.517361111111111</v>
      </c>
      <c r="D35" s="7"/>
      <c r="E35" s="6" t="s">
        <v>29</v>
      </c>
      <c r="F35" s="6" t="s">
        <v>695</v>
      </c>
      <c r="G35" s="6" t="s">
        <v>696</v>
      </c>
      <c r="H35" s="6" t="s">
        <v>697</v>
      </c>
      <c r="I35" s="6" t="s">
        <v>698</v>
      </c>
      <c r="J35" s="6" t="s">
        <v>699</v>
      </c>
      <c r="K35" s="6" t="n">
        <v>1</v>
      </c>
      <c r="L35" s="6"/>
      <c r="M35" s="6" t="s">
        <v>255</v>
      </c>
      <c r="N35" s="6" t="s">
        <v>87</v>
      </c>
      <c r="O35" s="6" t="s">
        <v>255</v>
      </c>
      <c r="P35" s="6"/>
      <c r="Q35" s="6"/>
      <c r="R35" s="6"/>
      <c r="S35" s="6"/>
      <c r="T35" s="6"/>
    </row>
    <row r="36" customFormat="false" ht="35.05" hidden="false" customHeight="false" outlineLevel="0" collapsed="false">
      <c r="A36" s="6" t="n">
        <v>35</v>
      </c>
      <c r="B36" s="6" t="s">
        <v>10</v>
      </c>
      <c r="C36" s="7" t="n">
        <v>0.520833333333333</v>
      </c>
      <c r="D36" s="7"/>
      <c r="E36" s="6" t="s">
        <v>37</v>
      </c>
      <c r="F36" s="6" t="s">
        <v>67</v>
      </c>
      <c r="G36" s="6" t="s">
        <v>700</v>
      </c>
      <c r="H36" s="6" t="s">
        <v>701</v>
      </c>
      <c r="I36" s="6" t="s">
        <v>702</v>
      </c>
      <c r="J36" s="6" t="s">
        <v>703</v>
      </c>
      <c r="K36" s="6" t="n">
        <v>2</v>
      </c>
      <c r="L36" s="6"/>
      <c r="M36" s="6" t="s">
        <v>97</v>
      </c>
      <c r="N36" s="6" t="s">
        <v>65</v>
      </c>
      <c r="O36" s="6" t="s">
        <v>97</v>
      </c>
      <c r="P36" s="6"/>
      <c r="Q36" s="6"/>
      <c r="R36" s="6"/>
      <c r="S36" s="6"/>
      <c r="T36" s="6"/>
    </row>
    <row r="37" customFormat="false" ht="15" hidden="false" customHeight="false" outlineLevel="0" collapsed="false">
      <c r="A37" s="6" t="n">
        <v>36</v>
      </c>
      <c r="B37" s="6" t="s">
        <v>10</v>
      </c>
      <c r="C37" s="7" t="n">
        <v>0.520833333333333</v>
      </c>
      <c r="D37" s="7"/>
      <c r="E37" s="6" t="s">
        <v>29</v>
      </c>
      <c r="F37" s="6" t="s">
        <v>59</v>
      </c>
      <c r="G37" s="6" t="s">
        <v>704</v>
      </c>
      <c r="H37" s="6" t="s">
        <v>705</v>
      </c>
      <c r="I37" s="6" t="s">
        <v>706</v>
      </c>
      <c r="J37" s="6" t="s">
        <v>707</v>
      </c>
      <c r="K37" s="6" t="n">
        <v>1</v>
      </c>
      <c r="L37" s="6"/>
      <c r="M37" s="6" t="s">
        <v>255</v>
      </c>
      <c r="N37" s="6" t="s">
        <v>87</v>
      </c>
      <c r="O37" s="6" t="s">
        <v>708</v>
      </c>
      <c r="P37" s="6"/>
      <c r="Q37" s="6"/>
      <c r="R37" s="6"/>
      <c r="S37" s="6"/>
      <c r="T37" s="6"/>
    </row>
    <row r="38" customFormat="false" ht="23.85" hidden="false" customHeight="false" outlineLevel="0" collapsed="false">
      <c r="A38" s="6" t="n">
        <v>37</v>
      </c>
      <c r="B38" s="6" t="s">
        <v>10</v>
      </c>
      <c r="C38" s="7" t="n">
        <v>0.524305555555556</v>
      </c>
      <c r="D38" s="7"/>
      <c r="E38" s="6" t="s">
        <v>13</v>
      </c>
      <c r="F38" s="6" t="s">
        <v>81</v>
      </c>
      <c r="G38" s="6" t="s">
        <v>709</v>
      </c>
      <c r="H38" s="6" t="s">
        <v>710</v>
      </c>
      <c r="I38" s="6" t="s">
        <v>711</v>
      </c>
      <c r="J38" s="6" t="s">
        <v>712</v>
      </c>
      <c r="K38" s="6" t="n">
        <v>1</v>
      </c>
      <c r="L38" s="6"/>
      <c r="M38" s="6" t="s">
        <v>114</v>
      </c>
      <c r="N38" s="6" t="s">
        <v>65</v>
      </c>
      <c r="O38" s="6" t="s">
        <v>713</v>
      </c>
      <c r="P38" s="6"/>
      <c r="Q38" s="6"/>
      <c r="R38" s="6"/>
      <c r="S38" s="6"/>
      <c r="T38" s="6"/>
    </row>
    <row r="39" customFormat="false" ht="202.95" hidden="false" customHeight="false" outlineLevel="0" collapsed="false">
      <c r="A39" s="6" t="n">
        <v>38</v>
      </c>
      <c r="B39" s="6" t="s">
        <v>10</v>
      </c>
      <c r="C39" s="7" t="n">
        <v>0.524305555555556</v>
      </c>
      <c r="D39" s="7"/>
      <c r="E39" s="6" t="s">
        <v>21</v>
      </c>
      <c r="F39" s="6" t="s">
        <v>215</v>
      </c>
      <c r="G39" s="6" t="s">
        <v>714</v>
      </c>
      <c r="H39" s="6" t="s">
        <v>715</v>
      </c>
      <c r="I39" s="6" t="s">
        <v>716</v>
      </c>
      <c r="J39" s="6" t="s">
        <v>717</v>
      </c>
      <c r="K39" s="6" t="n">
        <v>2</v>
      </c>
      <c r="L39" s="6"/>
      <c r="M39" s="6" t="s">
        <v>119</v>
      </c>
      <c r="N39" s="6" t="s">
        <v>87</v>
      </c>
      <c r="O39" s="6" t="s">
        <v>119</v>
      </c>
      <c r="P39" s="6" t="s">
        <v>718</v>
      </c>
      <c r="Q39" s="6"/>
      <c r="R39" s="6"/>
      <c r="S39" s="6"/>
      <c r="T39" s="6"/>
    </row>
    <row r="40" customFormat="false" ht="23.85" hidden="false" customHeight="false" outlineLevel="0" collapsed="false">
      <c r="A40" s="6" t="n">
        <v>39</v>
      </c>
      <c r="B40" s="6" t="s">
        <v>10</v>
      </c>
      <c r="C40" s="7" t="n">
        <v>0.524305555555556</v>
      </c>
      <c r="D40" s="7"/>
      <c r="E40" s="6" t="s">
        <v>29</v>
      </c>
      <c r="F40" s="6" t="s">
        <v>67</v>
      </c>
      <c r="G40" s="6" t="s">
        <v>719</v>
      </c>
      <c r="H40" s="6" t="s">
        <v>720</v>
      </c>
      <c r="I40" s="6" t="s">
        <v>721</v>
      </c>
      <c r="J40" s="6" t="s">
        <v>722</v>
      </c>
      <c r="K40" s="6" t="n">
        <v>2</v>
      </c>
      <c r="L40" s="6"/>
      <c r="M40" s="6" t="s">
        <v>255</v>
      </c>
      <c r="N40" s="6" t="s">
        <v>87</v>
      </c>
      <c r="O40" s="6" t="s">
        <v>723</v>
      </c>
      <c r="P40" s="6"/>
      <c r="Q40" s="6"/>
      <c r="R40" s="6"/>
      <c r="S40" s="6"/>
      <c r="T40" s="6"/>
    </row>
    <row r="41" customFormat="false" ht="35.05" hidden="false" customHeight="false" outlineLevel="0" collapsed="false">
      <c r="A41" s="6" t="n">
        <v>40</v>
      </c>
      <c r="B41" s="6" t="s">
        <v>10</v>
      </c>
      <c r="C41" s="7" t="n">
        <v>0.524305555555556</v>
      </c>
      <c r="D41" s="7"/>
      <c r="E41" s="6" t="s">
        <v>27</v>
      </c>
      <c r="F41" s="6" t="s">
        <v>81</v>
      </c>
      <c r="G41" s="6" t="s">
        <v>724</v>
      </c>
      <c r="H41" s="6" t="s">
        <v>725</v>
      </c>
      <c r="I41" s="6" t="s">
        <v>726</v>
      </c>
      <c r="J41" s="6" t="s">
        <v>727</v>
      </c>
      <c r="K41" s="6" t="n">
        <v>1</v>
      </c>
      <c r="L41" s="6"/>
      <c r="M41" s="6" t="s">
        <v>86</v>
      </c>
      <c r="N41" s="6" t="s">
        <v>87</v>
      </c>
      <c r="O41" s="6" t="s">
        <v>86</v>
      </c>
      <c r="P41" s="6"/>
      <c r="Q41" s="6"/>
      <c r="R41" s="6"/>
      <c r="S41" s="6"/>
      <c r="T41" s="6"/>
    </row>
    <row r="42" customFormat="false" ht="23.85" hidden="false" customHeight="false" outlineLevel="0" collapsed="false">
      <c r="A42" s="6" t="n">
        <v>41</v>
      </c>
      <c r="B42" s="6" t="s">
        <v>10</v>
      </c>
      <c r="C42" s="7" t="n">
        <v>0.524305555555556</v>
      </c>
      <c r="D42" s="7"/>
      <c r="E42" s="6" t="s">
        <v>23</v>
      </c>
      <c r="F42" s="6" t="s">
        <v>67</v>
      </c>
      <c r="G42" s="6" t="s">
        <v>728</v>
      </c>
      <c r="H42" s="6" t="s">
        <v>729</v>
      </c>
      <c r="I42" s="6" t="s">
        <v>730</v>
      </c>
      <c r="J42" s="6" t="s">
        <v>731</v>
      </c>
      <c r="K42" s="6" t="n">
        <v>2</v>
      </c>
      <c r="L42" s="6"/>
      <c r="M42" s="6" t="s">
        <v>732</v>
      </c>
      <c r="N42" s="6" t="s">
        <v>87</v>
      </c>
      <c r="O42" s="6" t="s">
        <v>733</v>
      </c>
      <c r="P42" s="6"/>
      <c r="Q42" s="6"/>
      <c r="R42" s="6"/>
      <c r="S42" s="6"/>
      <c r="T42" s="6"/>
    </row>
    <row r="43" customFormat="false" ht="23.85" hidden="false" customHeight="false" outlineLevel="0" collapsed="false">
      <c r="A43" s="6" t="n">
        <v>42</v>
      </c>
      <c r="B43" s="6" t="s">
        <v>10</v>
      </c>
      <c r="C43" s="7" t="n">
        <v>0.524305555555556</v>
      </c>
      <c r="D43" s="7"/>
      <c r="E43" s="6" t="s">
        <v>16</v>
      </c>
      <c r="F43" s="6" t="s">
        <v>81</v>
      </c>
      <c r="G43" s="6" t="s">
        <v>734</v>
      </c>
      <c r="H43" s="6" t="s">
        <v>735</v>
      </c>
      <c r="I43" s="6" t="s">
        <v>736</v>
      </c>
      <c r="J43" s="6" t="s">
        <v>737</v>
      </c>
      <c r="K43" s="6" t="n">
        <v>2</v>
      </c>
      <c r="L43" s="6"/>
      <c r="M43" s="6" t="s">
        <v>92</v>
      </c>
      <c r="N43" s="6" t="s">
        <v>65</v>
      </c>
      <c r="O43" s="6" t="s">
        <v>92</v>
      </c>
      <c r="P43" s="6"/>
      <c r="Q43" s="6"/>
      <c r="R43" s="6"/>
      <c r="S43" s="6"/>
      <c r="T43" s="6"/>
    </row>
    <row r="44" customFormat="false" ht="35.05" hidden="false" customHeight="false" outlineLevel="0" collapsed="false">
      <c r="A44" s="6" t="n">
        <v>43</v>
      </c>
      <c r="B44" s="6" t="s">
        <v>10</v>
      </c>
      <c r="C44" s="7" t="n">
        <v>0.524305555555556</v>
      </c>
      <c r="D44" s="7"/>
      <c r="E44" s="6" t="s">
        <v>15</v>
      </c>
      <c r="F44" s="6" t="s">
        <v>81</v>
      </c>
      <c r="G44" s="6" t="s">
        <v>738</v>
      </c>
      <c r="H44" s="6" t="s">
        <v>739</v>
      </c>
      <c r="I44" s="6" t="s">
        <v>740</v>
      </c>
      <c r="J44" s="6" t="s">
        <v>741</v>
      </c>
      <c r="K44" s="6" t="n">
        <v>1</v>
      </c>
      <c r="L44" s="6"/>
      <c r="M44" s="6" t="s">
        <v>64</v>
      </c>
      <c r="N44" s="6" t="s">
        <v>65</v>
      </c>
      <c r="O44" s="6" t="s">
        <v>64</v>
      </c>
      <c r="P44" s="6"/>
      <c r="Q44" s="6"/>
      <c r="R44" s="6"/>
      <c r="S44" s="6"/>
      <c r="T44" s="6"/>
    </row>
    <row r="45" customFormat="false" ht="35.05" hidden="false" customHeight="false" outlineLevel="0" collapsed="false">
      <c r="A45" s="6" t="n">
        <v>44</v>
      </c>
      <c r="B45" s="6" t="s">
        <v>10</v>
      </c>
      <c r="C45" s="7" t="n">
        <v>0.524305555555556</v>
      </c>
      <c r="D45" s="7"/>
      <c r="E45" s="6" t="s">
        <v>17</v>
      </c>
      <c r="F45" s="6" t="s">
        <v>81</v>
      </c>
      <c r="G45" s="6" t="s">
        <v>742</v>
      </c>
      <c r="H45" s="6" t="s">
        <v>743</v>
      </c>
      <c r="I45" s="6" t="s">
        <v>744</v>
      </c>
      <c r="J45" s="6" t="s">
        <v>745</v>
      </c>
      <c r="K45" s="6" t="n">
        <v>1</v>
      </c>
      <c r="L45" s="6"/>
      <c r="M45" s="6" t="s">
        <v>80</v>
      </c>
      <c r="N45" s="6" t="s">
        <v>65</v>
      </c>
      <c r="O45" s="6" t="s">
        <v>80</v>
      </c>
      <c r="P45" s="6"/>
      <c r="Q45" s="6"/>
      <c r="R45" s="6"/>
      <c r="S45" s="6"/>
      <c r="T45" s="6"/>
    </row>
    <row r="46" customFormat="false" ht="23.85" hidden="false" customHeight="false" outlineLevel="0" collapsed="false">
      <c r="A46" s="6" t="n">
        <v>45</v>
      </c>
      <c r="B46" s="6" t="s">
        <v>10</v>
      </c>
      <c r="C46" s="7" t="n">
        <v>0.524305555555556</v>
      </c>
      <c r="D46" s="7"/>
      <c r="E46" s="6" t="s">
        <v>33</v>
      </c>
      <c r="F46" s="6" t="s">
        <v>67</v>
      </c>
      <c r="G46" s="6" t="s">
        <v>746</v>
      </c>
      <c r="H46" s="6" t="s">
        <v>747</v>
      </c>
      <c r="I46" s="6" t="s">
        <v>748</v>
      </c>
      <c r="J46" s="6" t="s">
        <v>749</v>
      </c>
      <c r="K46" s="6" t="n">
        <v>2</v>
      </c>
      <c r="L46" s="6"/>
      <c r="M46" s="6" t="s">
        <v>103</v>
      </c>
      <c r="N46" s="6" t="s">
        <v>87</v>
      </c>
      <c r="O46" s="6" t="s">
        <v>103</v>
      </c>
      <c r="P46" s="6"/>
      <c r="Q46" s="6"/>
      <c r="R46" s="6"/>
      <c r="S46" s="6"/>
      <c r="T46" s="6"/>
    </row>
    <row r="47" customFormat="false" ht="23.85" hidden="false" customHeight="false" outlineLevel="0" collapsed="false">
      <c r="A47" s="6" t="n">
        <v>46</v>
      </c>
      <c r="B47" s="6" t="s">
        <v>10</v>
      </c>
      <c r="C47" s="7" t="n">
        <v>0.524305555555556</v>
      </c>
      <c r="D47" s="7"/>
      <c r="E47" s="6" t="s">
        <v>32</v>
      </c>
      <c r="F47" s="6" t="s">
        <v>81</v>
      </c>
      <c r="G47" s="6" t="s">
        <v>750</v>
      </c>
      <c r="H47" s="6" t="s">
        <v>751</v>
      </c>
      <c r="I47" s="6" t="s">
        <v>752</v>
      </c>
      <c r="J47" s="6" t="s">
        <v>388</v>
      </c>
      <c r="K47" s="6" t="n">
        <v>1</v>
      </c>
      <c r="L47" s="6"/>
      <c r="M47" s="6" t="s">
        <v>108</v>
      </c>
      <c r="N47" s="6" t="s">
        <v>87</v>
      </c>
      <c r="O47" s="6" t="s">
        <v>109</v>
      </c>
      <c r="P47" s="6"/>
      <c r="Q47" s="6"/>
      <c r="R47" s="6"/>
      <c r="S47" s="6"/>
      <c r="T47" s="6"/>
    </row>
    <row r="48" customFormat="false" ht="23.85" hidden="false" customHeight="false" outlineLevel="0" collapsed="false">
      <c r="A48" s="6" t="n">
        <v>47</v>
      </c>
      <c r="B48" s="6" t="s">
        <v>10</v>
      </c>
      <c r="C48" s="7" t="n">
        <v>0.527777777777778</v>
      </c>
      <c r="D48" s="7"/>
      <c r="E48" s="6" t="s">
        <v>14</v>
      </c>
      <c r="F48" s="6" t="s">
        <v>594</v>
      </c>
      <c r="G48" s="6" t="s">
        <v>753</v>
      </c>
      <c r="H48" s="6" t="s">
        <v>754</v>
      </c>
      <c r="I48" s="6" t="s">
        <v>755</v>
      </c>
      <c r="J48" s="6" t="s">
        <v>756</v>
      </c>
      <c r="K48" s="6" t="n">
        <v>2</v>
      </c>
      <c r="L48" s="6"/>
      <c r="M48" s="6" t="s">
        <v>588</v>
      </c>
      <c r="N48" s="6" t="s">
        <v>87</v>
      </c>
      <c r="O48" s="6" t="s">
        <v>588</v>
      </c>
      <c r="P48" s="6"/>
      <c r="Q48" s="6"/>
      <c r="R48" s="6"/>
      <c r="S48" s="6"/>
      <c r="T48" s="6"/>
    </row>
    <row r="49" customFormat="false" ht="23.85" hidden="false" customHeight="false" outlineLevel="0" collapsed="false">
      <c r="A49" s="6" t="n">
        <v>48</v>
      </c>
      <c r="B49" s="6" t="s">
        <v>10</v>
      </c>
      <c r="C49" s="7" t="n">
        <v>0.527777777777778</v>
      </c>
      <c r="D49" s="7"/>
      <c r="E49" s="6" t="s">
        <v>36</v>
      </c>
      <c r="F49" s="6" t="s">
        <v>156</v>
      </c>
      <c r="G49" s="6" t="s">
        <v>757</v>
      </c>
      <c r="H49" s="6" t="s">
        <v>758</v>
      </c>
      <c r="I49" s="6" t="s">
        <v>759</v>
      </c>
      <c r="J49" s="6" t="s">
        <v>760</v>
      </c>
      <c r="K49" s="6" t="n">
        <v>1</v>
      </c>
      <c r="L49" s="6"/>
      <c r="M49" s="6" t="s">
        <v>36</v>
      </c>
      <c r="N49" s="6"/>
      <c r="O49" s="6" t="s">
        <v>36</v>
      </c>
      <c r="P49" s="6"/>
      <c r="Q49" s="6"/>
      <c r="R49" s="6"/>
      <c r="S49" s="6"/>
      <c r="T49" s="6"/>
    </row>
    <row r="50" customFormat="false" ht="23.85" hidden="false" customHeight="false" outlineLevel="0" collapsed="false">
      <c r="A50" s="6" t="n">
        <v>49</v>
      </c>
      <c r="B50" s="6" t="s">
        <v>10</v>
      </c>
      <c r="C50" s="7" t="n">
        <v>0.53125</v>
      </c>
      <c r="D50" s="7"/>
      <c r="E50" s="6" t="s">
        <v>37</v>
      </c>
      <c r="F50" s="6" t="s">
        <v>81</v>
      </c>
      <c r="G50" s="6" t="s">
        <v>761</v>
      </c>
      <c r="H50" s="6" t="s">
        <v>762</v>
      </c>
      <c r="I50" s="6" t="s">
        <v>763</v>
      </c>
      <c r="J50" s="6" t="s">
        <v>764</v>
      </c>
      <c r="K50" s="6" t="n">
        <v>1</v>
      </c>
      <c r="L50" s="6"/>
      <c r="M50" s="6" t="s">
        <v>97</v>
      </c>
      <c r="N50" s="6" t="s">
        <v>65</v>
      </c>
      <c r="O50" s="6" t="s">
        <v>97</v>
      </c>
      <c r="P50" s="6"/>
      <c r="Q50" s="6"/>
      <c r="R50" s="6"/>
      <c r="S50" s="6"/>
      <c r="T50" s="6"/>
    </row>
    <row r="51" customFormat="false" ht="23.85" hidden="false" customHeight="false" outlineLevel="0" collapsed="false">
      <c r="A51" s="6" t="n">
        <v>50</v>
      </c>
      <c r="B51" s="6" t="s">
        <v>10</v>
      </c>
      <c r="C51" s="7" t="n">
        <v>0.534722222222222</v>
      </c>
      <c r="D51" s="7"/>
      <c r="E51" s="6" t="s">
        <v>13</v>
      </c>
      <c r="F51" s="6" t="s">
        <v>215</v>
      </c>
      <c r="G51" s="6" t="s">
        <v>765</v>
      </c>
      <c r="H51" s="6" t="s">
        <v>766</v>
      </c>
      <c r="I51" s="6" t="s">
        <v>767</v>
      </c>
      <c r="J51" s="6" t="s">
        <v>768</v>
      </c>
      <c r="K51" s="6" t="n">
        <v>1</v>
      </c>
      <c r="L51" s="6"/>
      <c r="M51" s="6" t="s">
        <v>114</v>
      </c>
      <c r="N51" s="6" t="s">
        <v>65</v>
      </c>
      <c r="O51" s="6" t="s">
        <v>114</v>
      </c>
      <c r="P51" s="6"/>
      <c r="Q51" s="6"/>
      <c r="R51" s="6"/>
      <c r="S51" s="6"/>
      <c r="T51" s="6"/>
    </row>
    <row r="52" customFormat="false" ht="35.05" hidden="false" customHeight="false" outlineLevel="0" collapsed="false">
      <c r="A52" s="6" t="n">
        <v>51</v>
      </c>
      <c r="B52" s="6" t="s">
        <v>10</v>
      </c>
      <c r="C52" s="7" t="n">
        <v>0.534722222222222</v>
      </c>
      <c r="D52" s="7"/>
      <c r="E52" s="6" t="s">
        <v>21</v>
      </c>
      <c r="F52" s="6" t="s">
        <v>81</v>
      </c>
      <c r="G52" s="6" t="s">
        <v>769</v>
      </c>
      <c r="H52" s="6" t="s">
        <v>770</v>
      </c>
      <c r="I52" s="6" t="s">
        <v>771</v>
      </c>
      <c r="J52" s="6" t="s">
        <v>772</v>
      </c>
      <c r="K52" s="6" t="n">
        <v>2</v>
      </c>
      <c r="L52" s="6"/>
      <c r="M52" s="6" t="s">
        <v>119</v>
      </c>
      <c r="N52" s="6" t="s">
        <v>87</v>
      </c>
      <c r="O52" s="6" t="s">
        <v>773</v>
      </c>
      <c r="P52" s="6"/>
      <c r="Q52" s="6"/>
      <c r="R52" s="6"/>
      <c r="S52" s="6"/>
      <c r="T52" s="6"/>
    </row>
    <row r="53" customFormat="false" ht="23.85" hidden="false" customHeight="false" outlineLevel="0" collapsed="false">
      <c r="A53" s="6" t="n">
        <v>52</v>
      </c>
      <c r="B53" s="6" t="s">
        <v>10</v>
      </c>
      <c r="C53" s="7" t="n">
        <v>0.534722222222222</v>
      </c>
      <c r="D53" s="7"/>
      <c r="E53" s="6" t="s">
        <v>14</v>
      </c>
      <c r="F53" s="6" t="s">
        <v>81</v>
      </c>
      <c r="G53" s="6" t="s">
        <v>774</v>
      </c>
      <c r="H53" s="6" t="s">
        <v>775</v>
      </c>
      <c r="I53" s="6" t="s">
        <v>776</v>
      </c>
      <c r="J53" s="6" t="s">
        <v>777</v>
      </c>
      <c r="K53" s="6" t="n">
        <v>2</v>
      </c>
      <c r="L53" s="6"/>
      <c r="M53" s="6" t="s">
        <v>588</v>
      </c>
      <c r="N53" s="6" t="s">
        <v>87</v>
      </c>
      <c r="O53" s="6" t="s">
        <v>588</v>
      </c>
      <c r="P53" s="6"/>
      <c r="Q53" s="6"/>
      <c r="R53" s="6"/>
      <c r="S53" s="6"/>
      <c r="T53" s="6"/>
    </row>
    <row r="54" customFormat="false" ht="23.85" hidden="false" customHeight="false" outlineLevel="0" collapsed="false">
      <c r="A54" s="6" t="n">
        <v>53</v>
      </c>
      <c r="B54" s="6" t="s">
        <v>10</v>
      </c>
      <c r="C54" s="7" t="n">
        <v>0.534722222222222</v>
      </c>
      <c r="D54" s="7"/>
      <c r="E54" s="6" t="s">
        <v>23</v>
      </c>
      <c r="F54" s="6" t="s">
        <v>81</v>
      </c>
      <c r="G54" s="6" t="s">
        <v>778</v>
      </c>
      <c r="H54" s="6" t="s">
        <v>779</v>
      </c>
      <c r="I54" s="6" t="s">
        <v>780</v>
      </c>
      <c r="J54" s="6" t="s">
        <v>781</v>
      </c>
      <c r="K54" s="6" t="n">
        <v>2</v>
      </c>
      <c r="L54" s="6"/>
      <c r="M54" s="6" t="s">
        <v>732</v>
      </c>
      <c r="N54" s="6" t="s">
        <v>87</v>
      </c>
      <c r="O54" s="6" t="s">
        <v>733</v>
      </c>
      <c r="P54" s="6" t="s">
        <v>782</v>
      </c>
      <c r="Q54" s="6"/>
      <c r="R54" s="6"/>
      <c r="S54" s="6"/>
      <c r="T54" s="6"/>
    </row>
    <row r="55" customFormat="false" ht="23.85" hidden="false" customHeight="false" outlineLevel="0" collapsed="false">
      <c r="A55" s="6" t="n">
        <v>54</v>
      </c>
      <c r="B55" s="6" t="s">
        <v>10</v>
      </c>
      <c r="C55" s="7" t="n">
        <v>0.534722222222222</v>
      </c>
      <c r="D55" s="7"/>
      <c r="E55" s="6" t="s">
        <v>33</v>
      </c>
      <c r="F55" s="6" t="s">
        <v>81</v>
      </c>
      <c r="G55" s="6" t="s">
        <v>783</v>
      </c>
      <c r="H55" s="6" t="s">
        <v>784</v>
      </c>
      <c r="I55" s="6" t="s">
        <v>785</v>
      </c>
      <c r="J55" s="6" t="s">
        <v>786</v>
      </c>
      <c r="K55" s="6" t="n">
        <v>1</v>
      </c>
      <c r="L55" s="6"/>
      <c r="M55" s="6" t="s">
        <v>103</v>
      </c>
      <c r="N55" s="6" t="s">
        <v>87</v>
      </c>
      <c r="O55" s="6" t="s">
        <v>103</v>
      </c>
      <c r="P55" s="6"/>
      <c r="Q55" s="6"/>
      <c r="R55" s="6"/>
      <c r="S55" s="6"/>
      <c r="T55" s="6"/>
    </row>
    <row r="56" customFormat="false" ht="23.85" hidden="false" customHeight="false" outlineLevel="0" collapsed="false">
      <c r="A56" s="6" t="n">
        <v>55</v>
      </c>
      <c r="B56" s="6" t="s">
        <v>10</v>
      </c>
      <c r="C56" s="7" t="n">
        <v>0.534722222222222</v>
      </c>
      <c r="D56" s="7"/>
      <c r="E56" s="6" t="s">
        <v>16</v>
      </c>
      <c r="F56" s="6" t="s">
        <v>215</v>
      </c>
      <c r="G56" s="6" t="s">
        <v>787</v>
      </c>
      <c r="H56" s="6" t="s">
        <v>788</v>
      </c>
      <c r="I56" s="6" t="s">
        <v>789</v>
      </c>
      <c r="J56" s="6" t="s">
        <v>790</v>
      </c>
      <c r="K56" s="6" t="n">
        <v>1</v>
      </c>
      <c r="L56" s="6"/>
      <c r="M56" s="6" t="s">
        <v>92</v>
      </c>
      <c r="N56" s="6" t="s">
        <v>65</v>
      </c>
      <c r="O56" s="6" t="s">
        <v>92</v>
      </c>
      <c r="P56" s="6"/>
      <c r="Q56" s="6"/>
      <c r="R56" s="6"/>
      <c r="S56" s="6"/>
      <c r="T56" s="6"/>
    </row>
    <row r="57" customFormat="false" ht="79.85" hidden="false" customHeight="false" outlineLevel="0" collapsed="false">
      <c r="A57" s="6" t="n">
        <v>56</v>
      </c>
      <c r="B57" s="6" t="s">
        <v>10</v>
      </c>
      <c r="C57" s="7" t="n">
        <v>0.534722222222222</v>
      </c>
      <c r="D57" s="7"/>
      <c r="E57" s="6" t="s">
        <v>29</v>
      </c>
      <c r="F57" s="6" t="s">
        <v>134</v>
      </c>
      <c r="G57" s="6" t="s">
        <v>791</v>
      </c>
      <c r="H57" s="6" t="s">
        <v>792</v>
      </c>
      <c r="I57" s="6" t="s">
        <v>793</v>
      </c>
      <c r="J57" s="6" t="s">
        <v>794</v>
      </c>
      <c r="K57" s="6" t="n">
        <v>3</v>
      </c>
      <c r="L57" s="6" t="n">
        <v>4</v>
      </c>
      <c r="M57" s="6" t="s">
        <v>255</v>
      </c>
      <c r="N57" s="6" t="s">
        <v>87</v>
      </c>
      <c r="O57" s="6" t="s">
        <v>795</v>
      </c>
      <c r="P57" s="6" t="s">
        <v>796</v>
      </c>
      <c r="Q57" s="6"/>
      <c r="R57" s="6"/>
      <c r="S57" s="6"/>
      <c r="T57" s="6"/>
    </row>
    <row r="58" customFormat="false" ht="124.6" hidden="false" customHeight="false" outlineLevel="0" collapsed="false">
      <c r="A58" s="6" t="n">
        <v>57</v>
      </c>
      <c r="B58" s="6" t="s">
        <v>10</v>
      </c>
      <c r="C58" s="7" t="n">
        <v>0.534722222222222</v>
      </c>
      <c r="D58" s="7"/>
      <c r="E58" s="6" t="s">
        <v>17</v>
      </c>
      <c r="F58" s="6" t="s">
        <v>134</v>
      </c>
      <c r="G58" s="6" t="s">
        <v>797</v>
      </c>
      <c r="H58" s="6" t="s">
        <v>798</v>
      </c>
      <c r="I58" s="6" t="s">
        <v>799</v>
      </c>
      <c r="J58" s="6" t="s">
        <v>800</v>
      </c>
      <c r="K58" s="6" t="n">
        <v>3</v>
      </c>
      <c r="L58" s="6" t="n">
        <v>3</v>
      </c>
      <c r="M58" s="6" t="s">
        <v>80</v>
      </c>
      <c r="N58" s="6" t="s">
        <v>65</v>
      </c>
      <c r="O58" s="6" t="s">
        <v>80</v>
      </c>
      <c r="P58" s="6" t="s">
        <v>801</v>
      </c>
      <c r="Q58" s="6"/>
      <c r="R58" s="6"/>
      <c r="S58" s="6"/>
      <c r="T58" s="6"/>
    </row>
    <row r="59" customFormat="false" ht="15" hidden="false" customHeight="false" outlineLevel="0" collapsed="false">
      <c r="A59" s="6" t="n">
        <v>58</v>
      </c>
      <c r="B59" s="6" t="s">
        <v>10</v>
      </c>
      <c r="C59" s="7" t="n">
        <v>0.534722222222222</v>
      </c>
      <c r="D59" s="7"/>
      <c r="E59" s="6" t="s">
        <v>32</v>
      </c>
      <c r="F59" s="6" t="s">
        <v>81</v>
      </c>
      <c r="G59" s="6" t="s">
        <v>802</v>
      </c>
      <c r="H59" s="6" t="s">
        <v>803</v>
      </c>
      <c r="I59" s="6" t="s">
        <v>804</v>
      </c>
      <c r="J59" s="6" t="s">
        <v>805</v>
      </c>
      <c r="K59" s="6" t="n">
        <v>1</v>
      </c>
      <c r="L59" s="6"/>
      <c r="M59" s="6" t="s">
        <v>108</v>
      </c>
      <c r="N59" s="6" t="s">
        <v>87</v>
      </c>
      <c r="O59" s="6" t="s">
        <v>109</v>
      </c>
      <c r="P59" s="6"/>
      <c r="Q59" s="6"/>
      <c r="R59" s="6"/>
      <c r="S59" s="6"/>
      <c r="T59" s="6"/>
    </row>
    <row r="60" customFormat="false" ht="158.2" hidden="false" customHeight="false" outlineLevel="0" collapsed="false">
      <c r="A60" s="6" t="n">
        <v>59</v>
      </c>
      <c r="B60" s="6" t="s">
        <v>10</v>
      </c>
      <c r="C60" s="7" t="n">
        <v>0.534722222222222</v>
      </c>
      <c r="D60" s="7"/>
      <c r="E60" s="6" t="s">
        <v>15</v>
      </c>
      <c r="F60" s="6" t="s">
        <v>81</v>
      </c>
      <c r="G60" s="6" t="s">
        <v>806</v>
      </c>
      <c r="H60" s="6" t="s">
        <v>807</v>
      </c>
      <c r="I60" s="6" t="s">
        <v>808</v>
      </c>
      <c r="J60" s="6" t="s">
        <v>809</v>
      </c>
      <c r="K60" s="6" t="n">
        <v>2</v>
      </c>
      <c r="L60" s="6"/>
      <c r="M60" s="6" t="s">
        <v>64</v>
      </c>
      <c r="N60" s="6" t="s">
        <v>65</v>
      </c>
      <c r="O60" s="6" t="s">
        <v>64</v>
      </c>
      <c r="P60" s="6" t="s">
        <v>810</v>
      </c>
      <c r="Q60" s="6"/>
      <c r="R60" s="6"/>
      <c r="S60" s="6"/>
      <c r="T60" s="6"/>
    </row>
    <row r="61" customFormat="false" ht="23.85" hidden="false" customHeight="false" outlineLevel="0" collapsed="false">
      <c r="A61" s="6" t="n">
        <v>60</v>
      </c>
      <c r="B61" s="6" t="s">
        <v>10</v>
      </c>
      <c r="C61" s="7" t="n">
        <v>0.534722222222222</v>
      </c>
      <c r="D61" s="7"/>
      <c r="E61" s="6" t="s">
        <v>36</v>
      </c>
      <c r="F61" s="6" t="s">
        <v>156</v>
      </c>
      <c r="G61" s="6" t="s">
        <v>811</v>
      </c>
      <c r="H61" s="6" t="s">
        <v>812</v>
      </c>
      <c r="I61" s="6" t="s">
        <v>813</v>
      </c>
      <c r="J61" s="6" t="s">
        <v>814</v>
      </c>
      <c r="K61" s="6" t="n">
        <v>1</v>
      </c>
      <c r="L61" s="6"/>
      <c r="M61" s="6" t="s">
        <v>36</v>
      </c>
      <c r="N61" s="6"/>
      <c r="O61" s="6" t="s">
        <v>36</v>
      </c>
      <c r="P61" s="6"/>
      <c r="Q61" s="6"/>
      <c r="R61" s="6"/>
      <c r="S61" s="6"/>
      <c r="T61" s="6"/>
    </row>
    <row r="62" customFormat="false" ht="23.85" hidden="false" customHeight="false" outlineLevel="0" collapsed="false">
      <c r="A62" s="6" t="n">
        <v>61</v>
      </c>
      <c r="B62" s="6" t="s">
        <v>10</v>
      </c>
      <c r="C62" s="7" t="n">
        <v>0.534722222222222</v>
      </c>
      <c r="D62" s="7"/>
      <c r="E62" s="6" t="s">
        <v>27</v>
      </c>
      <c r="F62" s="6" t="s">
        <v>81</v>
      </c>
      <c r="G62" s="6" t="s">
        <v>815</v>
      </c>
      <c r="H62" s="6" t="s">
        <v>816</v>
      </c>
      <c r="I62" s="6" t="s">
        <v>817</v>
      </c>
      <c r="J62" s="6" t="s">
        <v>818</v>
      </c>
      <c r="K62" s="6" t="n">
        <v>1</v>
      </c>
      <c r="L62" s="6"/>
      <c r="M62" s="6" t="s">
        <v>86</v>
      </c>
      <c r="N62" s="6" t="s">
        <v>87</v>
      </c>
      <c r="O62" s="6" t="s">
        <v>86</v>
      </c>
      <c r="P62" s="6"/>
      <c r="Q62" s="6"/>
      <c r="R62" s="6"/>
      <c r="S62" s="6"/>
      <c r="T62" s="6"/>
    </row>
    <row r="63" customFormat="false" ht="23.85" hidden="false" customHeight="false" outlineLevel="0" collapsed="false">
      <c r="A63" s="6" t="n">
        <v>62</v>
      </c>
      <c r="B63" s="6" t="s">
        <v>10</v>
      </c>
      <c r="C63" s="7" t="n">
        <v>0.541666666666667</v>
      </c>
      <c r="D63" s="7"/>
      <c r="E63" s="6" t="s">
        <v>37</v>
      </c>
      <c r="F63" s="6" t="s">
        <v>67</v>
      </c>
      <c r="G63" s="6" t="s">
        <v>819</v>
      </c>
      <c r="H63" s="6" t="s">
        <v>820</v>
      </c>
      <c r="I63" s="6" t="s">
        <v>821</v>
      </c>
      <c r="J63" s="6" t="s">
        <v>822</v>
      </c>
      <c r="K63" s="6" t="n">
        <v>2</v>
      </c>
      <c r="L63" s="6"/>
      <c r="M63" s="6" t="s">
        <v>97</v>
      </c>
      <c r="N63" s="6" t="s">
        <v>65</v>
      </c>
      <c r="O63" s="6" t="s">
        <v>97</v>
      </c>
      <c r="P63" s="6"/>
      <c r="Q63" s="6"/>
      <c r="R63" s="6"/>
      <c r="S63" s="6"/>
      <c r="T63" s="6"/>
    </row>
    <row r="64" customFormat="false" ht="23.85" hidden="false" customHeight="false" outlineLevel="0" collapsed="false">
      <c r="A64" s="6" t="n">
        <v>63</v>
      </c>
      <c r="B64" s="6" t="s">
        <v>10</v>
      </c>
      <c r="C64" s="7" t="n">
        <v>0.541666666666667</v>
      </c>
      <c r="D64" s="7"/>
      <c r="E64" s="6" t="s">
        <v>36</v>
      </c>
      <c r="F64" s="6" t="s">
        <v>156</v>
      </c>
      <c r="G64" s="6" t="s">
        <v>823</v>
      </c>
      <c r="H64" s="6" t="s">
        <v>824</v>
      </c>
      <c r="I64" s="6" t="s">
        <v>825</v>
      </c>
      <c r="J64" s="6" t="s">
        <v>826</v>
      </c>
      <c r="K64" s="6" t="n">
        <v>1</v>
      </c>
      <c r="L64" s="6"/>
      <c r="M64" s="6" t="s">
        <v>36</v>
      </c>
      <c r="N64" s="6"/>
      <c r="O64" s="6" t="s">
        <v>36</v>
      </c>
      <c r="P64" s="6"/>
      <c r="Q64" s="6"/>
      <c r="R64" s="6"/>
      <c r="S64" s="6"/>
      <c r="T64" s="6"/>
    </row>
    <row r="65" customFormat="false" ht="23.85" hidden="false" customHeight="false" outlineLevel="0" collapsed="false">
      <c r="A65" s="6" t="n">
        <v>64</v>
      </c>
      <c r="B65" s="6" t="s">
        <v>10</v>
      </c>
      <c r="C65" s="7" t="n">
        <v>0.545138888888889</v>
      </c>
      <c r="D65" s="7"/>
      <c r="E65" s="6" t="s">
        <v>13</v>
      </c>
      <c r="F65" s="6" t="s">
        <v>81</v>
      </c>
      <c r="G65" s="6" t="s">
        <v>827</v>
      </c>
      <c r="H65" s="6" t="s">
        <v>828</v>
      </c>
      <c r="I65" s="6" t="s">
        <v>829</v>
      </c>
      <c r="J65" s="6" t="s">
        <v>830</v>
      </c>
      <c r="K65" s="6" t="n">
        <v>1</v>
      </c>
      <c r="L65" s="6"/>
      <c r="M65" s="6" t="s">
        <v>114</v>
      </c>
      <c r="N65" s="6" t="s">
        <v>65</v>
      </c>
      <c r="O65" s="6" t="s">
        <v>713</v>
      </c>
      <c r="P65" s="6"/>
      <c r="Q65" s="6"/>
      <c r="R65" s="6"/>
      <c r="S65" s="6"/>
      <c r="T65" s="6"/>
    </row>
    <row r="66" customFormat="false" ht="57.45" hidden="false" customHeight="false" outlineLevel="0" collapsed="false">
      <c r="A66" s="6" t="n">
        <v>65</v>
      </c>
      <c r="B66" s="6" t="s">
        <v>10</v>
      </c>
      <c r="C66" s="7" t="n">
        <v>0.545138888888889</v>
      </c>
      <c r="D66" s="7"/>
      <c r="E66" s="6" t="s">
        <v>27</v>
      </c>
      <c r="F66" s="6" t="s">
        <v>134</v>
      </c>
      <c r="G66" s="6" t="s">
        <v>831</v>
      </c>
      <c r="H66" s="6" t="s">
        <v>832</v>
      </c>
      <c r="I66" s="6" t="s">
        <v>833</v>
      </c>
      <c r="J66" s="6" t="s">
        <v>834</v>
      </c>
      <c r="K66" s="6" t="n">
        <v>3</v>
      </c>
      <c r="L66" s="6" t="n">
        <v>2</v>
      </c>
      <c r="M66" s="6" t="s">
        <v>86</v>
      </c>
      <c r="N66" s="6" t="s">
        <v>87</v>
      </c>
      <c r="O66" s="6" t="s">
        <v>86</v>
      </c>
      <c r="P66" s="6" t="s">
        <v>835</v>
      </c>
      <c r="Q66" s="6"/>
      <c r="R66" s="6"/>
      <c r="S66" s="6"/>
      <c r="T66" s="6"/>
    </row>
    <row r="67" customFormat="false" ht="23.85" hidden="false" customHeight="false" outlineLevel="0" collapsed="false">
      <c r="A67" s="6" t="n">
        <v>66</v>
      </c>
      <c r="B67" s="6" t="s">
        <v>10</v>
      </c>
      <c r="C67" s="7" t="n">
        <v>0.545138888888889</v>
      </c>
      <c r="D67" s="7"/>
      <c r="E67" s="6" t="s">
        <v>14</v>
      </c>
      <c r="F67" s="6" t="s">
        <v>594</v>
      </c>
      <c r="G67" s="6" t="s">
        <v>836</v>
      </c>
      <c r="H67" s="6" t="s">
        <v>837</v>
      </c>
      <c r="I67" s="6" t="s">
        <v>838</v>
      </c>
      <c r="J67" s="6" t="s">
        <v>839</v>
      </c>
      <c r="K67" s="6" t="n">
        <v>2</v>
      </c>
      <c r="L67" s="6"/>
      <c r="M67" s="6" t="s">
        <v>588</v>
      </c>
      <c r="N67" s="6" t="s">
        <v>87</v>
      </c>
      <c r="O67" s="6" t="s">
        <v>588</v>
      </c>
      <c r="P67" s="6"/>
      <c r="Q67" s="6"/>
      <c r="R67" s="6"/>
      <c r="S67" s="6"/>
      <c r="T67" s="6"/>
    </row>
    <row r="68" customFormat="false" ht="102.2" hidden="false" customHeight="false" outlineLevel="0" collapsed="false">
      <c r="A68" s="6" t="n">
        <v>67</v>
      </c>
      <c r="B68" s="6" t="s">
        <v>10</v>
      </c>
      <c r="C68" s="7" t="n">
        <v>0.545138888888889</v>
      </c>
      <c r="D68" s="7"/>
      <c r="E68" s="6" t="s">
        <v>15</v>
      </c>
      <c r="F68" s="6" t="s">
        <v>134</v>
      </c>
      <c r="G68" s="6" t="s">
        <v>840</v>
      </c>
      <c r="H68" s="6" t="s">
        <v>841</v>
      </c>
      <c r="I68" s="6" t="s">
        <v>842</v>
      </c>
      <c r="J68" s="6" t="s">
        <v>843</v>
      </c>
      <c r="K68" s="6" t="n">
        <v>3</v>
      </c>
      <c r="L68" s="6" t="n">
        <v>2</v>
      </c>
      <c r="M68" s="6" t="s">
        <v>64</v>
      </c>
      <c r="N68" s="6" t="s">
        <v>65</v>
      </c>
      <c r="O68" s="6" t="s">
        <v>64</v>
      </c>
      <c r="P68" s="6" t="s">
        <v>844</v>
      </c>
      <c r="Q68" s="6"/>
      <c r="R68" s="6"/>
      <c r="S68" s="6"/>
      <c r="T68" s="6"/>
    </row>
    <row r="69" customFormat="false" ht="35.05" hidden="false" customHeight="false" outlineLevel="0" collapsed="false">
      <c r="A69" s="6" t="n">
        <v>68</v>
      </c>
      <c r="B69" s="6" t="s">
        <v>10</v>
      </c>
      <c r="C69" s="7" t="n">
        <v>0.545138888888889</v>
      </c>
      <c r="D69" s="7"/>
      <c r="E69" s="6" t="s">
        <v>32</v>
      </c>
      <c r="F69" s="6" t="s">
        <v>81</v>
      </c>
      <c r="G69" s="6" t="s">
        <v>845</v>
      </c>
      <c r="H69" s="6" t="s">
        <v>846</v>
      </c>
      <c r="I69" s="6" t="s">
        <v>847</v>
      </c>
      <c r="J69" s="6" t="s">
        <v>848</v>
      </c>
      <c r="K69" s="6" t="n">
        <v>2</v>
      </c>
      <c r="L69" s="6"/>
      <c r="M69" s="6" t="s">
        <v>108</v>
      </c>
      <c r="N69" s="6" t="s">
        <v>87</v>
      </c>
      <c r="O69" s="6" t="s">
        <v>109</v>
      </c>
      <c r="P69" s="6" t="s">
        <v>849</v>
      </c>
      <c r="Q69" s="6"/>
      <c r="R69" s="6"/>
      <c r="S69" s="6"/>
      <c r="T69" s="6"/>
    </row>
    <row r="70" customFormat="false" ht="79.85" hidden="false" customHeight="false" outlineLevel="0" collapsed="false">
      <c r="A70" s="6" t="n">
        <v>69</v>
      </c>
      <c r="B70" s="6" t="s">
        <v>10</v>
      </c>
      <c r="C70" s="7" t="n">
        <v>0.545138888888889</v>
      </c>
      <c r="D70" s="7"/>
      <c r="E70" s="6" t="s">
        <v>33</v>
      </c>
      <c r="F70" s="6" t="s">
        <v>215</v>
      </c>
      <c r="G70" s="6" t="s">
        <v>850</v>
      </c>
      <c r="H70" s="6" t="s">
        <v>851</v>
      </c>
      <c r="I70" s="6" t="s">
        <v>852</v>
      </c>
      <c r="J70" s="6" t="s">
        <v>853</v>
      </c>
      <c r="K70" s="6" t="n">
        <v>3</v>
      </c>
      <c r="L70" s="6" t="n">
        <v>2</v>
      </c>
      <c r="M70" s="6" t="s">
        <v>103</v>
      </c>
      <c r="N70" s="6" t="s">
        <v>87</v>
      </c>
      <c r="O70" s="6" t="s">
        <v>103</v>
      </c>
      <c r="P70" s="6" t="s">
        <v>854</v>
      </c>
      <c r="Q70" s="6"/>
      <c r="R70" s="6"/>
      <c r="S70" s="6"/>
      <c r="T70" s="6"/>
    </row>
    <row r="71" customFormat="false" ht="68.65" hidden="false" customHeight="false" outlineLevel="0" collapsed="false">
      <c r="A71" s="6" t="n">
        <v>70</v>
      </c>
      <c r="B71" s="6" t="s">
        <v>10</v>
      </c>
      <c r="C71" s="7" t="n">
        <v>0.545138888888889</v>
      </c>
      <c r="D71" s="7"/>
      <c r="E71" s="6" t="s">
        <v>23</v>
      </c>
      <c r="F71" s="6" t="s">
        <v>215</v>
      </c>
      <c r="G71" s="6" t="s">
        <v>855</v>
      </c>
      <c r="H71" s="6" t="s">
        <v>856</v>
      </c>
      <c r="I71" s="6" t="s">
        <v>857</v>
      </c>
      <c r="J71" s="6" t="s">
        <v>858</v>
      </c>
      <c r="K71" s="6" t="n">
        <v>1</v>
      </c>
      <c r="L71" s="6"/>
      <c r="M71" s="6" t="s">
        <v>732</v>
      </c>
      <c r="N71" s="6" t="s">
        <v>87</v>
      </c>
      <c r="O71" s="6" t="s">
        <v>733</v>
      </c>
      <c r="P71" s="6" t="s">
        <v>859</v>
      </c>
      <c r="Q71" s="6"/>
      <c r="R71" s="6"/>
      <c r="S71" s="6"/>
      <c r="T71" s="6"/>
    </row>
    <row r="72" customFormat="false" ht="15" hidden="false" customHeight="false" outlineLevel="0" collapsed="false">
      <c r="A72" s="6" t="n">
        <v>71</v>
      </c>
      <c r="B72" s="6" t="s">
        <v>10</v>
      </c>
      <c r="C72" s="7" t="n">
        <v>0.545138888888889</v>
      </c>
      <c r="D72" s="7"/>
      <c r="E72" s="6" t="s">
        <v>21</v>
      </c>
      <c r="F72" s="6" t="s">
        <v>81</v>
      </c>
      <c r="G72" s="6" t="s">
        <v>860</v>
      </c>
      <c r="H72" s="6" t="s">
        <v>861</v>
      </c>
      <c r="I72" s="6" t="s">
        <v>862</v>
      </c>
      <c r="J72" s="6" t="s">
        <v>863</v>
      </c>
      <c r="K72" s="6" t="n">
        <v>1</v>
      </c>
      <c r="L72" s="6"/>
      <c r="M72" s="6" t="s">
        <v>119</v>
      </c>
      <c r="N72" s="6" t="s">
        <v>87</v>
      </c>
      <c r="O72" s="6" t="s">
        <v>119</v>
      </c>
      <c r="P72" s="6" t="s">
        <v>864</v>
      </c>
      <c r="Q72" s="6"/>
      <c r="R72" s="6"/>
      <c r="S72" s="6"/>
      <c r="T72" s="6"/>
    </row>
    <row r="73" customFormat="false" ht="102.2" hidden="false" customHeight="false" outlineLevel="0" collapsed="false">
      <c r="A73" s="6" t="n">
        <v>72</v>
      </c>
      <c r="B73" s="6" t="s">
        <v>10</v>
      </c>
      <c r="C73" s="7" t="n">
        <v>0.545138888888889</v>
      </c>
      <c r="D73" s="7"/>
      <c r="E73" s="6" t="s">
        <v>16</v>
      </c>
      <c r="F73" s="6" t="s">
        <v>134</v>
      </c>
      <c r="G73" s="6" t="s">
        <v>865</v>
      </c>
      <c r="H73" s="6" t="s">
        <v>866</v>
      </c>
      <c r="I73" s="6" t="s">
        <v>867</v>
      </c>
      <c r="J73" s="6" t="s">
        <v>868</v>
      </c>
      <c r="K73" s="6" t="n">
        <v>3</v>
      </c>
      <c r="L73" s="6" t="n">
        <v>4</v>
      </c>
      <c r="M73" s="6" t="s">
        <v>92</v>
      </c>
      <c r="N73" s="6" t="s">
        <v>65</v>
      </c>
      <c r="O73" s="6" t="s">
        <v>92</v>
      </c>
      <c r="P73" s="6" t="s">
        <v>869</v>
      </c>
      <c r="Q73" s="6"/>
      <c r="R73" s="6"/>
      <c r="S73" s="6"/>
      <c r="T73" s="6"/>
    </row>
    <row r="74" customFormat="false" ht="15" hidden="false" customHeight="false" outlineLevel="0" collapsed="false">
      <c r="A74" s="6" t="n">
        <v>73</v>
      </c>
      <c r="B74" s="6" t="s">
        <v>10</v>
      </c>
      <c r="C74" s="7" t="n">
        <v>0.548611111111111</v>
      </c>
      <c r="D74" s="7"/>
      <c r="E74" s="6" t="s">
        <v>36</v>
      </c>
      <c r="F74" s="6" t="s">
        <v>156</v>
      </c>
      <c r="G74" s="6" t="s">
        <v>870</v>
      </c>
      <c r="H74" s="6" t="s">
        <v>871</v>
      </c>
      <c r="I74" s="6" t="s">
        <v>872</v>
      </c>
      <c r="J74" s="6" t="s">
        <v>873</v>
      </c>
      <c r="K74" s="6" t="n">
        <v>1</v>
      </c>
      <c r="L74" s="6"/>
      <c r="M74" s="6" t="s">
        <v>36</v>
      </c>
      <c r="N74" s="6"/>
      <c r="O74" s="6" t="s">
        <v>36</v>
      </c>
      <c r="P74" s="6"/>
      <c r="Q74" s="6"/>
      <c r="R74" s="6"/>
      <c r="S74" s="6"/>
      <c r="T74" s="6"/>
    </row>
    <row r="75" customFormat="false" ht="113.4" hidden="false" customHeight="false" outlineLevel="0" collapsed="false">
      <c r="A75" s="6" t="n">
        <v>74</v>
      </c>
      <c r="B75" s="6" t="s">
        <v>10</v>
      </c>
      <c r="C75" s="7" t="n">
        <v>0.552083333333333</v>
      </c>
      <c r="D75" s="7"/>
      <c r="E75" s="6" t="s">
        <v>37</v>
      </c>
      <c r="F75" s="6" t="s">
        <v>134</v>
      </c>
      <c r="G75" s="6" t="s">
        <v>874</v>
      </c>
      <c r="H75" s="6" t="s">
        <v>875</v>
      </c>
      <c r="I75" s="6" t="s">
        <v>876</v>
      </c>
      <c r="J75" s="6" t="s">
        <v>877</v>
      </c>
      <c r="K75" s="6" t="n">
        <v>3</v>
      </c>
      <c r="L75" s="6" t="n">
        <v>3</v>
      </c>
      <c r="M75" s="6" t="s">
        <v>97</v>
      </c>
      <c r="N75" s="6" t="s">
        <v>65</v>
      </c>
      <c r="O75" s="6" t="s">
        <v>97</v>
      </c>
      <c r="P75" s="6" t="s">
        <v>878</v>
      </c>
      <c r="Q75" s="6"/>
      <c r="R75" s="6"/>
      <c r="S75" s="6"/>
      <c r="T75" s="6"/>
    </row>
    <row r="76" customFormat="false" ht="46.25" hidden="false" customHeight="false" outlineLevel="0" collapsed="false">
      <c r="A76" s="6" t="n">
        <v>75</v>
      </c>
      <c r="B76" s="6" t="s">
        <v>10</v>
      </c>
      <c r="C76" s="7" t="n">
        <v>0.552083333333333</v>
      </c>
      <c r="D76" s="7"/>
      <c r="E76" s="6" t="s">
        <v>14</v>
      </c>
      <c r="F76" s="6" t="s">
        <v>134</v>
      </c>
      <c r="G76" s="6" t="s">
        <v>879</v>
      </c>
      <c r="H76" s="6" t="s">
        <v>880</v>
      </c>
      <c r="I76" s="6" t="s">
        <v>881</v>
      </c>
      <c r="J76" s="6" t="s">
        <v>882</v>
      </c>
      <c r="K76" s="6" t="n">
        <v>3</v>
      </c>
      <c r="L76" s="6" t="n">
        <v>1</v>
      </c>
      <c r="M76" s="6" t="s">
        <v>588</v>
      </c>
      <c r="N76" s="6" t="s">
        <v>87</v>
      </c>
      <c r="O76" s="6" t="s">
        <v>588</v>
      </c>
      <c r="P76" s="6" t="s">
        <v>883</v>
      </c>
      <c r="Q76" s="6"/>
      <c r="R76" s="6"/>
      <c r="S76" s="6"/>
      <c r="T76" s="6"/>
    </row>
    <row r="77" customFormat="false" ht="57.45" hidden="false" customHeight="false" outlineLevel="0" collapsed="false">
      <c r="A77" s="6" t="n">
        <v>76</v>
      </c>
      <c r="B77" s="6" t="s">
        <v>10</v>
      </c>
      <c r="C77" s="7" t="n">
        <v>0.555555555555556</v>
      </c>
      <c r="D77" s="7"/>
      <c r="E77" s="6" t="s">
        <v>13</v>
      </c>
      <c r="F77" s="6" t="s">
        <v>134</v>
      </c>
      <c r="G77" s="6" t="s">
        <v>884</v>
      </c>
      <c r="H77" s="6" t="s">
        <v>885</v>
      </c>
      <c r="I77" s="6" t="s">
        <v>886</v>
      </c>
      <c r="J77" s="6" t="s">
        <v>887</v>
      </c>
      <c r="K77" s="6" t="n">
        <v>3</v>
      </c>
      <c r="L77" s="6" t="n">
        <v>4</v>
      </c>
      <c r="M77" s="6" t="s">
        <v>114</v>
      </c>
      <c r="N77" s="6" t="s">
        <v>65</v>
      </c>
      <c r="O77" s="6" t="s">
        <v>114</v>
      </c>
      <c r="P77" s="6" t="s">
        <v>888</v>
      </c>
      <c r="Q77" s="6"/>
      <c r="R77" s="6"/>
      <c r="S77" s="6"/>
      <c r="T77" s="6"/>
    </row>
    <row r="78" customFormat="false" ht="113.4" hidden="false" customHeight="false" outlineLevel="0" collapsed="false">
      <c r="A78" s="6" t="n">
        <v>77</v>
      </c>
      <c r="B78" s="6" t="s">
        <v>10</v>
      </c>
      <c r="C78" s="7" t="n">
        <v>0.555555555555556</v>
      </c>
      <c r="D78" s="7"/>
      <c r="E78" s="6" t="s">
        <v>32</v>
      </c>
      <c r="F78" s="6" t="s">
        <v>134</v>
      </c>
      <c r="G78" s="6" t="s">
        <v>889</v>
      </c>
      <c r="H78" s="6" t="s">
        <v>890</v>
      </c>
      <c r="I78" s="6" t="s">
        <v>891</v>
      </c>
      <c r="J78" s="6" t="s">
        <v>892</v>
      </c>
      <c r="K78" s="6" t="n">
        <v>3</v>
      </c>
      <c r="L78" s="6" t="n">
        <v>2</v>
      </c>
      <c r="M78" s="6" t="s">
        <v>108</v>
      </c>
      <c r="N78" s="6" t="s">
        <v>87</v>
      </c>
      <c r="O78" s="6" t="s">
        <v>109</v>
      </c>
      <c r="P78" s="6" t="s">
        <v>893</v>
      </c>
      <c r="Q78" s="6"/>
      <c r="R78" s="6"/>
      <c r="S78" s="6"/>
      <c r="T78" s="6"/>
    </row>
    <row r="79" customFormat="false" ht="91" hidden="false" customHeight="false" outlineLevel="0" collapsed="false">
      <c r="A79" s="6" t="n">
        <v>78</v>
      </c>
      <c r="B79" s="6" t="s">
        <v>10</v>
      </c>
      <c r="C79" s="7" t="n">
        <v>0.555555555555556</v>
      </c>
      <c r="D79" s="7"/>
      <c r="E79" s="6" t="s">
        <v>23</v>
      </c>
      <c r="F79" s="6" t="s">
        <v>134</v>
      </c>
      <c r="G79" s="6" t="s">
        <v>894</v>
      </c>
      <c r="H79" s="6" t="s">
        <v>895</v>
      </c>
      <c r="I79" s="6" t="s">
        <v>896</v>
      </c>
      <c r="J79" s="6" t="s">
        <v>897</v>
      </c>
      <c r="K79" s="6" t="n">
        <v>3</v>
      </c>
      <c r="L79" s="6" t="n">
        <v>3</v>
      </c>
      <c r="M79" s="6" t="s">
        <v>732</v>
      </c>
      <c r="N79" s="6" t="s">
        <v>87</v>
      </c>
      <c r="O79" s="6" t="s">
        <v>733</v>
      </c>
      <c r="P79" s="6" t="s">
        <v>898</v>
      </c>
      <c r="Q79" s="6"/>
      <c r="R79" s="6"/>
      <c r="S79" s="6"/>
      <c r="T79" s="6"/>
    </row>
    <row r="80" customFormat="false" ht="68.65" hidden="false" customHeight="false" outlineLevel="0" collapsed="false">
      <c r="A80" s="6" t="n">
        <v>79</v>
      </c>
      <c r="B80" s="6" t="s">
        <v>10</v>
      </c>
      <c r="C80" s="7" t="n">
        <v>0.555555555555556</v>
      </c>
      <c r="D80" s="7"/>
      <c r="E80" s="6" t="s">
        <v>21</v>
      </c>
      <c r="F80" s="6" t="s">
        <v>134</v>
      </c>
      <c r="G80" s="6" t="s">
        <v>899</v>
      </c>
      <c r="H80" s="6" t="s">
        <v>900</v>
      </c>
      <c r="I80" s="6" t="s">
        <v>901</v>
      </c>
      <c r="J80" s="6" t="s">
        <v>902</v>
      </c>
      <c r="K80" s="6" t="n">
        <v>3</v>
      </c>
      <c r="L80" s="6" t="n">
        <v>3</v>
      </c>
      <c r="M80" s="6" t="s">
        <v>119</v>
      </c>
      <c r="N80" s="6" t="s">
        <v>87</v>
      </c>
      <c r="O80" s="6" t="s">
        <v>119</v>
      </c>
      <c r="P80" s="6" t="s">
        <v>903</v>
      </c>
      <c r="Q80" s="6"/>
      <c r="R80" s="6"/>
      <c r="S80" s="6"/>
      <c r="T80" s="6"/>
    </row>
    <row r="81" customFormat="false" ht="23.85" hidden="false" customHeight="false" outlineLevel="0" collapsed="false">
      <c r="A81" s="6" t="n">
        <v>80</v>
      </c>
      <c r="B81" s="6" t="s">
        <v>10</v>
      </c>
      <c r="C81" s="7" t="n">
        <v>0.5625</v>
      </c>
      <c r="D81" s="7"/>
      <c r="E81" s="6" t="s">
        <v>36</v>
      </c>
      <c r="F81" s="6" t="s">
        <v>156</v>
      </c>
      <c r="G81" s="6" t="s">
        <v>904</v>
      </c>
      <c r="H81" s="6" t="s">
        <v>905</v>
      </c>
      <c r="I81" s="6" t="s">
        <v>906</v>
      </c>
      <c r="J81" s="6" t="s">
        <v>907</v>
      </c>
      <c r="K81" s="6" t="n">
        <v>2</v>
      </c>
      <c r="L81" s="6"/>
      <c r="M81" s="6" t="s">
        <v>36</v>
      </c>
      <c r="N81" s="6"/>
      <c r="O81" s="6" t="s">
        <v>36</v>
      </c>
      <c r="P81" s="6"/>
      <c r="Q81" s="6"/>
      <c r="R81" s="6"/>
      <c r="S81" s="6"/>
      <c r="T81" s="6"/>
    </row>
    <row r="82" customFormat="false" ht="23.85" hidden="false" customHeight="false" outlineLevel="0" collapsed="false">
      <c r="A82" s="6" t="n">
        <v>81</v>
      </c>
      <c r="B82" s="6" t="s">
        <v>10</v>
      </c>
      <c r="C82" s="7" t="n">
        <v>0.569444444444444</v>
      </c>
      <c r="D82" s="7"/>
      <c r="E82" s="6" t="s">
        <v>36</v>
      </c>
      <c r="F82" s="6" t="s">
        <v>156</v>
      </c>
      <c r="G82" s="6" t="s">
        <v>908</v>
      </c>
      <c r="H82" s="6" t="s">
        <v>909</v>
      </c>
      <c r="I82" s="6" t="s">
        <v>910</v>
      </c>
      <c r="J82" s="6" t="s">
        <v>911</v>
      </c>
      <c r="K82" s="6" t="n">
        <v>1</v>
      </c>
      <c r="L82" s="6"/>
      <c r="M82" s="6" t="s">
        <v>36</v>
      </c>
      <c r="N82" s="6"/>
      <c r="O82" s="6" t="s">
        <v>36</v>
      </c>
      <c r="P82" s="6"/>
      <c r="Q82" s="6"/>
      <c r="R82" s="6"/>
      <c r="S82" s="6"/>
      <c r="T82" s="6"/>
    </row>
    <row r="83" customFormat="false" ht="46.25" hidden="false" customHeight="false" outlineLevel="0" collapsed="false">
      <c r="A83" s="6" t="n">
        <v>82</v>
      </c>
      <c r="B83" s="6" t="s">
        <v>10</v>
      </c>
      <c r="C83" s="7" t="n">
        <v>0.575694444444444</v>
      </c>
      <c r="D83" s="7" t="n">
        <v>0.607638888888889</v>
      </c>
      <c r="E83" s="6" t="s">
        <v>39</v>
      </c>
      <c r="F83" s="6" t="s">
        <v>39</v>
      </c>
      <c r="G83" s="6" t="s">
        <v>912</v>
      </c>
      <c r="H83" s="6" t="s">
        <v>913</v>
      </c>
      <c r="I83" s="6" t="s">
        <v>913</v>
      </c>
      <c r="J83" s="6"/>
      <c r="K83" s="6" t="n">
        <v>1</v>
      </c>
      <c r="L83" s="6"/>
      <c r="M83" s="6" t="s">
        <v>255</v>
      </c>
      <c r="N83" s="6" t="s">
        <v>87</v>
      </c>
      <c r="O83" s="6" t="s">
        <v>914</v>
      </c>
      <c r="P83" s="6"/>
      <c r="Q83" s="6" t="n">
        <v>2</v>
      </c>
      <c r="R83" s="6" t="n">
        <v>120</v>
      </c>
      <c r="S83" s="6" t="n">
        <f aca="false">R83-Q83</f>
        <v>118</v>
      </c>
      <c r="T83" s="6" t="s">
        <v>637</v>
      </c>
    </row>
    <row r="84" customFormat="false" ht="23.85" hidden="false" customHeight="false" outlineLevel="0" collapsed="false">
      <c r="A84" s="6" t="n">
        <v>83</v>
      </c>
      <c r="B84" s="6" t="s">
        <v>10</v>
      </c>
      <c r="C84" s="7" t="n">
        <v>0.576388888888889</v>
      </c>
      <c r="D84" s="7"/>
      <c r="E84" s="6" t="s">
        <v>36</v>
      </c>
      <c r="F84" s="6" t="s">
        <v>156</v>
      </c>
      <c r="G84" s="6" t="s">
        <v>915</v>
      </c>
      <c r="H84" s="6" t="s">
        <v>916</v>
      </c>
      <c r="I84" s="6" t="s">
        <v>917</v>
      </c>
      <c r="J84" s="6" t="s">
        <v>918</v>
      </c>
      <c r="K84" s="6" t="n">
        <v>1</v>
      </c>
      <c r="L84" s="6"/>
      <c r="M84" s="6" t="s">
        <v>36</v>
      </c>
      <c r="N84" s="6"/>
      <c r="O84" s="6" t="s">
        <v>36</v>
      </c>
      <c r="P84" s="6"/>
      <c r="Q84" s="6"/>
      <c r="R84" s="6"/>
      <c r="S84" s="6"/>
      <c r="T84" s="6"/>
    </row>
    <row r="85" customFormat="false" ht="23.85" hidden="false" customHeight="false" outlineLevel="0" collapsed="false">
      <c r="A85" s="6" t="n">
        <v>84</v>
      </c>
      <c r="B85" s="6" t="s">
        <v>10</v>
      </c>
      <c r="C85" s="7" t="n">
        <v>0.576388888888889</v>
      </c>
      <c r="D85" s="7" t="n">
        <v>0.607638888888889</v>
      </c>
      <c r="E85" s="6" t="s">
        <v>39</v>
      </c>
      <c r="F85" s="6" t="s">
        <v>39</v>
      </c>
      <c r="G85" s="6" t="s">
        <v>919</v>
      </c>
      <c r="H85" s="6" t="s">
        <v>920</v>
      </c>
      <c r="I85" s="6" t="s">
        <v>921</v>
      </c>
      <c r="J85" s="6"/>
      <c r="K85" s="6" t="n">
        <v>2</v>
      </c>
      <c r="L85" s="6"/>
      <c r="M85" s="6" t="s">
        <v>922</v>
      </c>
      <c r="N85" s="6" t="s">
        <v>65</v>
      </c>
      <c r="O85" s="6" t="s">
        <v>923</v>
      </c>
      <c r="P85" s="6"/>
      <c r="Q85" s="6" t="n">
        <v>5</v>
      </c>
      <c r="R85" s="6" t="n">
        <v>120</v>
      </c>
      <c r="S85" s="6" t="n">
        <f aca="false">R85-Q85</f>
        <v>115</v>
      </c>
      <c r="T85" s="6" t="s">
        <v>637</v>
      </c>
    </row>
    <row r="86" customFormat="false" ht="35.05" hidden="false" customHeight="false" outlineLevel="0" collapsed="false">
      <c r="A86" s="6" t="n">
        <v>85</v>
      </c>
      <c r="B86" s="6" t="s">
        <v>10</v>
      </c>
      <c r="C86" s="7" t="n">
        <v>0.577083333333333</v>
      </c>
      <c r="D86" s="7" t="n">
        <v>0.607638888888889</v>
      </c>
      <c r="E86" s="6" t="s">
        <v>39</v>
      </c>
      <c r="F86" s="6" t="s">
        <v>39</v>
      </c>
      <c r="G86" s="6" t="s">
        <v>924</v>
      </c>
      <c r="H86" s="6" t="s">
        <v>925</v>
      </c>
      <c r="I86" s="6" t="s">
        <v>926</v>
      </c>
      <c r="J86" s="6"/>
      <c r="K86" s="6" t="n">
        <v>3</v>
      </c>
      <c r="L86" s="6"/>
      <c r="M86" s="6" t="s">
        <v>103</v>
      </c>
      <c r="N86" s="6" t="s">
        <v>87</v>
      </c>
      <c r="O86" s="6" t="s">
        <v>103</v>
      </c>
      <c r="P86" s="6"/>
      <c r="Q86" s="6" t="n">
        <v>80</v>
      </c>
      <c r="R86" s="6" t="n">
        <v>120</v>
      </c>
      <c r="S86" s="6" t="n">
        <f aca="false">R86-Q86</f>
        <v>40</v>
      </c>
      <c r="T86" s="6" t="s">
        <v>637</v>
      </c>
    </row>
    <row r="87" customFormat="false" ht="15" hidden="false" customHeight="false" outlineLevel="0" collapsed="false">
      <c r="A87" s="6" t="n">
        <v>86</v>
      </c>
      <c r="B87" s="6" t="s">
        <v>10</v>
      </c>
      <c r="C87" s="7" t="n">
        <v>0.583333333333333</v>
      </c>
      <c r="D87" s="7"/>
      <c r="E87" s="6" t="s">
        <v>36</v>
      </c>
      <c r="F87" s="6" t="s">
        <v>156</v>
      </c>
      <c r="G87" s="6" t="s">
        <v>927</v>
      </c>
      <c r="H87" s="6" t="s">
        <v>928</v>
      </c>
      <c r="I87" s="6" t="s">
        <v>929</v>
      </c>
      <c r="J87" s="6" t="s">
        <v>930</v>
      </c>
      <c r="K87" s="6" t="n">
        <v>1</v>
      </c>
      <c r="L87" s="6"/>
      <c r="M87" s="6" t="s">
        <v>36</v>
      </c>
      <c r="N87" s="6"/>
      <c r="O87" s="6" t="s">
        <v>36</v>
      </c>
      <c r="P87" s="6"/>
      <c r="Q87" s="6"/>
      <c r="R87" s="6"/>
      <c r="S87" s="6"/>
      <c r="T87" s="6"/>
    </row>
    <row r="88" customFormat="false" ht="35.05" hidden="false" customHeight="false" outlineLevel="0" collapsed="false">
      <c r="A88" s="6" t="n">
        <v>87</v>
      </c>
      <c r="B88" s="6" t="s">
        <v>10</v>
      </c>
      <c r="C88" s="7" t="n">
        <v>0.583333333333333</v>
      </c>
      <c r="D88" s="7"/>
      <c r="E88" s="6" t="s">
        <v>14</v>
      </c>
      <c r="F88" s="6" t="s">
        <v>134</v>
      </c>
      <c r="G88" s="6" t="s">
        <v>931</v>
      </c>
      <c r="H88" s="6" t="s">
        <v>932</v>
      </c>
      <c r="I88" s="6" t="s">
        <v>933</v>
      </c>
      <c r="J88" s="6" t="s">
        <v>934</v>
      </c>
      <c r="K88" s="6" t="n">
        <v>3</v>
      </c>
      <c r="L88" s="6" t="n">
        <v>1</v>
      </c>
      <c r="M88" s="6" t="s">
        <v>588</v>
      </c>
      <c r="N88" s="6" t="s">
        <v>87</v>
      </c>
      <c r="O88" s="6" t="s">
        <v>588</v>
      </c>
      <c r="P88" s="6"/>
      <c r="Q88" s="6"/>
      <c r="R88" s="6"/>
      <c r="S88" s="6"/>
      <c r="T88" s="6"/>
    </row>
    <row r="89" customFormat="false" ht="15" hidden="false" customHeight="false" outlineLevel="0" collapsed="false">
      <c r="A89" s="6" t="n">
        <v>88</v>
      </c>
      <c r="B89" s="6" t="s">
        <v>10</v>
      </c>
      <c r="C89" s="7" t="n">
        <v>0.590277777777778</v>
      </c>
      <c r="D89" s="7"/>
      <c r="E89" s="6" t="s">
        <v>36</v>
      </c>
      <c r="F89" s="6" t="s">
        <v>156</v>
      </c>
      <c r="G89" s="6" t="s">
        <v>935</v>
      </c>
      <c r="H89" s="6" t="s">
        <v>936</v>
      </c>
      <c r="I89" s="6" t="s">
        <v>937</v>
      </c>
      <c r="J89" s="6" t="s">
        <v>938</v>
      </c>
      <c r="K89" s="6" t="n">
        <v>1</v>
      </c>
      <c r="L89" s="6"/>
      <c r="M89" s="6" t="s">
        <v>36</v>
      </c>
      <c r="N89" s="6"/>
      <c r="O89" s="6" t="s">
        <v>36</v>
      </c>
      <c r="P89" s="6"/>
      <c r="Q89" s="6"/>
      <c r="R89" s="6"/>
      <c r="S89" s="6"/>
      <c r="T89" s="6"/>
    </row>
    <row r="90" customFormat="false" ht="23.85" hidden="false" customHeight="false" outlineLevel="0" collapsed="false">
      <c r="A90" s="6" t="n">
        <v>89</v>
      </c>
      <c r="B90" s="6" t="s">
        <v>10</v>
      </c>
      <c r="C90" s="7" t="n">
        <v>0.597222222222222</v>
      </c>
      <c r="D90" s="7"/>
      <c r="E90" s="6" t="s">
        <v>36</v>
      </c>
      <c r="F90" s="6" t="s">
        <v>156</v>
      </c>
      <c r="G90" s="6" t="s">
        <v>939</v>
      </c>
      <c r="H90" s="6" t="s">
        <v>940</v>
      </c>
      <c r="I90" s="6" t="s">
        <v>941</v>
      </c>
      <c r="J90" s="6" t="s">
        <v>942</v>
      </c>
      <c r="K90" s="6" t="n">
        <v>1</v>
      </c>
      <c r="L90" s="6"/>
      <c r="M90" s="6" t="s">
        <v>36</v>
      </c>
      <c r="N90" s="6"/>
      <c r="O90" s="6" t="s">
        <v>36</v>
      </c>
      <c r="P90" s="6"/>
      <c r="Q90" s="6"/>
      <c r="R90" s="6"/>
      <c r="S90" s="6"/>
      <c r="T90" s="6"/>
    </row>
    <row r="91" customFormat="false" ht="35.05" hidden="false" customHeight="false" outlineLevel="0" collapsed="false">
      <c r="A91" s="6" t="n">
        <v>90</v>
      </c>
      <c r="B91" s="6" t="s">
        <v>10</v>
      </c>
      <c r="C91" s="7" t="n">
        <v>0.607638888888889</v>
      </c>
      <c r="D91" s="7"/>
      <c r="E91" s="6" t="s">
        <v>31</v>
      </c>
      <c r="F91" s="6" t="s">
        <v>31</v>
      </c>
      <c r="G91" s="6" t="s">
        <v>943</v>
      </c>
      <c r="H91" s="6" t="s">
        <v>209</v>
      </c>
      <c r="I91" s="6" t="s">
        <v>210</v>
      </c>
      <c r="J91" s="6" t="s">
        <v>211</v>
      </c>
      <c r="K91" s="6" t="n">
        <v>1</v>
      </c>
      <c r="L91" s="6"/>
      <c r="M91" s="6" t="s">
        <v>212</v>
      </c>
      <c r="N91" s="6" t="s">
        <v>65</v>
      </c>
      <c r="O91" s="6" t="s">
        <v>213</v>
      </c>
      <c r="P91" s="6" t="s">
        <v>214</v>
      </c>
      <c r="Q91" s="6"/>
      <c r="R91" s="6"/>
      <c r="S91" s="6"/>
      <c r="T91" s="6"/>
    </row>
    <row r="92" customFormat="false" ht="46.25" hidden="false" customHeight="false" outlineLevel="0" collapsed="false">
      <c r="A92" s="6" t="n">
        <v>91</v>
      </c>
      <c r="B92" s="6" t="s">
        <v>10</v>
      </c>
      <c r="C92" s="7" t="n">
        <v>0.649305555555556</v>
      </c>
      <c r="D92" s="7"/>
      <c r="E92" s="6" t="s">
        <v>14</v>
      </c>
      <c r="F92" s="6" t="s">
        <v>67</v>
      </c>
      <c r="G92" s="6" t="s">
        <v>944</v>
      </c>
      <c r="H92" s="6" t="s">
        <v>945</v>
      </c>
      <c r="I92" s="6" t="s">
        <v>946</v>
      </c>
      <c r="J92" s="6" t="s">
        <v>947</v>
      </c>
      <c r="K92" s="6" t="n">
        <v>2</v>
      </c>
      <c r="L92" s="6"/>
      <c r="M92" s="6" t="s">
        <v>588</v>
      </c>
      <c r="N92" s="6" t="s">
        <v>87</v>
      </c>
      <c r="O92" s="6" t="s">
        <v>948</v>
      </c>
      <c r="P92" s="6"/>
      <c r="Q92" s="6"/>
      <c r="R92" s="6"/>
      <c r="S92" s="6"/>
      <c r="T92" s="6"/>
    </row>
    <row r="93" customFormat="false" ht="23.85" hidden="false" customHeight="false" outlineLevel="0" collapsed="false">
      <c r="A93" s="6" t="n">
        <v>92</v>
      </c>
      <c r="B93" s="6" t="s">
        <v>10</v>
      </c>
      <c r="C93" s="7" t="n">
        <v>0.652777777777778</v>
      </c>
      <c r="D93" s="7"/>
      <c r="E93" s="6" t="s">
        <v>23</v>
      </c>
      <c r="F93" s="6" t="s">
        <v>67</v>
      </c>
      <c r="G93" s="6" t="s">
        <v>949</v>
      </c>
      <c r="H93" s="6" t="s">
        <v>950</v>
      </c>
      <c r="I93" s="6" t="s">
        <v>951</v>
      </c>
      <c r="J93" s="6" t="s">
        <v>952</v>
      </c>
      <c r="K93" s="6" t="n">
        <v>2</v>
      </c>
      <c r="L93" s="6"/>
      <c r="M93" s="6" t="s">
        <v>732</v>
      </c>
      <c r="N93" s="6" t="s">
        <v>87</v>
      </c>
      <c r="O93" s="6" t="s">
        <v>733</v>
      </c>
      <c r="P93" s="6"/>
      <c r="Q93" s="6"/>
      <c r="R93" s="6"/>
      <c r="S93" s="6"/>
      <c r="T93" s="6"/>
    </row>
    <row r="94" customFormat="false" ht="23.85" hidden="false" customHeight="false" outlineLevel="0" collapsed="false">
      <c r="A94" s="6" t="n">
        <v>93</v>
      </c>
      <c r="B94" s="6" t="s">
        <v>10</v>
      </c>
      <c r="C94" s="7" t="n">
        <v>0.652777777777778</v>
      </c>
      <c r="D94" s="7"/>
      <c r="E94" s="6" t="s">
        <v>21</v>
      </c>
      <c r="F94" s="6" t="s">
        <v>67</v>
      </c>
      <c r="G94" s="6" t="s">
        <v>953</v>
      </c>
      <c r="H94" s="6" t="s">
        <v>954</v>
      </c>
      <c r="I94" s="6" t="s">
        <v>955</v>
      </c>
      <c r="J94" s="6" t="s">
        <v>956</v>
      </c>
      <c r="K94" s="6" t="n">
        <v>2</v>
      </c>
      <c r="L94" s="6"/>
      <c r="M94" s="6" t="s">
        <v>119</v>
      </c>
      <c r="N94" s="6" t="s">
        <v>87</v>
      </c>
      <c r="O94" s="6" t="s">
        <v>119</v>
      </c>
      <c r="P94" s="6"/>
      <c r="Q94" s="6"/>
      <c r="R94" s="6"/>
      <c r="S94" s="6"/>
      <c r="T94" s="6"/>
    </row>
    <row r="95" customFormat="false" ht="23.85" hidden="false" customHeight="false" outlineLevel="0" collapsed="false">
      <c r="A95" s="6" t="n">
        <v>94</v>
      </c>
      <c r="B95" s="6" t="s">
        <v>10</v>
      </c>
      <c r="C95" s="7" t="n">
        <v>0.652777777777778</v>
      </c>
      <c r="D95" s="7"/>
      <c r="E95" s="6" t="s">
        <v>13</v>
      </c>
      <c r="F95" s="6" t="s">
        <v>81</v>
      </c>
      <c r="G95" s="6" t="s">
        <v>957</v>
      </c>
      <c r="H95" s="6" t="s">
        <v>958</v>
      </c>
      <c r="I95" s="6" t="s">
        <v>959</v>
      </c>
      <c r="J95" s="6" t="s">
        <v>960</v>
      </c>
      <c r="K95" s="6" t="n">
        <v>1</v>
      </c>
      <c r="L95" s="6"/>
      <c r="M95" s="6" t="s">
        <v>114</v>
      </c>
      <c r="N95" s="6" t="s">
        <v>65</v>
      </c>
      <c r="O95" s="6" t="s">
        <v>114</v>
      </c>
      <c r="P95" s="6"/>
      <c r="Q95" s="6"/>
      <c r="R95" s="6"/>
      <c r="S95" s="6"/>
      <c r="T95" s="6"/>
    </row>
    <row r="96" customFormat="false" ht="46.25" hidden="false" customHeight="false" outlineLevel="0" collapsed="false">
      <c r="A96" s="6" t="n">
        <v>95</v>
      </c>
      <c r="B96" s="6" t="s">
        <v>10</v>
      </c>
      <c r="C96" s="7" t="n">
        <v>0.652777777777778</v>
      </c>
      <c r="D96" s="7"/>
      <c r="E96" s="6" t="s">
        <v>33</v>
      </c>
      <c r="F96" s="6" t="s">
        <v>67</v>
      </c>
      <c r="G96" s="6" t="s">
        <v>961</v>
      </c>
      <c r="H96" s="6" t="s">
        <v>962</v>
      </c>
      <c r="I96" s="6" t="s">
        <v>963</v>
      </c>
      <c r="J96" s="6" t="s">
        <v>964</v>
      </c>
      <c r="K96" s="6" t="n">
        <v>3</v>
      </c>
      <c r="L96" s="6"/>
      <c r="M96" s="6" t="s">
        <v>103</v>
      </c>
      <c r="N96" s="6" t="s">
        <v>87</v>
      </c>
      <c r="O96" s="6" t="s">
        <v>103</v>
      </c>
      <c r="P96" s="6"/>
      <c r="Q96" s="6"/>
      <c r="R96" s="6"/>
      <c r="S96" s="6"/>
      <c r="T96" s="6"/>
    </row>
    <row r="97" customFormat="false" ht="35.05" hidden="false" customHeight="false" outlineLevel="0" collapsed="false">
      <c r="A97" s="6" t="n">
        <v>96</v>
      </c>
      <c r="B97" s="6" t="s">
        <v>10</v>
      </c>
      <c r="C97" s="7" t="n">
        <v>0.652777777777778</v>
      </c>
      <c r="D97" s="7"/>
      <c r="E97" s="6" t="s">
        <v>17</v>
      </c>
      <c r="F97" s="6" t="s">
        <v>67</v>
      </c>
      <c r="G97" s="6" t="s">
        <v>965</v>
      </c>
      <c r="H97" s="6" t="s">
        <v>966</v>
      </c>
      <c r="I97" s="6" t="s">
        <v>967</v>
      </c>
      <c r="J97" s="6" t="s">
        <v>968</v>
      </c>
      <c r="K97" s="6" t="n">
        <v>2</v>
      </c>
      <c r="L97" s="6"/>
      <c r="M97" s="6" t="s">
        <v>80</v>
      </c>
      <c r="N97" s="6" t="s">
        <v>65</v>
      </c>
      <c r="O97" s="6" t="s">
        <v>80</v>
      </c>
      <c r="P97" s="6"/>
      <c r="Q97" s="6"/>
      <c r="R97" s="6"/>
      <c r="S97" s="6"/>
      <c r="T97" s="6"/>
    </row>
    <row r="98" customFormat="false" ht="35.05" hidden="false" customHeight="false" outlineLevel="0" collapsed="false">
      <c r="A98" s="6" t="n">
        <v>97</v>
      </c>
      <c r="B98" s="6" t="s">
        <v>10</v>
      </c>
      <c r="C98" s="7" t="n">
        <v>0.652777777777778</v>
      </c>
      <c r="D98" s="7"/>
      <c r="E98" s="6" t="s">
        <v>37</v>
      </c>
      <c r="F98" s="6" t="s">
        <v>67</v>
      </c>
      <c r="G98" s="6" t="s">
        <v>969</v>
      </c>
      <c r="H98" s="6" t="s">
        <v>970</v>
      </c>
      <c r="I98" s="6" t="s">
        <v>971</v>
      </c>
      <c r="J98" s="6" t="s">
        <v>972</v>
      </c>
      <c r="K98" s="6" t="n">
        <v>2</v>
      </c>
      <c r="L98" s="6"/>
      <c r="M98" s="6" t="s">
        <v>97</v>
      </c>
      <c r="N98" s="6" t="s">
        <v>65</v>
      </c>
      <c r="O98" s="6" t="s">
        <v>97</v>
      </c>
      <c r="P98" s="6"/>
      <c r="Q98" s="6"/>
      <c r="R98" s="6"/>
      <c r="S98" s="6"/>
      <c r="T98" s="6"/>
    </row>
    <row r="99" customFormat="false" ht="23.85" hidden="false" customHeight="false" outlineLevel="0" collapsed="false">
      <c r="A99" s="6" t="n">
        <v>98</v>
      </c>
      <c r="B99" s="6" t="s">
        <v>10</v>
      </c>
      <c r="C99" s="7" t="n">
        <v>0.652777777777778</v>
      </c>
      <c r="D99" s="7"/>
      <c r="E99" s="6" t="s">
        <v>19</v>
      </c>
      <c r="F99" s="6" t="s">
        <v>81</v>
      </c>
      <c r="G99" s="6" t="s">
        <v>973</v>
      </c>
      <c r="H99" s="6" t="s">
        <v>974</v>
      </c>
      <c r="I99" s="6" t="s">
        <v>975</v>
      </c>
      <c r="J99" s="6" t="s">
        <v>976</v>
      </c>
      <c r="K99" s="6" t="n">
        <v>1</v>
      </c>
      <c r="L99" s="6"/>
      <c r="M99" s="6" t="s">
        <v>86</v>
      </c>
      <c r="N99" s="6" t="s">
        <v>87</v>
      </c>
      <c r="O99" s="6" t="s">
        <v>501</v>
      </c>
      <c r="P99" s="6"/>
      <c r="Q99" s="6"/>
      <c r="R99" s="6"/>
      <c r="S99" s="6"/>
      <c r="T99" s="6"/>
    </row>
    <row r="100" customFormat="false" ht="23.85" hidden="false" customHeight="false" outlineLevel="0" collapsed="false">
      <c r="A100" s="6" t="n">
        <v>99</v>
      </c>
      <c r="B100" s="6" t="s">
        <v>10</v>
      </c>
      <c r="C100" s="7" t="n">
        <v>0.652777777777778</v>
      </c>
      <c r="D100" s="7"/>
      <c r="E100" s="6" t="s">
        <v>36</v>
      </c>
      <c r="F100" s="6" t="s">
        <v>156</v>
      </c>
      <c r="G100" s="6" t="s">
        <v>977</v>
      </c>
      <c r="H100" s="6" t="s">
        <v>978</v>
      </c>
      <c r="I100" s="6" t="s">
        <v>979</v>
      </c>
      <c r="J100" s="6" t="s">
        <v>980</v>
      </c>
      <c r="K100" s="6" t="n">
        <v>1</v>
      </c>
      <c r="L100" s="6"/>
      <c r="M100" s="6" t="s">
        <v>36</v>
      </c>
      <c r="N100" s="6"/>
      <c r="O100" s="6" t="s">
        <v>36</v>
      </c>
      <c r="P100" s="6"/>
      <c r="Q100" s="6"/>
      <c r="R100" s="6"/>
      <c r="S100" s="6"/>
      <c r="T100" s="6"/>
    </row>
    <row r="101" customFormat="false" ht="35.05" hidden="false" customHeight="false" outlineLevel="0" collapsed="false">
      <c r="A101" s="6" t="n">
        <v>100</v>
      </c>
      <c r="B101" s="6" t="s">
        <v>10</v>
      </c>
      <c r="C101" s="7" t="n">
        <v>0.652777777777778</v>
      </c>
      <c r="D101" s="7"/>
      <c r="E101" s="6" t="s">
        <v>15</v>
      </c>
      <c r="F101" s="6" t="s">
        <v>67</v>
      </c>
      <c r="G101" s="6" t="s">
        <v>981</v>
      </c>
      <c r="H101" s="6" t="s">
        <v>982</v>
      </c>
      <c r="I101" s="6" t="s">
        <v>983</v>
      </c>
      <c r="J101" s="6" t="s">
        <v>984</v>
      </c>
      <c r="K101" s="6" t="n">
        <v>2</v>
      </c>
      <c r="L101" s="6"/>
      <c r="M101" s="6" t="s">
        <v>64</v>
      </c>
      <c r="N101" s="6" t="s">
        <v>65</v>
      </c>
      <c r="O101" s="6" t="s">
        <v>64</v>
      </c>
      <c r="P101" s="6"/>
      <c r="Q101" s="6"/>
      <c r="R101" s="6"/>
      <c r="S101" s="6"/>
      <c r="T101" s="6"/>
    </row>
    <row r="102" customFormat="false" ht="35.05" hidden="false" customHeight="false" outlineLevel="0" collapsed="false">
      <c r="A102" s="6" t="n">
        <v>101</v>
      </c>
      <c r="B102" s="6" t="s">
        <v>10</v>
      </c>
      <c r="C102" s="7" t="n">
        <v>0.652777777777778</v>
      </c>
      <c r="D102" s="7"/>
      <c r="E102" s="6" t="s">
        <v>32</v>
      </c>
      <c r="F102" s="6" t="s">
        <v>67</v>
      </c>
      <c r="G102" s="6" t="s">
        <v>985</v>
      </c>
      <c r="H102" s="6" t="s">
        <v>986</v>
      </c>
      <c r="I102" s="6" t="s">
        <v>987</v>
      </c>
      <c r="J102" s="6" t="s">
        <v>988</v>
      </c>
      <c r="K102" s="6" t="n">
        <v>2</v>
      </c>
      <c r="L102" s="6"/>
      <c r="M102" s="6" t="s">
        <v>108</v>
      </c>
      <c r="N102" s="6" t="s">
        <v>87</v>
      </c>
      <c r="O102" s="6" t="s">
        <v>109</v>
      </c>
      <c r="P102" s="6"/>
      <c r="Q102" s="6"/>
      <c r="R102" s="6"/>
      <c r="S102" s="6"/>
      <c r="T102" s="6"/>
    </row>
    <row r="103" customFormat="false" ht="35.05" hidden="false" customHeight="false" outlineLevel="0" collapsed="false">
      <c r="A103" s="6" t="n">
        <v>102</v>
      </c>
      <c r="B103" s="6" t="s">
        <v>10</v>
      </c>
      <c r="C103" s="7" t="n">
        <v>0.652777777777778</v>
      </c>
      <c r="D103" s="7"/>
      <c r="E103" s="6" t="s">
        <v>29</v>
      </c>
      <c r="F103" s="6" t="s">
        <v>67</v>
      </c>
      <c r="G103" s="6" t="s">
        <v>989</v>
      </c>
      <c r="H103" s="6" t="s">
        <v>990</v>
      </c>
      <c r="I103" s="6" t="s">
        <v>991</v>
      </c>
      <c r="J103" s="6" t="s">
        <v>992</v>
      </c>
      <c r="K103" s="6" t="n">
        <v>2</v>
      </c>
      <c r="L103" s="6"/>
      <c r="M103" s="6" t="s">
        <v>255</v>
      </c>
      <c r="N103" s="6" t="s">
        <v>87</v>
      </c>
      <c r="O103" s="6" t="s">
        <v>723</v>
      </c>
      <c r="P103" s="6"/>
      <c r="Q103" s="6"/>
      <c r="R103" s="6"/>
      <c r="S103" s="6"/>
      <c r="T103" s="6"/>
    </row>
    <row r="104" customFormat="false" ht="23.85" hidden="false" customHeight="false" outlineLevel="0" collapsed="false">
      <c r="A104" s="6" t="n">
        <v>103</v>
      </c>
      <c r="B104" s="6" t="s">
        <v>10</v>
      </c>
      <c r="C104" s="7" t="n">
        <v>0.659722222222222</v>
      </c>
      <c r="D104" s="7"/>
      <c r="E104" s="6" t="s">
        <v>37</v>
      </c>
      <c r="F104" s="6" t="s">
        <v>81</v>
      </c>
      <c r="G104" s="6" t="s">
        <v>993</v>
      </c>
      <c r="H104" s="6" t="s">
        <v>994</v>
      </c>
      <c r="I104" s="6" t="s">
        <v>995</v>
      </c>
      <c r="J104" s="6" t="s">
        <v>102</v>
      </c>
      <c r="K104" s="6" t="n">
        <v>1</v>
      </c>
      <c r="L104" s="6"/>
      <c r="M104" s="6" t="s">
        <v>97</v>
      </c>
      <c r="N104" s="6" t="s">
        <v>65</v>
      </c>
      <c r="O104" s="6" t="s">
        <v>97</v>
      </c>
      <c r="P104" s="6"/>
      <c r="Q104" s="6"/>
      <c r="R104" s="6"/>
      <c r="S104" s="6"/>
      <c r="T104" s="6"/>
    </row>
    <row r="105" customFormat="false" ht="23.85" hidden="false" customHeight="false" outlineLevel="0" collapsed="false">
      <c r="A105" s="6" t="n">
        <v>104</v>
      </c>
      <c r="B105" s="6" t="s">
        <v>10</v>
      </c>
      <c r="C105" s="7" t="n">
        <v>0.659722222222222</v>
      </c>
      <c r="D105" s="7"/>
      <c r="E105" s="6" t="s">
        <v>14</v>
      </c>
      <c r="F105" s="6" t="s">
        <v>81</v>
      </c>
      <c r="G105" s="6" t="s">
        <v>996</v>
      </c>
      <c r="H105" s="6" t="s">
        <v>997</v>
      </c>
      <c r="I105" s="6" t="s">
        <v>998</v>
      </c>
      <c r="J105" s="6" t="s">
        <v>999</v>
      </c>
      <c r="K105" s="6" t="n">
        <v>1</v>
      </c>
      <c r="L105" s="6"/>
      <c r="M105" s="6" t="s">
        <v>588</v>
      </c>
      <c r="N105" s="6" t="s">
        <v>87</v>
      </c>
      <c r="O105" s="6" t="s">
        <v>588</v>
      </c>
      <c r="P105" s="6"/>
      <c r="Q105" s="6"/>
      <c r="R105" s="6"/>
      <c r="S105" s="6"/>
      <c r="T105" s="6"/>
    </row>
    <row r="106" customFormat="false" ht="23.85" hidden="false" customHeight="false" outlineLevel="0" collapsed="false">
      <c r="A106" s="6" t="n">
        <v>105</v>
      </c>
      <c r="B106" s="6" t="s">
        <v>10</v>
      </c>
      <c r="C106" s="7" t="n">
        <v>0.659722222222222</v>
      </c>
      <c r="D106" s="7"/>
      <c r="E106" s="6" t="s">
        <v>36</v>
      </c>
      <c r="F106" s="6" t="s">
        <v>156</v>
      </c>
      <c r="G106" s="6" t="s">
        <v>1000</v>
      </c>
      <c r="H106" s="6" t="s">
        <v>1001</v>
      </c>
      <c r="I106" s="6" t="s">
        <v>1002</v>
      </c>
      <c r="J106" s="6" t="s">
        <v>1003</v>
      </c>
      <c r="K106" s="6" t="n">
        <v>1</v>
      </c>
      <c r="L106" s="6"/>
      <c r="M106" s="6" t="s">
        <v>36</v>
      </c>
      <c r="N106" s="6"/>
      <c r="O106" s="6" t="s">
        <v>36</v>
      </c>
      <c r="P106" s="6"/>
      <c r="Q106" s="6"/>
      <c r="R106" s="6"/>
      <c r="S106" s="6"/>
      <c r="T106" s="6"/>
    </row>
    <row r="107" customFormat="false" ht="46.25" hidden="false" customHeight="false" outlineLevel="0" collapsed="false">
      <c r="A107" s="6" t="n">
        <v>106</v>
      </c>
      <c r="B107" s="6" t="s">
        <v>10</v>
      </c>
      <c r="C107" s="7" t="n">
        <v>0.663194444444444</v>
      </c>
      <c r="D107" s="7"/>
      <c r="E107" s="6" t="s">
        <v>23</v>
      </c>
      <c r="F107" s="6" t="s">
        <v>67</v>
      </c>
      <c r="G107" s="6" t="s">
        <v>1004</v>
      </c>
      <c r="H107" s="6" t="s">
        <v>1005</v>
      </c>
      <c r="I107" s="6" t="s">
        <v>1006</v>
      </c>
      <c r="J107" s="6" t="s">
        <v>1007</v>
      </c>
      <c r="K107" s="6" t="n">
        <v>2</v>
      </c>
      <c r="L107" s="6"/>
      <c r="M107" s="6" t="s">
        <v>732</v>
      </c>
      <c r="N107" s="6" t="s">
        <v>87</v>
      </c>
      <c r="O107" s="6" t="s">
        <v>733</v>
      </c>
      <c r="P107" s="6" t="s">
        <v>1008</v>
      </c>
      <c r="Q107" s="6"/>
      <c r="R107" s="6"/>
      <c r="S107" s="6"/>
      <c r="T107" s="6"/>
    </row>
    <row r="108" customFormat="false" ht="23.85" hidden="false" customHeight="false" outlineLevel="0" collapsed="false">
      <c r="A108" s="6" t="n">
        <v>107</v>
      </c>
      <c r="B108" s="6" t="s">
        <v>10</v>
      </c>
      <c r="C108" s="7" t="n">
        <v>0.663194444444444</v>
      </c>
      <c r="D108" s="7"/>
      <c r="E108" s="6" t="s">
        <v>21</v>
      </c>
      <c r="F108" s="6" t="s">
        <v>67</v>
      </c>
      <c r="G108" s="6" t="s">
        <v>1009</v>
      </c>
      <c r="H108" s="6" t="s">
        <v>1010</v>
      </c>
      <c r="I108" s="6" t="s">
        <v>1011</v>
      </c>
      <c r="J108" s="6" t="s">
        <v>587</v>
      </c>
      <c r="K108" s="6" t="n">
        <v>1</v>
      </c>
      <c r="L108" s="6"/>
      <c r="M108" s="6" t="s">
        <v>119</v>
      </c>
      <c r="N108" s="6" t="s">
        <v>87</v>
      </c>
      <c r="O108" s="6" t="s">
        <v>1012</v>
      </c>
      <c r="P108" s="6"/>
      <c r="Q108" s="6"/>
      <c r="R108" s="6"/>
      <c r="S108" s="6"/>
      <c r="T108" s="6"/>
    </row>
    <row r="109" customFormat="false" ht="35.05" hidden="false" customHeight="false" outlineLevel="0" collapsed="false">
      <c r="A109" s="6" t="n">
        <v>108</v>
      </c>
      <c r="B109" s="6" t="s">
        <v>10</v>
      </c>
      <c r="C109" s="7" t="n">
        <v>0.663194444444444</v>
      </c>
      <c r="D109" s="7"/>
      <c r="E109" s="6" t="s">
        <v>33</v>
      </c>
      <c r="F109" s="6" t="s">
        <v>81</v>
      </c>
      <c r="G109" s="6" t="s">
        <v>1013</v>
      </c>
      <c r="H109" s="6" t="s">
        <v>1014</v>
      </c>
      <c r="I109" s="6" t="s">
        <v>1015</v>
      </c>
      <c r="J109" s="6" t="s">
        <v>1016</v>
      </c>
      <c r="K109" s="6" t="n">
        <v>2</v>
      </c>
      <c r="L109" s="6"/>
      <c r="M109" s="6" t="s">
        <v>103</v>
      </c>
      <c r="N109" s="6" t="s">
        <v>87</v>
      </c>
      <c r="O109" s="6" t="s">
        <v>103</v>
      </c>
      <c r="P109" s="6"/>
      <c r="Q109" s="6"/>
      <c r="R109" s="6"/>
      <c r="S109" s="6"/>
      <c r="T109" s="6"/>
    </row>
    <row r="110" customFormat="false" ht="46.25" hidden="false" customHeight="false" outlineLevel="0" collapsed="false">
      <c r="A110" s="6" t="n">
        <v>109</v>
      </c>
      <c r="B110" s="6" t="s">
        <v>10</v>
      </c>
      <c r="C110" s="7" t="n">
        <v>0.663194444444444</v>
      </c>
      <c r="D110" s="7"/>
      <c r="E110" s="6" t="s">
        <v>29</v>
      </c>
      <c r="F110" s="6" t="s">
        <v>134</v>
      </c>
      <c r="G110" s="6" t="s">
        <v>1017</v>
      </c>
      <c r="H110" s="6" t="s">
        <v>1018</v>
      </c>
      <c r="I110" s="6" t="s">
        <v>1019</v>
      </c>
      <c r="J110" s="6" t="s">
        <v>1020</v>
      </c>
      <c r="K110" s="6" t="n">
        <v>3</v>
      </c>
      <c r="L110" s="6" t="n">
        <v>2</v>
      </c>
      <c r="M110" s="6" t="s">
        <v>255</v>
      </c>
      <c r="N110" s="6" t="s">
        <v>87</v>
      </c>
      <c r="O110" s="6" t="s">
        <v>795</v>
      </c>
      <c r="P110" s="6"/>
      <c r="Q110" s="6"/>
      <c r="R110" s="6"/>
      <c r="S110" s="6"/>
      <c r="T110" s="6"/>
    </row>
    <row r="111" customFormat="false" ht="102.2" hidden="false" customHeight="false" outlineLevel="0" collapsed="false">
      <c r="A111" s="6" t="n">
        <v>110</v>
      </c>
      <c r="B111" s="6" t="s">
        <v>10</v>
      </c>
      <c r="C111" s="7" t="n">
        <v>0.663194444444444</v>
      </c>
      <c r="D111" s="7"/>
      <c r="E111" s="6" t="s">
        <v>13</v>
      </c>
      <c r="F111" s="6" t="s">
        <v>81</v>
      </c>
      <c r="G111" s="6" t="s">
        <v>1021</v>
      </c>
      <c r="H111" s="6" t="s">
        <v>1022</v>
      </c>
      <c r="I111" s="6" t="s">
        <v>1023</v>
      </c>
      <c r="J111" s="6" t="s">
        <v>1024</v>
      </c>
      <c r="K111" s="6" t="n">
        <v>1</v>
      </c>
      <c r="L111" s="6"/>
      <c r="M111" s="6" t="s">
        <v>114</v>
      </c>
      <c r="N111" s="6" t="s">
        <v>65</v>
      </c>
      <c r="O111" s="6" t="s">
        <v>114</v>
      </c>
      <c r="P111" s="6" t="s">
        <v>1025</v>
      </c>
      <c r="Q111" s="6"/>
      <c r="R111" s="6"/>
      <c r="S111" s="6"/>
      <c r="T111" s="6"/>
    </row>
    <row r="112" customFormat="false" ht="23.85" hidden="false" customHeight="false" outlineLevel="0" collapsed="false">
      <c r="A112" s="6" t="n">
        <v>111</v>
      </c>
      <c r="B112" s="6" t="s">
        <v>10</v>
      </c>
      <c r="C112" s="7" t="n">
        <v>0.663194444444444</v>
      </c>
      <c r="D112" s="7"/>
      <c r="E112" s="6" t="s">
        <v>19</v>
      </c>
      <c r="F112" s="6" t="s">
        <v>81</v>
      </c>
      <c r="G112" s="6" t="s">
        <v>1026</v>
      </c>
      <c r="H112" s="6" t="s">
        <v>1027</v>
      </c>
      <c r="I112" s="6" t="s">
        <v>1028</v>
      </c>
      <c r="J112" s="6" t="s">
        <v>1029</v>
      </c>
      <c r="K112" s="6" t="n">
        <v>1</v>
      </c>
      <c r="L112" s="6"/>
      <c r="M112" s="6" t="s">
        <v>86</v>
      </c>
      <c r="N112" s="6" t="s">
        <v>87</v>
      </c>
      <c r="O112" s="6" t="s">
        <v>501</v>
      </c>
      <c r="P112" s="6"/>
      <c r="Q112" s="6"/>
      <c r="R112" s="6"/>
      <c r="S112" s="6"/>
      <c r="T112" s="6"/>
    </row>
    <row r="113" customFormat="false" ht="23.85" hidden="false" customHeight="false" outlineLevel="0" collapsed="false">
      <c r="A113" s="6" t="n">
        <v>112</v>
      </c>
      <c r="B113" s="6" t="s">
        <v>10</v>
      </c>
      <c r="C113" s="7" t="n">
        <v>0.663194444444444</v>
      </c>
      <c r="D113" s="7"/>
      <c r="E113" s="6" t="s">
        <v>15</v>
      </c>
      <c r="F113" s="6" t="s">
        <v>81</v>
      </c>
      <c r="G113" s="6" t="s">
        <v>1030</v>
      </c>
      <c r="H113" s="6" t="s">
        <v>1031</v>
      </c>
      <c r="I113" s="6" t="s">
        <v>1032</v>
      </c>
      <c r="J113" s="6" t="s">
        <v>1033</v>
      </c>
      <c r="K113" s="6" t="n">
        <v>1</v>
      </c>
      <c r="L113" s="6"/>
      <c r="M113" s="6"/>
      <c r="N113" s="6"/>
      <c r="O113" s="6"/>
      <c r="P113" s="6"/>
      <c r="Q113" s="6"/>
      <c r="R113" s="6"/>
      <c r="S113" s="6"/>
      <c r="T113" s="6"/>
    </row>
    <row r="114" customFormat="false" ht="23.85" hidden="false" customHeight="false" outlineLevel="0" collapsed="false">
      <c r="A114" s="6" t="n">
        <v>113</v>
      </c>
      <c r="B114" s="6" t="s">
        <v>10</v>
      </c>
      <c r="C114" s="7" t="n">
        <v>0.663194444444444</v>
      </c>
      <c r="D114" s="7"/>
      <c r="E114" s="6" t="s">
        <v>32</v>
      </c>
      <c r="F114" s="6" t="s">
        <v>67</v>
      </c>
      <c r="G114" s="6" t="s">
        <v>1034</v>
      </c>
      <c r="H114" s="6" t="s">
        <v>1035</v>
      </c>
      <c r="I114" s="6" t="s">
        <v>1036</v>
      </c>
      <c r="J114" s="6" t="s">
        <v>1037</v>
      </c>
      <c r="K114" s="6" t="n">
        <v>2</v>
      </c>
      <c r="L114" s="6"/>
      <c r="M114" s="6" t="s">
        <v>108</v>
      </c>
      <c r="N114" s="6" t="s">
        <v>87</v>
      </c>
      <c r="O114" s="6" t="s">
        <v>109</v>
      </c>
      <c r="P114" s="6"/>
      <c r="Q114" s="6"/>
      <c r="R114" s="6"/>
      <c r="S114" s="6"/>
      <c r="T114" s="6"/>
    </row>
    <row r="115" customFormat="false" ht="23.85" hidden="false" customHeight="false" outlineLevel="0" collapsed="false">
      <c r="A115" s="6" t="n">
        <v>114</v>
      </c>
      <c r="B115" s="6" t="s">
        <v>10</v>
      </c>
      <c r="C115" s="7" t="n">
        <v>0.663194444444444</v>
      </c>
      <c r="D115" s="7"/>
      <c r="E115" s="6" t="s">
        <v>17</v>
      </c>
      <c r="F115" s="6" t="s">
        <v>215</v>
      </c>
      <c r="G115" s="6" t="s">
        <v>1038</v>
      </c>
      <c r="H115" s="6" t="s">
        <v>1039</v>
      </c>
      <c r="I115" s="6" t="s">
        <v>1040</v>
      </c>
      <c r="J115" s="6" t="s">
        <v>1041</v>
      </c>
      <c r="K115" s="6" t="n">
        <v>1</v>
      </c>
      <c r="L115" s="6"/>
      <c r="M115" s="6" t="s">
        <v>80</v>
      </c>
      <c r="N115" s="6" t="s">
        <v>65</v>
      </c>
      <c r="O115" s="6" t="s">
        <v>80</v>
      </c>
      <c r="P115" s="6"/>
      <c r="Q115" s="6"/>
      <c r="R115" s="6"/>
      <c r="S115" s="6"/>
      <c r="T115" s="6"/>
    </row>
    <row r="116" customFormat="false" ht="35.05" hidden="false" customHeight="false" outlineLevel="0" collapsed="false">
      <c r="A116" s="6" t="n">
        <v>115</v>
      </c>
      <c r="B116" s="6" t="s">
        <v>10</v>
      </c>
      <c r="C116" s="7" t="n">
        <v>0.666666666666667</v>
      </c>
      <c r="D116" s="7"/>
      <c r="E116" s="6" t="s">
        <v>37</v>
      </c>
      <c r="F116" s="6" t="s">
        <v>67</v>
      </c>
      <c r="G116" s="6" t="s">
        <v>1042</v>
      </c>
      <c r="H116" s="6" t="s">
        <v>1043</v>
      </c>
      <c r="I116" s="6" t="s">
        <v>1044</v>
      </c>
      <c r="J116" s="6" t="s">
        <v>1045</v>
      </c>
      <c r="K116" s="6" t="n">
        <v>2</v>
      </c>
      <c r="L116" s="6"/>
      <c r="M116" s="6" t="s">
        <v>97</v>
      </c>
      <c r="N116" s="6" t="s">
        <v>65</v>
      </c>
      <c r="O116" s="6" t="s">
        <v>97</v>
      </c>
      <c r="P116" s="6"/>
      <c r="Q116" s="6"/>
      <c r="R116" s="6"/>
      <c r="S116" s="6"/>
      <c r="T116" s="6"/>
    </row>
    <row r="117" customFormat="false" ht="23.85" hidden="false" customHeight="false" outlineLevel="0" collapsed="false">
      <c r="A117" s="6" t="n">
        <v>116</v>
      </c>
      <c r="B117" s="6" t="s">
        <v>10</v>
      </c>
      <c r="C117" s="7" t="n">
        <v>0.666666666666667</v>
      </c>
      <c r="D117" s="7"/>
      <c r="E117" s="6" t="s">
        <v>36</v>
      </c>
      <c r="F117" s="6" t="s">
        <v>156</v>
      </c>
      <c r="G117" s="6" t="s">
        <v>1046</v>
      </c>
      <c r="H117" s="6" t="s">
        <v>1047</v>
      </c>
      <c r="I117" s="6" t="s">
        <v>1048</v>
      </c>
      <c r="J117" s="6" t="s">
        <v>1049</v>
      </c>
      <c r="K117" s="6" t="n">
        <v>1</v>
      </c>
      <c r="L117" s="6"/>
      <c r="M117" s="6" t="s">
        <v>36</v>
      </c>
      <c r="N117" s="6"/>
      <c r="O117" s="6" t="s">
        <v>36</v>
      </c>
      <c r="P117" s="6"/>
      <c r="Q117" s="6"/>
      <c r="R117" s="6"/>
      <c r="S117" s="6"/>
      <c r="T117" s="6"/>
    </row>
    <row r="118" customFormat="false" ht="79.85" hidden="false" customHeight="false" outlineLevel="0" collapsed="false">
      <c r="A118" s="6" t="n">
        <v>117</v>
      </c>
      <c r="B118" s="6" t="s">
        <v>10</v>
      </c>
      <c r="C118" s="7" t="n">
        <v>0.670138888888889</v>
      </c>
      <c r="D118" s="7"/>
      <c r="E118" s="6" t="s">
        <v>14</v>
      </c>
      <c r="F118" s="6" t="s">
        <v>81</v>
      </c>
      <c r="G118" s="6" t="s">
        <v>1050</v>
      </c>
      <c r="H118" s="6" t="s">
        <v>1051</v>
      </c>
      <c r="I118" s="6" t="s">
        <v>1052</v>
      </c>
      <c r="J118" s="6" t="s">
        <v>1053</v>
      </c>
      <c r="K118" s="6" t="n">
        <v>1</v>
      </c>
      <c r="L118" s="6"/>
      <c r="M118" s="6" t="s">
        <v>588</v>
      </c>
      <c r="N118" s="6" t="s">
        <v>87</v>
      </c>
      <c r="O118" s="6" t="s">
        <v>948</v>
      </c>
      <c r="P118" s="6" t="s">
        <v>1054</v>
      </c>
      <c r="Q118" s="6"/>
      <c r="R118" s="6"/>
      <c r="S118" s="6"/>
      <c r="T118" s="6"/>
    </row>
    <row r="119" customFormat="false" ht="23.85" hidden="false" customHeight="false" outlineLevel="0" collapsed="false">
      <c r="A119" s="6" t="n">
        <v>118</v>
      </c>
      <c r="B119" s="6" t="s">
        <v>10</v>
      </c>
      <c r="C119" s="7" t="n">
        <v>0.673611111111111</v>
      </c>
      <c r="D119" s="7"/>
      <c r="E119" s="6" t="s">
        <v>13</v>
      </c>
      <c r="F119" s="6" t="s">
        <v>81</v>
      </c>
      <c r="G119" s="6" t="s">
        <v>1055</v>
      </c>
      <c r="H119" s="6" t="s">
        <v>1056</v>
      </c>
      <c r="I119" s="6" t="s">
        <v>1057</v>
      </c>
      <c r="J119" s="6" t="s">
        <v>1058</v>
      </c>
      <c r="K119" s="6" t="n">
        <v>1</v>
      </c>
      <c r="L119" s="6"/>
      <c r="M119" s="6" t="s">
        <v>114</v>
      </c>
      <c r="N119" s="6" t="s">
        <v>65</v>
      </c>
      <c r="O119" s="6" t="s">
        <v>114</v>
      </c>
      <c r="P119" s="6"/>
      <c r="Q119" s="6"/>
      <c r="R119" s="6"/>
      <c r="S119" s="6"/>
      <c r="T119" s="6"/>
    </row>
    <row r="120" customFormat="false" ht="124.6" hidden="false" customHeight="false" outlineLevel="0" collapsed="false">
      <c r="A120" s="6" t="n">
        <v>119</v>
      </c>
      <c r="B120" s="6" t="s">
        <v>10</v>
      </c>
      <c r="C120" s="7" t="n">
        <v>0.673611111111111</v>
      </c>
      <c r="D120" s="7"/>
      <c r="E120" s="6" t="s">
        <v>23</v>
      </c>
      <c r="F120" s="6" t="s">
        <v>134</v>
      </c>
      <c r="G120" s="6" t="s">
        <v>1059</v>
      </c>
      <c r="H120" s="6" t="s">
        <v>1060</v>
      </c>
      <c r="I120" s="6" t="s">
        <v>1061</v>
      </c>
      <c r="J120" s="6" t="s">
        <v>1062</v>
      </c>
      <c r="K120" s="6" t="n">
        <v>3</v>
      </c>
      <c r="L120" s="6" t="n">
        <v>2</v>
      </c>
      <c r="M120" s="6" t="s">
        <v>732</v>
      </c>
      <c r="N120" s="6" t="s">
        <v>87</v>
      </c>
      <c r="O120" s="6" t="s">
        <v>733</v>
      </c>
      <c r="P120" s="6" t="s">
        <v>1063</v>
      </c>
      <c r="Q120" s="6"/>
      <c r="R120" s="6"/>
      <c r="S120" s="6"/>
      <c r="T120" s="6"/>
    </row>
    <row r="121" customFormat="false" ht="23.85" hidden="false" customHeight="false" outlineLevel="0" collapsed="false">
      <c r="A121" s="6" t="n">
        <v>120</v>
      </c>
      <c r="B121" s="6" t="s">
        <v>10</v>
      </c>
      <c r="C121" s="7" t="n">
        <v>0.673611111111111</v>
      </c>
      <c r="D121" s="7"/>
      <c r="E121" s="6" t="s">
        <v>36</v>
      </c>
      <c r="F121" s="6" t="s">
        <v>156</v>
      </c>
      <c r="G121" s="6" t="s">
        <v>1064</v>
      </c>
      <c r="H121" s="6" t="s">
        <v>1065</v>
      </c>
      <c r="I121" s="6" t="s">
        <v>1066</v>
      </c>
      <c r="J121" s="6" t="s">
        <v>1067</v>
      </c>
      <c r="K121" s="6" t="n">
        <v>1</v>
      </c>
      <c r="L121" s="6"/>
      <c r="M121" s="6" t="s">
        <v>36</v>
      </c>
      <c r="N121" s="6"/>
      <c r="O121" s="6" t="s">
        <v>36</v>
      </c>
      <c r="P121" s="6"/>
      <c r="Q121" s="6"/>
      <c r="R121" s="6"/>
      <c r="S121" s="6"/>
      <c r="T121" s="6"/>
    </row>
    <row r="122" customFormat="false" ht="68.65" hidden="false" customHeight="false" outlineLevel="0" collapsed="false">
      <c r="A122" s="6" t="n">
        <v>121</v>
      </c>
      <c r="B122" s="6" t="s">
        <v>10</v>
      </c>
      <c r="C122" s="7" t="n">
        <v>0.673611111111111</v>
      </c>
      <c r="D122" s="7"/>
      <c r="E122" s="6" t="s">
        <v>33</v>
      </c>
      <c r="F122" s="6" t="s">
        <v>215</v>
      </c>
      <c r="G122" s="6" t="s">
        <v>1068</v>
      </c>
      <c r="H122" s="6" t="s">
        <v>1069</v>
      </c>
      <c r="I122" s="6" t="s">
        <v>1070</v>
      </c>
      <c r="J122" s="6" t="s">
        <v>1071</v>
      </c>
      <c r="K122" s="6" t="n">
        <v>3</v>
      </c>
      <c r="L122" s="6" t="n">
        <v>1</v>
      </c>
      <c r="M122" s="6" t="s">
        <v>103</v>
      </c>
      <c r="N122" s="6" t="s">
        <v>87</v>
      </c>
      <c r="O122" s="6" t="s">
        <v>103</v>
      </c>
      <c r="P122" s="6" t="s">
        <v>1072</v>
      </c>
      <c r="Q122" s="6"/>
      <c r="R122" s="6"/>
      <c r="S122" s="6"/>
      <c r="T122" s="6"/>
    </row>
    <row r="123" customFormat="false" ht="68.65" hidden="false" customHeight="false" outlineLevel="0" collapsed="false">
      <c r="A123" s="6" t="n">
        <v>122</v>
      </c>
      <c r="B123" s="6" t="s">
        <v>10</v>
      </c>
      <c r="C123" s="7" t="n">
        <v>0.673611111111111</v>
      </c>
      <c r="D123" s="7"/>
      <c r="E123" s="6" t="s">
        <v>32</v>
      </c>
      <c r="F123" s="6" t="s">
        <v>134</v>
      </c>
      <c r="G123" s="6" t="s">
        <v>1073</v>
      </c>
      <c r="H123" s="6" t="s">
        <v>1074</v>
      </c>
      <c r="I123" s="6" t="s">
        <v>1075</v>
      </c>
      <c r="J123" s="6" t="s">
        <v>1076</v>
      </c>
      <c r="K123" s="6" t="n">
        <v>3</v>
      </c>
      <c r="L123" s="6" t="n">
        <v>2</v>
      </c>
      <c r="M123" s="6" t="s">
        <v>108</v>
      </c>
      <c r="N123" s="6" t="s">
        <v>87</v>
      </c>
      <c r="O123" s="6" t="s">
        <v>109</v>
      </c>
      <c r="P123" s="6" t="s">
        <v>1077</v>
      </c>
      <c r="Q123" s="6"/>
      <c r="R123" s="6"/>
      <c r="S123" s="6"/>
      <c r="T123" s="6"/>
    </row>
    <row r="124" customFormat="false" ht="23.85" hidden="false" customHeight="false" outlineLevel="0" collapsed="false">
      <c r="A124" s="6" t="n">
        <v>123</v>
      </c>
      <c r="B124" s="6" t="s">
        <v>10</v>
      </c>
      <c r="C124" s="7" t="n">
        <v>0.673611111111111</v>
      </c>
      <c r="D124" s="7"/>
      <c r="E124" s="6" t="s">
        <v>21</v>
      </c>
      <c r="F124" s="6" t="s">
        <v>81</v>
      </c>
      <c r="G124" s="6" t="s">
        <v>1078</v>
      </c>
      <c r="H124" s="6" t="s">
        <v>1079</v>
      </c>
      <c r="I124" s="6" t="s">
        <v>1080</v>
      </c>
      <c r="J124" s="6" t="s">
        <v>1081</v>
      </c>
      <c r="K124" s="6" t="n">
        <v>1</v>
      </c>
      <c r="L124" s="6"/>
      <c r="M124" s="6" t="s">
        <v>119</v>
      </c>
      <c r="N124" s="6" t="s">
        <v>87</v>
      </c>
      <c r="O124" s="6" t="s">
        <v>1012</v>
      </c>
      <c r="P124" s="6"/>
      <c r="Q124" s="6"/>
      <c r="R124" s="6"/>
      <c r="S124" s="6"/>
      <c r="T124" s="6"/>
    </row>
    <row r="125" customFormat="false" ht="91" hidden="false" customHeight="false" outlineLevel="0" collapsed="false">
      <c r="A125" s="6" t="n">
        <v>124</v>
      </c>
      <c r="B125" s="6" t="s">
        <v>10</v>
      </c>
      <c r="C125" s="7" t="n">
        <v>0.673611111111111</v>
      </c>
      <c r="D125" s="7"/>
      <c r="E125" s="6" t="s">
        <v>15</v>
      </c>
      <c r="F125" s="6" t="s">
        <v>134</v>
      </c>
      <c r="G125" s="6" t="s">
        <v>1082</v>
      </c>
      <c r="H125" s="6" t="s">
        <v>1083</v>
      </c>
      <c r="I125" s="6" t="s">
        <v>1084</v>
      </c>
      <c r="J125" s="6" t="s">
        <v>1085</v>
      </c>
      <c r="K125" s="6" t="n">
        <v>3</v>
      </c>
      <c r="L125" s="6" t="n">
        <v>3</v>
      </c>
      <c r="M125" s="6" t="s">
        <v>64</v>
      </c>
      <c r="N125" s="6" t="s">
        <v>65</v>
      </c>
      <c r="O125" s="6" t="s">
        <v>64</v>
      </c>
      <c r="P125" s="6" t="s">
        <v>1086</v>
      </c>
      <c r="Q125" s="6"/>
      <c r="R125" s="6"/>
      <c r="S125" s="6"/>
      <c r="T125" s="6"/>
    </row>
    <row r="126" customFormat="false" ht="68.65" hidden="false" customHeight="false" outlineLevel="0" collapsed="false">
      <c r="A126" s="6" t="n">
        <v>125</v>
      </c>
      <c r="B126" s="6" t="s">
        <v>10</v>
      </c>
      <c r="C126" s="7" t="n">
        <v>0.673611111111111</v>
      </c>
      <c r="D126" s="7"/>
      <c r="E126" s="6" t="s">
        <v>19</v>
      </c>
      <c r="F126" s="6" t="s">
        <v>134</v>
      </c>
      <c r="G126" s="6" t="s">
        <v>1087</v>
      </c>
      <c r="H126" s="6" t="s">
        <v>1088</v>
      </c>
      <c r="I126" s="6" t="s">
        <v>1089</v>
      </c>
      <c r="J126" s="6" t="s">
        <v>1090</v>
      </c>
      <c r="K126" s="6" t="n">
        <v>3</v>
      </c>
      <c r="L126" s="6" t="n">
        <v>2</v>
      </c>
      <c r="M126" s="6" t="s">
        <v>86</v>
      </c>
      <c r="N126" s="6" t="s">
        <v>87</v>
      </c>
      <c r="O126" s="6" t="s">
        <v>86</v>
      </c>
      <c r="P126" s="6" t="s">
        <v>1091</v>
      </c>
      <c r="Q126" s="6"/>
      <c r="R126" s="6"/>
      <c r="S126" s="6"/>
      <c r="T126" s="6"/>
    </row>
    <row r="127" customFormat="false" ht="113.4" hidden="false" customHeight="false" outlineLevel="0" collapsed="false">
      <c r="A127" s="6" t="n">
        <v>126</v>
      </c>
      <c r="B127" s="6" t="s">
        <v>10</v>
      </c>
      <c r="C127" s="7" t="n">
        <v>0.673611111111111</v>
      </c>
      <c r="D127" s="7"/>
      <c r="E127" s="6" t="s">
        <v>17</v>
      </c>
      <c r="F127" s="6" t="s">
        <v>134</v>
      </c>
      <c r="G127" s="6" t="s">
        <v>1092</v>
      </c>
      <c r="H127" s="6" t="s">
        <v>1093</v>
      </c>
      <c r="I127" s="6" t="s">
        <v>1094</v>
      </c>
      <c r="J127" s="6" t="s">
        <v>1095</v>
      </c>
      <c r="K127" s="6" t="n">
        <v>3</v>
      </c>
      <c r="L127" s="6" t="n">
        <v>2</v>
      </c>
      <c r="M127" s="6" t="s">
        <v>80</v>
      </c>
      <c r="N127" s="6" t="s">
        <v>65</v>
      </c>
      <c r="O127" s="6" t="s">
        <v>80</v>
      </c>
      <c r="P127" s="6" t="s">
        <v>1096</v>
      </c>
      <c r="Q127" s="6"/>
      <c r="R127" s="6"/>
      <c r="S127" s="6"/>
      <c r="T127" s="6"/>
    </row>
    <row r="128" customFormat="false" ht="23.85" hidden="false" customHeight="false" outlineLevel="0" collapsed="false">
      <c r="A128" s="6" t="n">
        <v>127</v>
      </c>
      <c r="B128" s="6" t="s">
        <v>10</v>
      </c>
      <c r="C128" s="7" t="n">
        <v>0.677083333333333</v>
      </c>
      <c r="D128" s="7"/>
      <c r="E128" s="6" t="s">
        <v>37</v>
      </c>
      <c r="F128" s="6" t="s">
        <v>81</v>
      </c>
      <c r="G128" s="6" t="s">
        <v>1097</v>
      </c>
      <c r="H128" s="6" t="s">
        <v>1098</v>
      </c>
      <c r="I128" s="6" t="s">
        <v>1099</v>
      </c>
      <c r="J128" s="6" t="s">
        <v>1100</v>
      </c>
      <c r="K128" s="6" t="n">
        <v>1</v>
      </c>
      <c r="L128" s="6"/>
      <c r="M128" s="6" t="s">
        <v>97</v>
      </c>
      <c r="N128" s="6" t="s">
        <v>65</v>
      </c>
      <c r="O128" s="6" t="s">
        <v>97</v>
      </c>
      <c r="P128" s="6"/>
      <c r="Q128" s="6"/>
      <c r="R128" s="6"/>
      <c r="S128" s="6"/>
      <c r="T128" s="6"/>
    </row>
    <row r="129" customFormat="false" ht="23.85" hidden="false" customHeight="false" outlineLevel="0" collapsed="false">
      <c r="A129" s="6" t="n">
        <v>128</v>
      </c>
      <c r="B129" s="6" t="s">
        <v>10</v>
      </c>
      <c r="C129" s="7" t="n">
        <v>0.680555555555556</v>
      </c>
      <c r="D129" s="7"/>
      <c r="E129" s="6" t="s">
        <v>36</v>
      </c>
      <c r="F129" s="6" t="s">
        <v>156</v>
      </c>
      <c r="G129" s="6" t="s">
        <v>1101</v>
      </c>
      <c r="H129" s="6" t="s">
        <v>1102</v>
      </c>
      <c r="I129" s="6" t="s">
        <v>1103</v>
      </c>
      <c r="J129" s="6" t="s">
        <v>1104</v>
      </c>
      <c r="K129" s="6" t="n">
        <v>1</v>
      </c>
      <c r="L129" s="6"/>
      <c r="M129" s="6" t="s">
        <v>36</v>
      </c>
      <c r="N129" s="6"/>
      <c r="O129" s="6" t="s">
        <v>36</v>
      </c>
      <c r="P129" s="6"/>
      <c r="Q129" s="6"/>
      <c r="R129" s="6"/>
      <c r="S129" s="6"/>
      <c r="T129" s="6"/>
    </row>
    <row r="130" customFormat="false" ht="68.65" hidden="false" customHeight="false" outlineLevel="0" collapsed="false">
      <c r="A130" s="6" t="n">
        <v>129</v>
      </c>
      <c r="B130" s="6" t="s">
        <v>10</v>
      </c>
      <c r="C130" s="7" t="n">
        <v>0.680555555555556</v>
      </c>
      <c r="D130" s="7"/>
      <c r="E130" s="6" t="s">
        <v>14</v>
      </c>
      <c r="F130" s="6" t="s">
        <v>134</v>
      </c>
      <c r="G130" s="6" t="s">
        <v>1105</v>
      </c>
      <c r="H130" s="6" t="s">
        <v>1106</v>
      </c>
      <c r="I130" s="6" t="s">
        <v>1107</v>
      </c>
      <c r="J130" s="6" t="s">
        <v>1108</v>
      </c>
      <c r="K130" s="6" t="n">
        <v>3</v>
      </c>
      <c r="L130" s="6" t="n">
        <v>2</v>
      </c>
      <c r="M130" s="6" t="s">
        <v>588</v>
      </c>
      <c r="N130" s="6" t="s">
        <v>87</v>
      </c>
      <c r="O130" s="6" t="s">
        <v>588</v>
      </c>
      <c r="P130" s="6" t="s">
        <v>1109</v>
      </c>
      <c r="Q130" s="6"/>
      <c r="R130" s="6"/>
      <c r="S130" s="6"/>
      <c r="T130" s="6"/>
    </row>
    <row r="131" customFormat="false" ht="35.05" hidden="false" customHeight="false" outlineLevel="0" collapsed="false">
      <c r="A131" s="6" t="n">
        <v>130</v>
      </c>
      <c r="B131" s="6" t="s">
        <v>10</v>
      </c>
      <c r="C131" s="7" t="n">
        <v>0.684027777777778</v>
      </c>
      <c r="D131" s="7"/>
      <c r="E131" s="6" t="s">
        <v>37</v>
      </c>
      <c r="F131" s="6" t="s">
        <v>81</v>
      </c>
      <c r="G131" s="6" t="s">
        <v>1110</v>
      </c>
      <c r="H131" s="6" t="s">
        <v>1111</v>
      </c>
      <c r="I131" s="6" t="s">
        <v>1112</v>
      </c>
      <c r="J131" s="6" t="s">
        <v>1113</v>
      </c>
      <c r="K131" s="6" t="n">
        <v>1</v>
      </c>
      <c r="L131" s="6"/>
      <c r="M131" s="6" t="s">
        <v>97</v>
      </c>
      <c r="N131" s="6" t="s">
        <v>65</v>
      </c>
      <c r="O131" s="6" t="s">
        <v>97</v>
      </c>
      <c r="P131" s="6"/>
      <c r="Q131" s="6"/>
      <c r="R131" s="6"/>
      <c r="S131" s="6"/>
      <c r="T131" s="6"/>
    </row>
    <row r="132" customFormat="false" ht="57.45" hidden="false" customHeight="false" outlineLevel="0" collapsed="false">
      <c r="A132" s="6" t="n">
        <v>131</v>
      </c>
      <c r="B132" s="6" t="s">
        <v>10</v>
      </c>
      <c r="C132" s="7" t="n">
        <v>0.684027777777778</v>
      </c>
      <c r="D132" s="7"/>
      <c r="E132" s="6" t="s">
        <v>21</v>
      </c>
      <c r="F132" s="6" t="s">
        <v>134</v>
      </c>
      <c r="G132" s="6" t="s">
        <v>1114</v>
      </c>
      <c r="H132" s="6" t="s">
        <v>1115</v>
      </c>
      <c r="I132" s="6" t="s">
        <v>1116</v>
      </c>
      <c r="J132" s="6" t="s">
        <v>1117</v>
      </c>
      <c r="K132" s="6" t="n">
        <v>3</v>
      </c>
      <c r="L132" s="6" t="n">
        <v>1</v>
      </c>
      <c r="M132" s="6" t="s">
        <v>119</v>
      </c>
      <c r="N132" s="6" t="s">
        <v>87</v>
      </c>
      <c r="O132" s="6" t="s">
        <v>119</v>
      </c>
      <c r="P132" s="6" t="s">
        <v>1118</v>
      </c>
      <c r="Q132" s="6"/>
      <c r="R132" s="6"/>
      <c r="S132" s="6"/>
      <c r="T132" s="6"/>
    </row>
    <row r="133" customFormat="false" ht="35.05" hidden="false" customHeight="false" outlineLevel="0" collapsed="false">
      <c r="A133" s="6" t="n">
        <v>132</v>
      </c>
      <c r="B133" s="6" t="s">
        <v>10</v>
      </c>
      <c r="C133" s="7" t="n">
        <v>0.684027777777778</v>
      </c>
      <c r="D133" s="7"/>
      <c r="E133" s="6" t="s">
        <v>13</v>
      </c>
      <c r="F133" s="6" t="s">
        <v>134</v>
      </c>
      <c r="G133" s="6" t="s">
        <v>1119</v>
      </c>
      <c r="H133" s="6" t="s">
        <v>1120</v>
      </c>
      <c r="I133" s="6" t="s">
        <v>1121</v>
      </c>
      <c r="J133" s="6" t="s">
        <v>1122</v>
      </c>
      <c r="K133" s="6" t="n">
        <v>3</v>
      </c>
      <c r="L133" s="6" t="n">
        <v>3</v>
      </c>
      <c r="M133" s="6" t="s">
        <v>114</v>
      </c>
      <c r="N133" s="6" t="s">
        <v>65</v>
      </c>
      <c r="O133" s="6" t="s">
        <v>114</v>
      </c>
      <c r="P133" s="6"/>
      <c r="Q133" s="6"/>
      <c r="R133" s="6"/>
      <c r="S133" s="6"/>
      <c r="T133" s="6"/>
    </row>
    <row r="134" customFormat="false" ht="23.85" hidden="false" customHeight="false" outlineLevel="0" collapsed="false">
      <c r="A134" s="6" t="n">
        <v>133</v>
      </c>
      <c r="B134" s="6" t="s">
        <v>10</v>
      </c>
      <c r="C134" s="7" t="n">
        <v>0.6875</v>
      </c>
      <c r="D134" s="7"/>
      <c r="E134" s="6" t="s">
        <v>36</v>
      </c>
      <c r="F134" s="6" t="s">
        <v>156</v>
      </c>
      <c r="G134" s="6" t="s">
        <v>1123</v>
      </c>
      <c r="H134" s="6" t="s">
        <v>1124</v>
      </c>
      <c r="I134" s="6" t="s">
        <v>1125</v>
      </c>
      <c r="J134" s="6" t="s">
        <v>1126</v>
      </c>
      <c r="K134" s="6" t="n">
        <v>1</v>
      </c>
      <c r="L134" s="6"/>
      <c r="M134" s="6" t="s">
        <v>36</v>
      </c>
      <c r="N134" s="6"/>
      <c r="O134" s="6" t="s">
        <v>36</v>
      </c>
      <c r="P134" s="6"/>
      <c r="Q134" s="6"/>
      <c r="R134" s="6"/>
      <c r="S134" s="6"/>
      <c r="T134" s="6"/>
    </row>
    <row r="135" customFormat="false" ht="79.85" hidden="false" customHeight="false" outlineLevel="0" collapsed="false">
      <c r="A135" s="6" t="n">
        <v>134</v>
      </c>
      <c r="B135" s="6" t="s">
        <v>10</v>
      </c>
      <c r="C135" s="7" t="n">
        <v>0.690972222222222</v>
      </c>
      <c r="D135" s="7"/>
      <c r="E135" s="6" t="s">
        <v>37</v>
      </c>
      <c r="F135" s="6" t="s">
        <v>134</v>
      </c>
      <c r="G135" s="6" t="s">
        <v>1127</v>
      </c>
      <c r="H135" s="6" t="s">
        <v>1128</v>
      </c>
      <c r="I135" s="6" t="s">
        <v>1129</v>
      </c>
      <c r="J135" s="6" t="s">
        <v>1130</v>
      </c>
      <c r="K135" s="6" t="n">
        <v>3</v>
      </c>
      <c r="L135" s="6" t="n">
        <v>2</v>
      </c>
      <c r="M135" s="6" t="s">
        <v>97</v>
      </c>
      <c r="N135" s="6" t="s">
        <v>65</v>
      </c>
      <c r="O135" s="6" t="s">
        <v>97</v>
      </c>
      <c r="P135" s="6" t="s">
        <v>1131</v>
      </c>
      <c r="Q135" s="6"/>
      <c r="R135" s="6"/>
      <c r="S135" s="6"/>
      <c r="T135" s="6"/>
    </row>
    <row r="136" customFormat="false" ht="23.85" hidden="false" customHeight="false" outlineLevel="0" collapsed="false">
      <c r="A136" s="6" t="n">
        <v>135</v>
      </c>
      <c r="B136" s="6" t="s">
        <v>10</v>
      </c>
      <c r="C136" s="7" t="n">
        <v>0.694444444444444</v>
      </c>
      <c r="D136" s="7"/>
      <c r="E136" s="6" t="s">
        <v>36</v>
      </c>
      <c r="F136" s="6" t="s">
        <v>156</v>
      </c>
      <c r="G136" s="6" t="s">
        <v>1132</v>
      </c>
      <c r="H136" s="6" t="s">
        <v>1133</v>
      </c>
      <c r="I136" s="6" t="s">
        <v>1134</v>
      </c>
      <c r="J136" s="6" t="s">
        <v>1135</v>
      </c>
      <c r="K136" s="6" t="n">
        <v>1</v>
      </c>
      <c r="L136" s="6"/>
      <c r="M136" s="6" t="s">
        <v>36</v>
      </c>
      <c r="N136" s="6"/>
      <c r="O136" s="6" t="s">
        <v>36</v>
      </c>
      <c r="P136" s="6"/>
      <c r="Q136" s="6"/>
      <c r="R136" s="6"/>
      <c r="S136" s="6"/>
      <c r="T136" s="6"/>
    </row>
    <row r="137" customFormat="false" ht="15" hidden="false" customHeight="false" outlineLevel="0" collapsed="false">
      <c r="A137" s="6" t="n">
        <v>136</v>
      </c>
      <c r="B137" s="6" t="s">
        <v>10</v>
      </c>
      <c r="C137" s="7" t="n">
        <v>0.694444444444444</v>
      </c>
      <c r="D137" s="7"/>
      <c r="E137" s="6" t="s">
        <v>29</v>
      </c>
      <c r="F137" s="6" t="s">
        <v>695</v>
      </c>
      <c r="G137" s="6" t="s">
        <v>1136</v>
      </c>
      <c r="H137" s="6" t="s">
        <v>697</v>
      </c>
      <c r="I137" s="6" t="s">
        <v>698</v>
      </c>
      <c r="J137" s="6" t="s">
        <v>699</v>
      </c>
      <c r="K137" s="6" t="n">
        <v>1</v>
      </c>
      <c r="L137" s="6"/>
      <c r="M137" s="6" t="s">
        <v>255</v>
      </c>
      <c r="N137" s="6" t="s">
        <v>87</v>
      </c>
      <c r="O137" s="6" t="s">
        <v>795</v>
      </c>
      <c r="P137" s="6"/>
      <c r="Q137" s="6"/>
      <c r="R137" s="6"/>
      <c r="S137" s="6"/>
      <c r="T137" s="6"/>
    </row>
    <row r="138" customFormat="false" ht="23.85" hidden="false" customHeight="false" outlineLevel="0" collapsed="false">
      <c r="A138" s="6" t="n">
        <v>137</v>
      </c>
      <c r="B138" s="6" t="s">
        <v>10</v>
      </c>
      <c r="C138" s="7" t="n">
        <v>0.711805555555556</v>
      </c>
      <c r="D138" s="7"/>
      <c r="E138" s="6" t="s">
        <v>14</v>
      </c>
      <c r="F138" s="6" t="s">
        <v>81</v>
      </c>
      <c r="G138" s="6" t="s">
        <v>1137</v>
      </c>
      <c r="H138" s="6" t="s">
        <v>1138</v>
      </c>
      <c r="I138" s="6" t="s">
        <v>1139</v>
      </c>
      <c r="J138" s="6" t="s">
        <v>1140</v>
      </c>
      <c r="K138" s="6" t="n">
        <v>2</v>
      </c>
      <c r="L138" s="6"/>
      <c r="M138" s="6" t="s">
        <v>588</v>
      </c>
      <c r="N138" s="6" t="s">
        <v>87</v>
      </c>
      <c r="O138" s="6" t="s">
        <v>588</v>
      </c>
      <c r="P138" s="6"/>
      <c r="Q138" s="6"/>
      <c r="R138" s="6"/>
      <c r="S138" s="6"/>
      <c r="T138" s="6"/>
    </row>
    <row r="139" customFormat="false" ht="91" hidden="false" customHeight="false" outlineLevel="0" collapsed="false">
      <c r="A139" s="6" t="n">
        <v>138</v>
      </c>
      <c r="B139" s="6" t="s">
        <v>10</v>
      </c>
      <c r="C139" s="7" t="n">
        <v>0.722222222222222</v>
      </c>
      <c r="D139" s="7"/>
      <c r="E139" s="6" t="s">
        <v>14</v>
      </c>
      <c r="F139" s="6" t="s">
        <v>134</v>
      </c>
      <c r="G139" s="6" t="s">
        <v>1141</v>
      </c>
      <c r="H139" s="6" t="s">
        <v>1142</v>
      </c>
      <c r="I139" s="6" t="s">
        <v>1143</v>
      </c>
      <c r="J139" s="6" t="s">
        <v>1144</v>
      </c>
      <c r="K139" s="6" t="n">
        <v>3</v>
      </c>
      <c r="L139" s="6" t="n">
        <v>2</v>
      </c>
      <c r="M139" s="6" t="s">
        <v>588</v>
      </c>
      <c r="N139" s="6" t="s">
        <v>87</v>
      </c>
      <c r="O139" s="6" t="s">
        <v>588</v>
      </c>
      <c r="P139" s="6" t="s">
        <v>1145</v>
      </c>
      <c r="Q139" s="6"/>
      <c r="R139" s="6"/>
      <c r="S139" s="6"/>
      <c r="T13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11</v>
      </c>
      <c r="C2" s="7"/>
      <c r="D2" s="7"/>
      <c r="E2" s="6" t="s">
        <v>31</v>
      </c>
      <c r="F2" s="6" t="s">
        <v>31</v>
      </c>
      <c r="G2" s="6" t="s">
        <v>1146</v>
      </c>
      <c r="H2" s="6" t="s">
        <v>209</v>
      </c>
      <c r="I2" s="6" t="s">
        <v>210</v>
      </c>
      <c r="J2" s="6" t="s">
        <v>211</v>
      </c>
      <c r="K2" s="6" t="n">
        <v>1</v>
      </c>
      <c r="L2" s="6"/>
      <c r="M2" s="6" t="s">
        <v>212</v>
      </c>
      <c r="N2" s="6" t="s">
        <v>65</v>
      </c>
      <c r="O2" s="6" t="s">
        <v>213</v>
      </c>
      <c r="P2" s="6"/>
      <c r="Q2" s="6"/>
      <c r="R2" s="6"/>
      <c r="S2" s="6"/>
      <c r="T2" s="6"/>
    </row>
    <row r="3" customFormat="false" ht="35.05" hidden="false" customHeight="false" outlineLevel="0" collapsed="false">
      <c r="A3" s="6" t="n">
        <v>2</v>
      </c>
      <c r="B3" s="6" t="s">
        <v>11</v>
      </c>
      <c r="C3" s="7" t="n">
        <v>0.395833333333333</v>
      </c>
      <c r="D3" s="7"/>
      <c r="E3" s="6" t="s">
        <v>14</v>
      </c>
      <c r="F3" s="6" t="s">
        <v>215</v>
      </c>
      <c r="G3" s="6" t="s">
        <v>1147</v>
      </c>
      <c r="H3" s="6" t="s">
        <v>1148</v>
      </c>
      <c r="I3" s="6" t="s">
        <v>1149</v>
      </c>
      <c r="J3" s="6" t="s">
        <v>1150</v>
      </c>
      <c r="K3" s="6" t="n">
        <v>2</v>
      </c>
      <c r="L3" s="6"/>
      <c r="M3" s="6" t="s">
        <v>588</v>
      </c>
      <c r="N3" s="6" t="s">
        <v>87</v>
      </c>
      <c r="O3" s="6" t="s">
        <v>588</v>
      </c>
      <c r="P3" s="6"/>
      <c r="Q3" s="6"/>
      <c r="R3" s="6"/>
      <c r="S3" s="6"/>
      <c r="T3" s="6"/>
    </row>
    <row r="4" customFormat="false" ht="35.05" hidden="false" customHeight="false" outlineLevel="0" collapsed="false">
      <c r="A4" s="6" t="n">
        <v>3</v>
      </c>
      <c r="B4" s="6" t="s">
        <v>11</v>
      </c>
      <c r="C4" s="7" t="n">
        <v>0.40625</v>
      </c>
      <c r="D4" s="7"/>
      <c r="E4" s="6" t="s">
        <v>18</v>
      </c>
      <c r="F4" s="6" t="s">
        <v>594</v>
      </c>
      <c r="G4" s="6" t="s">
        <v>1151</v>
      </c>
      <c r="H4" s="6" t="s">
        <v>1152</v>
      </c>
      <c r="I4" s="6" t="s">
        <v>1153</v>
      </c>
      <c r="J4" s="6" t="s">
        <v>1154</v>
      </c>
      <c r="K4" s="6" t="n">
        <v>2</v>
      </c>
      <c r="L4" s="6"/>
      <c r="M4" s="6" t="s">
        <v>64</v>
      </c>
      <c r="N4" s="6" t="s">
        <v>65</v>
      </c>
      <c r="O4" s="6" t="s">
        <v>64</v>
      </c>
      <c r="P4" s="6"/>
      <c r="Q4" s="6"/>
      <c r="R4" s="6"/>
      <c r="S4" s="6"/>
      <c r="T4" s="6"/>
    </row>
    <row r="5" customFormat="false" ht="23.85" hidden="false" customHeight="false" outlineLevel="0" collapsed="false">
      <c r="A5" s="6" t="n">
        <v>4</v>
      </c>
      <c r="B5" s="6" t="s">
        <v>11</v>
      </c>
      <c r="C5" s="7" t="n">
        <v>0.40625</v>
      </c>
      <c r="D5" s="7"/>
      <c r="E5" s="6" t="s">
        <v>14</v>
      </c>
      <c r="F5" s="6" t="s">
        <v>67</v>
      </c>
      <c r="G5" s="6" t="s">
        <v>1155</v>
      </c>
      <c r="H5" s="6" t="s">
        <v>1156</v>
      </c>
      <c r="I5" s="6" t="s">
        <v>1157</v>
      </c>
      <c r="J5" s="6" t="s">
        <v>1158</v>
      </c>
      <c r="K5" s="6" t="n">
        <v>2</v>
      </c>
      <c r="L5" s="6"/>
      <c r="M5" s="6" t="s">
        <v>588</v>
      </c>
      <c r="N5" s="6" t="s">
        <v>87</v>
      </c>
      <c r="O5" s="6" t="s">
        <v>588</v>
      </c>
      <c r="P5" s="6"/>
      <c r="Q5" s="6"/>
      <c r="R5" s="6"/>
      <c r="S5" s="6"/>
      <c r="T5" s="6"/>
    </row>
    <row r="6" customFormat="false" ht="68.65" hidden="false" customHeight="false" outlineLevel="0" collapsed="false">
      <c r="A6" s="6" t="n">
        <v>5</v>
      </c>
      <c r="B6" s="6" t="s">
        <v>11</v>
      </c>
      <c r="C6" s="7" t="n">
        <v>0.416666666666667</v>
      </c>
      <c r="D6" s="7"/>
      <c r="E6" s="6" t="s">
        <v>18</v>
      </c>
      <c r="F6" s="6" t="s">
        <v>134</v>
      </c>
      <c r="G6" s="6" t="s">
        <v>1159</v>
      </c>
      <c r="H6" s="6" t="s">
        <v>1160</v>
      </c>
      <c r="I6" s="6" t="s">
        <v>1161</v>
      </c>
      <c r="J6" s="6" t="s">
        <v>1162</v>
      </c>
      <c r="K6" s="6" t="n">
        <v>3</v>
      </c>
      <c r="L6" s="6" t="n">
        <v>1</v>
      </c>
      <c r="M6" s="6" t="s">
        <v>64</v>
      </c>
      <c r="N6" s="6" t="s">
        <v>65</v>
      </c>
      <c r="O6" s="6" t="s">
        <v>64</v>
      </c>
      <c r="P6" s="6" t="s">
        <v>1163</v>
      </c>
      <c r="Q6" s="6"/>
      <c r="R6" s="6"/>
      <c r="S6" s="6"/>
      <c r="T6" s="6"/>
    </row>
    <row r="7" customFormat="false" ht="35.05" hidden="false" customHeight="false" outlineLevel="0" collapsed="false">
      <c r="A7" s="6" t="n">
        <v>6</v>
      </c>
      <c r="B7" s="6" t="s">
        <v>11</v>
      </c>
      <c r="C7" s="7" t="n">
        <v>0.416666666666667</v>
      </c>
      <c r="D7" s="7"/>
      <c r="E7" s="6" t="s">
        <v>14</v>
      </c>
      <c r="F7" s="6" t="s">
        <v>134</v>
      </c>
      <c r="G7" s="6" t="s">
        <v>1164</v>
      </c>
      <c r="H7" s="6" t="s">
        <v>1165</v>
      </c>
      <c r="I7" s="6" t="s">
        <v>1166</v>
      </c>
      <c r="J7" s="6" t="s">
        <v>1167</v>
      </c>
      <c r="K7" s="6" t="n">
        <v>3</v>
      </c>
      <c r="L7" s="6" t="n">
        <v>2</v>
      </c>
      <c r="M7" s="6" t="s">
        <v>588</v>
      </c>
      <c r="N7" s="6" t="s">
        <v>87</v>
      </c>
      <c r="O7" s="6" t="s">
        <v>588</v>
      </c>
      <c r="P7" s="6"/>
      <c r="Q7" s="6"/>
      <c r="R7" s="6"/>
      <c r="S7" s="6"/>
      <c r="T7" s="6"/>
    </row>
    <row r="8" customFormat="false" ht="35.05" hidden="false" customHeight="false" outlineLevel="0" collapsed="false">
      <c r="A8" s="6" t="n">
        <v>7</v>
      </c>
      <c r="B8" s="6" t="s">
        <v>11</v>
      </c>
      <c r="C8" s="7" t="n">
        <v>0.447916666666667</v>
      </c>
      <c r="D8" s="7"/>
      <c r="E8" s="6" t="s">
        <v>31</v>
      </c>
      <c r="F8" s="6" t="s">
        <v>31</v>
      </c>
      <c r="G8" s="6" t="s">
        <v>1168</v>
      </c>
      <c r="H8" s="6" t="s">
        <v>209</v>
      </c>
      <c r="I8" s="6" t="s">
        <v>210</v>
      </c>
      <c r="J8" s="6" t="s">
        <v>211</v>
      </c>
      <c r="K8" s="6" t="n">
        <v>1</v>
      </c>
      <c r="L8" s="6"/>
      <c r="M8" s="6" t="s">
        <v>212</v>
      </c>
      <c r="N8" s="6" t="s">
        <v>65</v>
      </c>
      <c r="O8" s="6" t="s">
        <v>213</v>
      </c>
      <c r="P8" s="6" t="s">
        <v>214</v>
      </c>
      <c r="Q8" s="6"/>
      <c r="R8" s="6"/>
      <c r="S8" s="6"/>
      <c r="T8" s="6"/>
    </row>
    <row r="9" customFormat="false" ht="15" hidden="false" customHeight="false" outlineLevel="0" collapsed="false">
      <c r="A9" s="6" t="n">
        <v>8</v>
      </c>
      <c r="B9" s="6" t="s">
        <v>11</v>
      </c>
      <c r="C9" s="7" t="n">
        <v>0.493055555555556</v>
      </c>
      <c r="D9" s="7"/>
      <c r="E9" s="6" t="s">
        <v>36</v>
      </c>
      <c r="F9" s="6" t="s">
        <v>156</v>
      </c>
      <c r="G9" s="6" t="s">
        <v>1169</v>
      </c>
      <c r="H9" s="6" t="s">
        <v>1170</v>
      </c>
      <c r="I9" s="6" t="s">
        <v>1171</v>
      </c>
      <c r="J9" s="6" t="s">
        <v>1172</v>
      </c>
      <c r="K9" s="6" t="n">
        <v>1</v>
      </c>
      <c r="L9" s="6"/>
      <c r="M9" s="6" t="s">
        <v>36</v>
      </c>
      <c r="N9" s="6"/>
      <c r="O9" s="6" t="s">
        <v>36</v>
      </c>
      <c r="P9" s="6"/>
      <c r="Q9" s="6"/>
      <c r="R9" s="6"/>
      <c r="S9" s="6"/>
      <c r="T9" s="6"/>
    </row>
    <row r="10" customFormat="false" ht="15" hidden="false" customHeight="false" outlineLevel="0" collapsed="false">
      <c r="A10" s="6" t="n">
        <v>9</v>
      </c>
      <c r="B10" s="6" t="s">
        <v>11</v>
      </c>
      <c r="C10" s="7" t="n">
        <v>0.496527777777778</v>
      </c>
      <c r="D10" s="7"/>
      <c r="E10" s="6" t="s">
        <v>29</v>
      </c>
      <c r="F10" s="6" t="s">
        <v>695</v>
      </c>
      <c r="G10" s="6" t="s">
        <v>696</v>
      </c>
      <c r="H10" s="6" t="s">
        <v>697</v>
      </c>
      <c r="I10" s="6" t="s">
        <v>698</v>
      </c>
      <c r="J10" s="6" t="s">
        <v>699</v>
      </c>
      <c r="K10" s="6" t="n">
        <v>1</v>
      </c>
      <c r="L10" s="6"/>
      <c r="M10" s="6" t="s">
        <v>255</v>
      </c>
      <c r="N10" s="6" t="s">
        <v>87</v>
      </c>
      <c r="O10" s="6" t="s">
        <v>795</v>
      </c>
      <c r="P10" s="6"/>
      <c r="Q10" s="6"/>
      <c r="R10" s="6"/>
      <c r="S10" s="6"/>
      <c r="T10" s="6"/>
    </row>
    <row r="11" customFormat="false" ht="35.05" hidden="false" customHeight="false" outlineLevel="0" collapsed="false">
      <c r="A11" s="6" t="n">
        <v>10</v>
      </c>
      <c r="B11" s="6" t="s">
        <v>11</v>
      </c>
      <c r="C11" s="7" t="n">
        <v>0.5</v>
      </c>
      <c r="D11" s="7"/>
      <c r="E11" s="6" t="s">
        <v>23</v>
      </c>
      <c r="F11" s="6" t="s">
        <v>67</v>
      </c>
      <c r="G11" s="6" t="s">
        <v>1173</v>
      </c>
      <c r="H11" s="6" t="s">
        <v>1174</v>
      </c>
      <c r="I11" s="6" t="s">
        <v>1175</v>
      </c>
      <c r="J11" s="6" t="s">
        <v>1176</v>
      </c>
      <c r="K11" s="6" t="n">
        <v>2</v>
      </c>
      <c r="L11" s="6"/>
      <c r="M11" s="6" t="s">
        <v>732</v>
      </c>
      <c r="N11" s="6" t="s">
        <v>87</v>
      </c>
      <c r="O11" s="6" t="s">
        <v>733</v>
      </c>
      <c r="P11" s="6"/>
      <c r="Q11" s="6"/>
      <c r="R11" s="6"/>
      <c r="S11" s="6"/>
      <c r="T11" s="6"/>
    </row>
    <row r="12" customFormat="false" ht="23.85" hidden="false" customHeight="false" outlineLevel="0" collapsed="false">
      <c r="A12" s="6" t="n">
        <v>11</v>
      </c>
      <c r="B12" s="6" t="s">
        <v>11</v>
      </c>
      <c r="C12" s="7" t="n">
        <v>0.5</v>
      </c>
      <c r="D12" s="7"/>
      <c r="E12" s="6" t="s">
        <v>36</v>
      </c>
      <c r="F12" s="6" t="s">
        <v>156</v>
      </c>
      <c r="G12" s="6" t="s">
        <v>1177</v>
      </c>
      <c r="H12" s="6" t="s">
        <v>1178</v>
      </c>
      <c r="I12" s="6" t="s">
        <v>1179</v>
      </c>
      <c r="J12" s="6" t="s">
        <v>1180</v>
      </c>
      <c r="K12" s="6" t="n">
        <v>1</v>
      </c>
      <c r="L12" s="6"/>
      <c r="M12" s="6" t="s">
        <v>36</v>
      </c>
      <c r="N12" s="6"/>
      <c r="O12" s="6" t="s">
        <v>36</v>
      </c>
      <c r="P12" s="6"/>
      <c r="Q12" s="6"/>
      <c r="R12" s="6"/>
      <c r="S12" s="6"/>
      <c r="T12" s="6"/>
    </row>
    <row r="13" customFormat="false" ht="23.85" hidden="false" customHeight="false" outlineLevel="0" collapsed="false">
      <c r="A13" s="6" t="n">
        <v>12</v>
      </c>
      <c r="B13" s="6" t="s">
        <v>11</v>
      </c>
      <c r="C13" s="7" t="n">
        <v>0.5</v>
      </c>
      <c r="D13" s="7"/>
      <c r="E13" s="6" t="s">
        <v>14</v>
      </c>
      <c r="F13" s="6" t="s">
        <v>594</v>
      </c>
      <c r="G13" s="6" t="s">
        <v>1181</v>
      </c>
      <c r="H13" s="6" t="s">
        <v>1182</v>
      </c>
      <c r="I13" s="6" t="s">
        <v>1183</v>
      </c>
      <c r="J13" s="6" t="s">
        <v>1184</v>
      </c>
      <c r="K13" s="6" t="n">
        <v>2</v>
      </c>
      <c r="L13" s="6"/>
      <c r="M13" s="6" t="s">
        <v>588</v>
      </c>
      <c r="N13" s="6" t="s">
        <v>87</v>
      </c>
      <c r="O13" s="6" t="s">
        <v>588</v>
      </c>
      <c r="P13" s="6"/>
      <c r="Q13" s="6"/>
      <c r="R13" s="6"/>
      <c r="S13" s="6"/>
      <c r="T13" s="6"/>
    </row>
    <row r="14" customFormat="false" ht="35.05" hidden="false" customHeight="false" outlineLevel="0" collapsed="false">
      <c r="A14" s="6" t="n">
        <v>13</v>
      </c>
      <c r="B14" s="6" t="s">
        <v>11</v>
      </c>
      <c r="C14" s="7" t="n">
        <v>0.5</v>
      </c>
      <c r="D14" s="7"/>
      <c r="E14" s="6" t="s">
        <v>15</v>
      </c>
      <c r="F14" s="6" t="s">
        <v>67</v>
      </c>
      <c r="G14" s="6" t="s">
        <v>1185</v>
      </c>
      <c r="H14" s="6" t="s">
        <v>1186</v>
      </c>
      <c r="I14" s="6" t="s">
        <v>1187</v>
      </c>
      <c r="J14" s="6" t="s">
        <v>1188</v>
      </c>
      <c r="K14" s="6" t="n">
        <v>2</v>
      </c>
      <c r="L14" s="6"/>
      <c r="M14" s="6" t="s">
        <v>64</v>
      </c>
      <c r="N14" s="6" t="s">
        <v>65</v>
      </c>
      <c r="O14" s="6" t="s">
        <v>64</v>
      </c>
      <c r="P14" s="6"/>
      <c r="Q14" s="6"/>
      <c r="R14" s="6"/>
      <c r="S14" s="6"/>
      <c r="T14" s="6"/>
    </row>
    <row r="15" customFormat="false" ht="23.85" hidden="false" customHeight="false" outlineLevel="0" collapsed="false">
      <c r="A15" s="6" t="n">
        <v>14</v>
      </c>
      <c r="B15" s="6" t="s">
        <v>11</v>
      </c>
      <c r="C15" s="7" t="n">
        <v>0.5</v>
      </c>
      <c r="D15" s="7"/>
      <c r="E15" s="6" t="s">
        <v>29</v>
      </c>
      <c r="F15" s="6" t="s">
        <v>81</v>
      </c>
      <c r="G15" s="6" t="s">
        <v>1189</v>
      </c>
      <c r="H15" s="6" t="s">
        <v>1190</v>
      </c>
      <c r="I15" s="6" t="s">
        <v>1191</v>
      </c>
      <c r="J15" s="6" t="s">
        <v>1192</v>
      </c>
      <c r="K15" s="6" t="n">
        <v>1</v>
      </c>
      <c r="L15" s="6"/>
      <c r="M15" s="6" t="s">
        <v>255</v>
      </c>
      <c r="N15" s="6" t="s">
        <v>87</v>
      </c>
      <c r="O15" s="6" t="s">
        <v>795</v>
      </c>
      <c r="P15" s="6"/>
      <c r="Q15" s="6"/>
      <c r="R15" s="6"/>
      <c r="S15" s="6"/>
      <c r="T15" s="6"/>
    </row>
    <row r="16" customFormat="false" ht="23.85" hidden="false" customHeight="false" outlineLevel="0" collapsed="false">
      <c r="A16" s="6" t="n">
        <v>15</v>
      </c>
      <c r="B16" s="6" t="s">
        <v>11</v>
      </c>
      <c r="C16" s="7" t="n">
        <v>0.5</v>
      </c>
      <c r="D16" s="7"/>
      <c r="E16" s="6" t="s">
        <v>13</v>
      </c>
      <c r="F16" s="6" t="s">
        <v>215</v>
      </c>
      <c r="G16" s="6" t="s">
        <v>1193</v>
      </c>
      <c r="H16" s="6" t="s">
        <v>1194</v>
      </c>
      <c r="I16" s="6" t="s">
        <v>1195</v>
      </c>
      <c r="J16" s="6" t="s">
        <v>1196</v>
      </c>
      <c r="K16" s="6" t="n">
        <v>1</v>
      </c>
      <c r="L16" s="6"/>
      <c r="M16" s="6" t="s">
        <v>114</v>
      </c>
      <c r="N16" s="6" t="s">
        <v>65</v>
      </c>
      <c r="O16" s="6" t="s">
        <v>114</v>
      </c>
      <c r="P16" s="6"/>
      <c r="Q16" s="6"/>
      <c r="R16" s="6"/>
      <c r="S16" s="6"/>
      <c r="T16" s="6"/>
    </row>
    <row r="17" customFormat="false" ht="35.05" hidden="false" customHeight="false" outlineLevel="0" collapsed="false">
      <c r="A17" s="6" t="n">
        <v>16</v>
      </c>
      <c r="B17" s="6" t="s">
        <v>11</v>
      </c>
      <c r="C17" s="7" t="n">
        <v>0.5</v>
      </c>
      <c r="D17" s="7"/>
      <c r="E17" s="6" t="s">
        <v>33</v>
      </c>
      <c r="F17" s="6" t="s">
        <v>81</v>
      </c>
      <c r="G17" s="6" t="s">
        <v>1197</v>
      </c>
      <c r="H17" s="6" t="s">
        <v>1198</v>
      </c>
      <c r="I17" s="6" t="s">
        <v>1199</v>
      </c>
      <c r="J17" s="6" t="s">
        <v>1200</v>
      </c>
      <c r="K17" s="6" t="n">
        <v>2</v>
      </c>
      <c r="L17" s="6"/>
      <c r="M17" s="6" t="s">
        <v>103</v>
      </c>
      <c r="N17" s="6" t="s">
        <v>87</v>
      </c>
      <c r="O17" s="6" t="s">
        <v>103</v>
      </c>
      <c r="P17" s="6"/>
      <c r="Q17" s="6"/>
      <c r="R17" s="6"/>
      <c r="S17" s="6"/>
      <c r="T17" s="6"/>
    </row>
    <row r="18" customFormat="false" ht="23.85" hidden="false" customHeight="false" outlineLevel="0" collapsed="false">
      <c r="A18" s="6" t="n">
        <v>17</v>
      </c>
      <c r="B18" s="6" t="s">
        <v>11</v>
      </c>
      <c r="C18" s="7" t="n">
        <v>0.5</v>
      </c>
      <c r="D18" s="7"/>
      <c r="E18" s="6" t="s">
        <v>16</v>
      </c>
      <c r="F18" s="6" t="s">
        <v>81</v>
      </c>
      <c r="G18" s="6" t="s">
        <v>1201</v>
      </c>
      <c r="H18" s="6" t="s">
        <v>1202</v>
      </c>
      <c r="I18" s="6" t="s">
        <v>1203</v>
      </c>
      <c r="J18" s="6" t="s">
        <v>1204</v>
      </c>
      <c r="K18" s="6" t="n">
        <v>1</v>
      </c>
      <c r="L18" s="6"/>
      <c r="M18" s="6" t="s">
        <v>92</v>
      </c>
      <c r="N18" s="6" t="s">
        <v>65</v>
      </c>
      <c r="O18" s="6" t="s">
        <v>92</v>
      </c>
      <c r="P18" s="6" t="s">
        <v>1205</v>
      </c>
      <c r="Q18" s="6"/>
      <c r="R18" s="6"/>
      <c r="S18" s="6"/>
      <c r="T18" s="6"/>
    </row>
    <row r="19" customFormat="false" ht="23.85" hidden="false" customHeight="false" outlineLevel="0" collapsed="false">
      <c r="A19" s="6" t="n">
        <v>18</v>
      </c>
      <c r="B19" s="6" t="s">
        <v>11</v>
      </c>
      <c r="C19" s="7" t="n">
        <v>0.506944444444444</v>
      </c>
      <c r="D19" s="7"/>
      <c r="E19" s="6" t="s">
        <v>36</v>
      </c>
      <c r="F19" s="6" t="s">
        <v>156</v>
      </c>
      <c r="G19" s="6" t="s">
        <v>1206</v>
      </c>
      <c r="H19" s="6" t="s">
        <v>1207</v>
      </c>
      <c r="I19" s="6" t="s">
        <v>1208</v>
      </c>
      <c r="J19" s="6" t="s">
        <v>1209</v>
      </c>
      <c r="K19" s="6" t="n">
        <v>1</v>
      </c>
      <c r="L19" s="6"/>
      <c r="M19" s="6" t="s">
        <v>36</v>
      </c>
      <c r="N19" s="6"/>
      <c r="O19" s="6" t="s">
        <v>36</v>
      </c>
      <c r="P19" s="6"/>
      <c r="Q19" s="6"/>
      <c r="R19" s="6"/>
      <c r="S19" s="6"/>
      <c r="T19" s="6"/>
    </row>
    <row r="20" customFormat="false" ht="23.85" hidden="false" customHeight="false" outlineLevel="0" collapsed="false">
      <c r="A20" s="6" t="n">
        <v>19</v>
      </c>
      <c r="B20" s="6" t="s">
        <v>11</v>
      </c>
      <c r="C20" s="7" t="n">
        <v>0.510416666666667</v>
      </c>
      <c r="D20" s="7"/>
      <c r="E20" s="6" t="s">
        <v>13</v>
      </c>
      <c r="F20" s="6" t="s">
        <v>81</v>
      </c>
      <c r="G20" s="6" t="s">
        <v>1210</v>
      </c>
      <c r="H20" s="6" t="s">
        <v>1211</v>
      </c>
      <c r="I20" s="6" t="s">
        <v>1212</v>
      </c>
      <c r="J20" s="6" t="s">
        <v>1213</v>
      </c>
      <c r="K20" s="6" t="n">
        <v>1</v>
      </c>
      <c r="L20" s="6"/>
      <c r="M20" s="6" t="s">
        <v>114</v>
      </c>
      <c r="N20" s="6" t="s">
        <v>65</v>
      </c>
      <c r="O20" s="6" t="s">
        <v>114</v>
      </c>
      <c r="P20" s="6"/>
      <c r="Q20" s="6"/>
      <c r="R20" s="6"/>
      <c r="S20" s="6"/>
      <c r="T20" s="6"/>
    </row>
    <row r="21" customFormat="false" ht="102.2" hidden="false" customHeight="false" outlineLevel="0" collapsed="false">
      <c r="A21" s="6" t="n">
        <v>20</v>
      </c>
      <c r="B21" s="6" t="s">
        <v>11</v>
      </c>
      <c r="C21" s="7" t="n">
        <v>0.510416666666667</v>
      </c>
      <c r="D21" s="7"/>
      <c r="E21" s="6" t="s">
        <v>16</v>
      </c>
      <c r="F21" s="6" t="s">
        <v>134</v>
      </c>
      <c r="G21" s="6" t="s">
        <v>1214</v>
      </c>
      <c r="H21" s="6" t="s">
        <v>1215</v>
      </c>
      <c r="I21" s="6" t="s">
        <v>1216</v>
      </c>
      <c r="J21" s="6" t="s">
        <v>1217</v>
      </c>
      <c r="K21" s="6" t="n">
        <v>3</v>
      </c>
      <c r="L21" s="6"/>
      <c r="M21" s="6" t="s">
        <v>92</v>
      </c>
      <c r="N21" s="6" t="s">
        <v>65</v>
      </c>
      <c r="O21" s="6" t="s">
        <v>92</v>
      </c>
      <c r="P21" s="6" t="s">
        <v>1218</v>
      </c>
      <c r="Q21" s="6"/>
      <c r="R21" s="6"/>
      <c r="S21" s="6"/>
      <c r="T21" s="6"/>
    </row>
    <row r="22" customFormat="false" ht="158.2" hidden="false" customHeight="false" outlineLevel="0" collapsed="false">
      <c r="A22" s="6" t="n">
        <v>21</v>
      </c>
      <c r="B22" s="6" t="s">
        <v>11</v>
      </c>
      <c r="C22" s="7" t="n">
        <v>0.510416666666667</v>
      </c>
      <c r="D22" s="7"/>
      <c r="E22" s="6" t="s">
        <v>33</v>
      </c>
      <c r="F22" s="6" t="s">
        <v>67</v>
      </c>
      <c r="G22" s="6" t="s">
        <v>1219</v>
      </c>
      <c r="H22" s="6" t="s">
        <v>1220</v>
      </c>
      <c r="I22" s="6" t="s">
        <v>1221</v>
      </c>
      <c r="J22" s="6" t="s">
        <v>1222</v>
      </c>
      <c r="K22" s="6" t="n">
        <v>2</v>
      </c>
      <c r="L22" s="6"/>
      <c r="M22" s="6" t="s">
        <v>103</v>
      </c>
      <c r="N22" s="6" t="s">
        <v>87</v>
      </c>
      <c r="O22" s="6" t="s">
        <v>103</v>
      </c>
      <c r="P22" s="6" t="s">
        <v>1223</v>
      </c>
      <c r="Q22" s="6"/>
      <c r="R22" s="6"/>
      <c r="S22" s="6"/>
      <c r="T22" s="6"/>
    </row>
    <row r="23" customFormat="false" ht="23.85" hidden="false" customHeight="false" outlineLevel="0" collapsed="false">
      <c r="A23" s="6" t="n">
        <v>22</v>
      </c>
      <c r="B23" s="6" t="s">
        <v>11</v>
      </c>
      <c r="C23" s="7" t="n">
        <v>0.510416666666667</v>
      </c>
      <c r="D23" s="7"/>
      <c r="E23" s="6" t="s">
        <v>23</v>
      </c>
      <c r="F23" s="6" t="s">
        <v>215</v>
      </c>
      <c r="G23" s="6" t="s">
        <v>1224</v>
      </c>
      <c r="H23" s="6" t="s">
        <v>1225</v>
      </c>
      <c r="I23" s="6" t="s">
        <v>1226</v>
      </c>
      <c r="J23" s="6" t="s">
        <v>1227</v>
      </c>
      <c r="K23" s="6" t="n">
        <v>1</v>
      </c>
      <c r="L23" s="6"/>
      <c r="M23" s="6" t="s">
        <v>732</v>
      </c>
      <c r="N23" s="6" t="s">
        <v>87</v>
      </c>
      <c r="O23" s="6" t="s">
        <v>733</v>
      </c>
      <c r="P23" s="6"/>
      <c r="Q23" s="6"/>
      <c r="R23" s="6"/>
      <c r="S23" s="6"/>
      <c r="T23" s="6"/>
    </row>
    <row r="24" customFormat="false" ht="35.05" hidden="false" customHeight="false" outlineLevel="0" collapsed="false">
      <c r="A24" s="6" t="n">
        <v>23</v>
      </c>
      <c r="B24" s="6" t="s">
        <v>11</v>
      </c>
      <c r="C24" s="7" t="n">
        <v>0.510416666666667</v>
      </c>
      <c r="D24" s="7"/>
      <c r="E24" s="6" t="s">
        <v>15</v>
      </c>
      <c r="F24" s="6" t="s">
        <v>81</v>
      </c>
      <c r="G24" s="6" t="s">
        <v>1228</v>
      </c>
      <c r="H24" s="6" t="s">
        <v>1229</v>
      </c>
      <c r="I24" s="6" t="s">
        <v>1230</v>
      </c>
      <c r="J24" s="6" t="s">
        <v>1231</v>
      </c>
      <c r="K24" s="6" t="n">
        <v>1</v>
      </c>
      <c r="L24" s="6"/>
      <c r="M24" s="6" t="s">
        <v>64</v>
      </c>
      <c r="N24" s="6" t="s">
        <v>65</v>
      </c>
      <c r="O24" s="6" t="s">
        <v>64</v>
      </c>
      <c r="P24" s="6"/>
      <c r="Q24" s="6"/>
      <c r="R24" s="6"/>
      <c r="S24" s="6"/>
      <c r="T24" s="6"/>
    </row>
    <row r="25" customFormat="false" ht="57.45" hidden="false" customHeight="false" outlineLevel="0" collapsed="false">
      <c r="A25" s="6" t="n">
        <v>24</v>
      </c>
      <c r="B25" s="6" t="s">
        <v>11</v>
      </c>
      <c r="C25" s="7" t="n">
        <v>0.510416666666667</v>
      </c>
      <c r="D25" s="7"/>
      <c r="E25" s="6" t="s">
        <v>29</v>
      </c>
      <c r="F25" s="6" t="s">
        <v>81</v>
      </c>
      <c r="G25" s="6" t="s">
        <v>1232</v>
      </c>
      <c r="H25" s="6" t="s">
        <v>1233</v>
      </c>
      <c r="I25" s="6" t="s">
        <v>1234</v>
      </c>
      <c r="J25" s="6" t="s">
        <v>1235</v>
      </c>
      <c r="K25" s="6" t="n">
        <v>2</v>
      </c>
      <c r="L25" s="6"/>
      <c r="M25" s="6" t="s">
        <v>255</v>
      </c>
      <c r="N25" s="6" t="s">
        <v>87</v>
      </c>
      <c r="O25" s="6" t="s">
        <v>795</v>
      </c>
      <c r="P25" s="6" t="s">
        <v>1236</v>
      </c>
      <c r="Q25" s="6"/>
      <c r="R25" s="6"/>
      <c r="S25" s="6"/>
      <c r="T25" s="6"/>
    </row>
    <row r="26" customFormat="false" ht="15" hidden="false" customHeight="false" outlineLevel="0" collapsed="false">
      <c r="A26" s="6" t="n">
        <v>25</v>
      </c>
      <c r="B26" s="6" t="s">
        <v>11</v>
      </c>
      <c r="C26" s="7" t="n">
        <v>0.513888888888889</v>
      </c>
      <c r="D26" s="7"/>
      <c r="E26" s="6" t="s">
        <v>36</v>
      </c>
      <c r="F26" s="6" t="s">
        <v>156</v>
      </c>
      <c r="G26" s="6" t="s">
        <v>1237</v>
      </c>
      <c r="H26" s="6" t="s">
        <v>1238</v>
      </c>
      <c r="I26" s="6" t="s">
        <v>1239</v>
      </c>
      <c r="J26" s="6" t="s">
        <v>1240</v>
      </c>
      <c r="K26" s="6" t="n">
        <v>1</v>
      </c>
      <c r="L26" s="6"/>
      <c r="M26" s="6" t="s">
        <v>36</v>
      </c>
      <c r="N26" s="6"/>
      <c r="O26" s="6" t="s">
        <v>36</v>
      </c>
      <c r="P26" s="6"/>
      <c r="Q26" s="6"/>
      <c r="R26" s="6"/>
      <c r="S26" s="6"/>
      <c r="T26" s="6"/>
    </row>
    <row r="27" customFormat="false" ht="68.65" hidden="false" customHeight="false" outlineLevel="0" collapsed="false">
      <c r="A27" s="6" t="n">
        <v>26</v>
      </c>
      <c r="B27" s="6" t="s">
        <v>11</v>
      </c>
      <c r="C27" s="7" t="n">
        <v>0.520833333333333</v>
      </c>
      <c r="D27" s="7"/>
      <c r="E27" s="6" t="s">
        <v>23</v>
      </c>
      <c r="F27" s="6" t="s">
        <v>134</v>
      </c>
      <c r="G27" s="6" t="s">
        <v>1241</v>
      </c>
      <c r="H27" s="6" t="s">
        <v>1242</v>
      </c>
      <c r="I27" s="6" t="s">
        <v>1243</v>
      </c>
      <c r="J27" s="6" t="s">
        <v>1244</v>
      </c>
      <c r="K27" s="6" t="n">
        <v>3</v>
      </c>
      <c r="L27" s="6" t="n">
        <v>2</v>
      </c>
      <c r="M27" s="6" t="s">
        <v>732</v>
      </c>
      <c r="N27" s="6" t="s">
        <v>87</v>
      </c>
      <c r="O27" s="6" t="s">
        <v>733</v>
      </c>
      <c r="P27" s="6" t="s">
        <v>1245</v>
      </c>
      <c r="Q27" s="6"/>
      <c r="R27" s="6"/>
      <c r="S27" s="6"/>
      <c r="T27" s="6"/>
    </row>
    <row r="28" customFormat="false" ht="91" hidden="false" customHeight="false" outlineLevel="0" collapsed="false">
      <c r="A28" s="6" t="n">
        <v>27</v>
      </c>
      <c r="B28" s="6" t="s">
        <v>11</v>
      </c>
      <c r="C28" s="7" t="n">
        <v>0.520833333333333</v>
      </c>
      <c r="D28" s="7"/>
      <c r="E28" s="6" t="s">
        <v>33</v>
      </c>
      <c r="F28" s="6" t="s">
        <v>134</v>
      </c>
      <c r="G28" s="6" t="s">
        <v>1246</v>
      </c>
      <c r="H28" s="6" t="s">
        <v>1247</v>
      </c>
      <c r="I28" s="6" t="s">
        <v>1248</v>
      </c>
      <c r="J28" s="6" t="s">
        <v>1249</v>
      </c>
      <c r="K28" s="6" t="n">
        <v>3</v>
      </c>
      <c r="L28" s="6" t="n">
        <v>1</v>
      </c>
      <c r="M28" s="6" t="s">
        <v>103</v>
      </c>
      <c r="N28" s="6" t="s">
        <v>87</v>
      </c>
      <c r="O28" s="6" t="s">
        <v>103</v>
      </c>
      <c r="P28" s="6" t="s">
        <v>1250</v>
      </c>
      <c r="Q28" s="6"/>
      <c r="R28" s="6"/>
      <c r="S28" s="6"/>
      <c r="T28" s="6"/>
    </row>
    <row r="29" customFormat="false" ht="113.4" hidden="false" customHeight="false" outlineLevel="0" collapsed="false">
      <c r="A29" s="6" t="n">
        <v>28</v>
      </c>
      <c r="B29" s="6" t="s">
        <v>11</v>
      </c>
      <c r="C29" s="7" t="n">
        <v>0.520833333333333</v>
      </c>
      <c r="D29" s="7"/>
      <c r="E29" s="6" t="s">
        <v>15</v>
      </c>
      <c r="F29" s="6" t="s">
        <v>134</v>
      </c>
      <c r="G29" s="6" t="s">
        <v>1251</v>
      </c>
      <c r="H29" s="6" t="s">
        <v>1252</v>
      </c>
      <c r="I29" s="6" t="s">
        <v>1253</v>
      </c>
      <c r="J29" s="6" t="s">
        <v>1254</v>
      </c>
      <c r="K29" s="6" t="n">
        <v>3</v>
      </c>
      <c r="L29" s="6" t="n">
        <v>2</v>
      </c>
      <c r="M29" s="6" t="s">
        <v>64</v>
      </c>
      <c r="N29" s="6" t="s">
        <v>65</v>
      </c>
      <c r="O29" s="6" t="s">
        <v>64</v>
      </c>
      <c r="P29" s="6" t="s">
        <v>1255</v>
      </c>
      <c r="Q29" s="6"/>
      <c r="R29" s="6"/>
      <c r="S29" s="6"/>
      <c r="T29" s="6"/>
    </row>
    <row r="30" customFormat="false" ht="57.45" hidden="false" customHeight="false" outlineLevel="0" collapsed="false">
      <c r="A30" s="6" t="n">
        <v>29</v>
      </c>
      <c r="B30" s="6" t="s">
        <v>11</v>
      </c>
      <c r="C30" s="7" t="n">
        <v>0.520833333333333</v>
      </c>
      <c r="D30" s="7"/>
      <c r="E30" s="6" t="s">
        <v>29</v>
      </c>
      <c r="F30" s="6" t="s">
        <v>215</v>
      </c>
      <c r="G30" s="6" t="s">
        <v>1256</v>
      </c>
      <c r="H30" s="6" t="s">
        <v>1257</v>
      </c>
      <c r="I30" s="6" t="s">
        <v>1258</v>
      </c>
      <c r="J30" s="6" t="s">
        <v>1259</v>
      </c>
      <c r="K30" s="6" t="n">
        <v>3</v>
      </c>
      <c r="L30" s="6" t="n">
        <v>3</v>
      </c>
      <c r="M30" s="6" t="s">
        <v>255</v>
      </c>
      <c r="N30" s="6" t="s">
        <v>87</v>
      </c>
      <c r="O30" s="6" t="s">
        <v>795</v>
      </c>
      <c r="P30" s="6" t="s">
        <v>1260</v>
      </c>
      <c r="Q30" s="6"/>
      <c r="R30" s="6"/>
      <c r="S30" s="6"/>
      <c r="T30" s="6"/>
    </row>
    <row r="31" customFormat="false" ht="158.2" hidden="false" customHeight="false" outlineLevel="0" collapsed="false">
      <c r="A31" s="6" t="n">
        <v>30</v>
      </c>
      <c r="B31" s="6" t="s">
        <v>11</v>
      </c>
      <c r="C31" s="7" t="n">
        <v>0.520833333333333</v>
      </c>
      <c r="D31" s="7"/>
      <c r="E31" s="6" t="s">
        <v>13</v>
      </c>
      <c r="F31" s="6" t="s">
        <v>81</v>
      </c>
      <c r="G31" s="6" t="s">
        <v>1261</v>
      </c>
      <c r="H31" s="6" t="s">
        <v>1262</v>
      </c>
      <c r="I31" s="6" t="s">
        <v>1263</v>
      </c>
      <c r="J31" s="6" t="s">
        <v>1264</v>
      </c>
      <c r="K31" s="6" t="n">
        <v>2</v>
      </c>
      <c r="L31" s="6"/>
      <c r="M31" s="6" t="s">
        <v>114</v>
      </c>
      <c r="N31" s="6" t="s">
        <v>65</v>
      </c>
      <c r="O31" s="6" t="s">
        <v>114</v>
      </c>
      <c r="P31" s="6" t="s">
        <v>1265</v>
      </c>
      <c r="Q31" s="6"/>
      <c r="R31" s="6"/>
      <c r="S31" s="6"/>
      <c r="T31" s="6"/>
    </row>
    <row r="32" customFormat="false" ht="15" hidden="false" customHeight="false" outlineLevel="0" collapsed="false">
      <c r="A32" s="6" t="n">
        <v>31</v>
      </c>
      <c r="B32" s="6" t="s">
        <v>11</v>
      </c>
      <c r="C32" s="7" t="n">
        <v>0.520833333333333</v>
      </c>
      <c r="D32" s="7"/>
      <c r="E32" s="6" t="s">
        <v>36</v>
      </c>
      <c r="F32" s="6" t="s">
        <v>156</v>
      </c>
      <c r="G32" s="6" t="s">
        <v>1266</v>
      </c>
      <c r="H32" s="6" t="s">
        <v>1267</v>
      </c>
      <c r="I32" s="6" t="s">
        <v>1268</v>
      </c>
      <c r="J32" s="6" t="s">
        <v>1269</v>
      </c>
      <c r="K32" s="6" t="n">
        <v>1</v>
      </c>
      <c r="L32" s="6"/>
      <c r="M32" s="6" t="s">
        <v>36</v>
      </c>
      <c r="N32" s="6"/>
      <c r="O32" s="6" t="s">
        <v>36</v>
      </c>
      <c r="P32" s="6"/>
      <c r="Q32" s="6"/>
      <c r="R32" s="6"/>
      <c r="S32" s="6"/>
      <c r="T32" s="6"/>
    </row>
    <row r="33" customFormat="false" ht="15" hidden="false" customHeight="false" outlineLevel="0" collapsed="false">
      <c r="A33" s="6" t="n">
        <v>32</v>
      </c>
      <c r="B33" s="6" t="s">
        <v>11</v>
      </c>
      <c r="C33" s="7" t="n">
        <v>0.527777777777778</v>
      </c>
      <c r="D33" s="7"/>
      <c r="E33" s="6" t="s">
        <v>36</v>
      </c>
      <c r="F33" s="6" t="s">
        <v>156</v>
      </c>
      <c r="G33" s="6" t="s">
        <v>1270</v>
      </c>
      <c r="H33" s="6" t="s">
        <v>1271</v>
      </c>
      <c r="I33" s="6" t="s">
        <v>1272</v>
      </c>
      <c r="J33" s="6" t="s">
        <v>1273</v>
      </c>
      <c r="K33" s="6" t="n">
        <v>1</v>
      </c>
      <c r="L33" s="6"/>
      <c r="M33" s="6" t="s">
        <v>36</v>
      </c>
      <c r="N33" s="6"/>
      <c r="O33" s="6" t="s">
        <v>36</v>
      </c>
      <c r="P33" s="6"/>
      <c r="Q33" s="6"/>
      <c r="R33" s="6"/>
      <c r="S33" s="6"/>
      <c r="T33" s="6"/>
    </row>
    <row r="34" customFormat="false" ht="57.45" hidden="false" customHeight="false" outlineLevel="0" collapsed="false">
      <c r="A34" s="6" t="n">
        <v>33</v>
      </c>
      <c r="B34" s="6" t="s">
        <v>11</v>
      </c>
      <c r="C34" s="7" t="n">
        <v>0.53125</v>
      </c>
      <c r="D34" s="7"/>
      <c r="E34" s="6" t="s">
        <v>13</v>
      </c>
      <c r="F34" s="6" t="s">
        <v>134</v>
      </c>
      <c r="G34" s="6" t="s">
        <v>1274</v>
      </c>
      <c r="H34" s="6" t="s">
        <v>1275</v>
      </c>
      <c r="I34" s="6" t="s">
        <v>1276</v>
      </c>
      <c r="J34" s="6" t="s">
        <v>1277</v>
      </c>
      <c r="K34" s="6" t="n">
        <v>3</v>
      </c>
      <c r="L34" s="6" t="n">
        <v>2</v>
      </c>
      <c r="M34" s="6" t="s">
        <v>114</v>
      </c>
      <c r="N34" s="6" t="s">
        <v>65</v>
      </c>
      <c r="O34" s="6" t="s">
        <v>114</v>
      </c>
      <c r="P34" s="6" t="s">
        <v>1278</v>
      </c>
      <c r="Q34" s="6"/>
      <c r="R34" s="6"/>
      <c r="S34" s="6"/>
      <c r="T34" s="6"/>
    </row>
    <row r="35" customFormat="false" ht="23.85" hidden="false" customHeight="false" outlineLevel="0" collapsed="false">
      <c r="A35" s="6" t="n">
        <v>34</v>
      </c>
      <c r="B35" s="6" t="s">
        <v>11</v>
      </c>
      <c r="C35" s="7" t="n">
        <v>0.534722222222222</v>
      </c>
      <c r="D35" s="7"/>
      <c r="E35" s="6" t="s">
        <v>36</v>
      </c>
      <c r="F35" s="6" t="s">
        <v>156</v>
      </c>
      <c r="G35" s="6" t="s">
        <v>1279</v>
      </c>
      <c r="H35" s="6" t="s">
        <v>1280</v>
      </c>
      <c r="I35" s="6" t="s">
        <v>1281</v>
      </c>
      <c r="J35" s="6" t="s">
        <v>1282</v>
      </c>
      <c r="K35" s="6" t="n">
        <v>1</v>
      </c>
      <c r="L35" s="6"/>
      <c r="M35" s="6" t="s">
        <v>36</v>
      </c>
      <c r="N35" s="6"/>
      <c r="O35" s="6" t="s">
        <v>36</v>
      </c>
      <c r="P35" s="6"/>
      <c r="Q35" s="6"/>
      <c r="R35" s="6"/>
      <c r="S35" s="6"/>
      <c r="T35" s="6"/>
    </row>
    <row r="36" customFormat="false" ht="15" hidden="false" customHeight="false" outlineLevel="0" collapsed="false">
      <c r="A36" s="6" t="n">
        <v>35</v>
      </c>
      <c r="B36" s="6" t="s">
        <v>11</v>
      </c>
      <c r="C36" s="7" t="n">
        <v>0.541666666666667</v>
      </c>
      <c r="D36" s="7"/>
      <c r="E36" s="6" t="s">
        <v>36</v>
      </c>
      <c r="F36" s="6" t="s">
        <v>156</v>
      </c>
      <c r="G36" s="6" t="s">
        <v>1283</v>
      </c>
      <c r="H36" s="6" t="s">
        <v>1284</v>
      </c>
      <c r="I36" s="6" t="s">
        <v>1285</v>
      </c>
      <c r="J36" s="6" t="s">
        <v>1286</v>
      </c>
      <c r="K36" s="6" t="n">
        <v>1</v>
      </c>
      <c r="L36" s="6"/>
      <c r="M36" s="6" t="s">
        <v>36</v>
      </c>
      <c r="N36" s="6"/>
      <c r="O36" s="6" t="s">
        <v>36</v>
      </c>
      <c r="P36" s="6"/>
      <c r="Q36" s="6"/>
      <c r="R36" s="6"/>
      <c r="S36" s="6"/>
      <c r="T36" s="6"/>
    </row>
    <row r="37" customFormat="false" ht="15" hidden="false" customHeight="false" outlineLevel="0" collapsed="false">
      <c r="A37" s="6" t="n">
        <v>36</v>
      </c>
      <c r="B37" s="6" t="s">
        <v>11</v>
      </c>
      <c r="C37" s="7" t="n">
        <v>0.548611111111111</v>
      </c>
      <c r="D37" s="7"/>
      <c r="E37" s="6" t="s">
        <v>36</v>
      </c>
      <c r="F37" s="6" t="s">
        <v>156</v>
      </c>
      <c r="G37" s="6" t="s">
        <v>1287</v>
      </c>
      <c r="H37" s="6" t="s">
        <v>1288</v>
      </c>
      <c r="I37" s="6" t="s">
        <v>1289</v>
      </c>
      <c r="J37" s="6" t="s">
        <v>1290</v>
      </c>
      <c r="K37" s="6" t="n">
        <v>1</v>
      </c>
      <c r="L37" s="6"/>
      <c r="M37" s="6" t="s">
        <v>36</v>
      </c>
      <c r="N37" s="6"/>
      <c r="O37" s="6" t="s">
        <v>36</v>
      </c>
      <c r="P37" s="6"/>
      <c r="Q37" s="6"/>
      <c r="R37" s="6"/>
      <c r="S37" s="6"/>
      <c r="T37" s="6"/>
    </row>
    <row r="38" customFormat="false" ht="68.65" hidden="false" customHeight="false" outlineLevel="0" collapsed="false">
      <c r="A38" s="6" t="n">
        <v>37</v>
      </c>
      <c r="B38" s="6" t="s">
        <v>11</v>
      </c>
      <c r="C38" s="7" t="n">
        <v>0.552083333333333</v>
      </c>
      <c r="D38" s="7" t="n">
        <v>0.59375</v>
      </c>
      <c r="E38" s="6" t="s">
        <v>39</v>
      </c>
      <c r="F38" s="6" t="s">
        <v>39</v>
      </c>
      <c r="G38" s="6" t="s">
        <v>1291</v>
      </c>
      <c r="H38" s="6" t="s">
        <v>1292</v>
      </c>
      <c r="I38" s="6" t="s">
        <v>1293</v>
      </c>
      <c r="J38" s="6"/>
      <c r="K38" s="6" t="n">
        <v>6</v>
      </c>
      <c r="L38" s="6"/>
      <c r="M38" s="6" t="s">
        <v>103</v>
      </c>
      <c r="N38" s="6" t="s">
        <v>87</v>
      </c>
      <c r="O38" s="6" t="s">
        <v>1294</v>
      </c>
      <c r="P38" s="6"/>
      <c r="Q38" s="6" t="n">
        <v>26</v>
      </c>
      <c r="R38" s="6" t="n">
        <v>50</v>
      </c>
      <c r="S38" s="6" t="n">
        <f aca="false">R38-Q38</f>
        <v>24</v>
      </c>
      <c r="T38" s="6" t="s">
        <v>637</v>
      </c>
    </row>
    <row r="39" customFormat="false" ht="23.85" hidden="false" customHeight="false" outlineLevel="0" collapsed="false">
      <c r="A39" s="6" t="n">
        <v>38</v>
      </c>
      <c r="B39" s="6" t="s">
        <v>11</v>
      </c>
      <c r="C39" s="7" t="n">
        <v>0.555555555555556</v>
      </c>
      <c r="D39" s="7"/>
      <c r="E39" s="6" t="s">
        <v>36</v>
      </c>
      <c r="F39" s="6" t="s">
        <v>156</v>
      </c>
      <c r="G39" s="6" t="s">
        <v>1295</v>
      </c>
      <c r="H39" s="6" t="s">
        <v>1296</v>
      </c>
      <c r="I39" s="6" t="s">
        <v>1297</v>
      </c>
      <c r="J39" s="6" t="s">
        <v>1298</v>
      </c>
      <c r="K39" s="6" t="n">
        <v>1</v>
      </c>
      <c r="L39" s="6"/>
      <c r="M39" s="6" t="s">
        <v>36</v>
      </c>
      <c r="N39" s="6"/>
      <c r="O39" s="6" t="s">
        <v>36</v>
      </c>
      <c r="P39" s="6"/>
      <c r="Q39" s="6"/>
      <c r="R39" s="6"/>
      <c r="S39" s="6"/>
      <c r="T39" s="6"/>
    </row>
    <row r="40" customFormat="false" ht="79.85" hidden="false" customHeight="false" outlineLevel="0" collapsed="false">
      <c r="A40" s="6" t="n">
        <v>39</v>
      </c>
      <c r="B40" s="6" t="s">
        <v>11</v>
      </c>
      <c r="C40" s="7" t="n">
        <v>0.5625</v>
      </c>
      <c r="D40" s="7"/>
      <c r="E40" s="6" t="s">
        <v>14</v>
      </c>
      <c r="F40" s="6" t="s">
        <v>554</v>
      </c>
      <c r="G40" s="6" t="s">
        <v>1299</v>
      </c>
      <c r="H40" s="6" t="s">
        <v>1300</v>
      </c>
      <c r="I40" s="6" t="s">
        <v>1301</v>
      </c>
      <c r="J40" s="6" t="s">
        <v>1302</v>
      </c>
      <c r="K40" s="6" t="n">
        <v>3</v>
      </c>
      <c r="L40" s="6" t="n">
        <v>7</v>
      </c>
      <c r="M40" s="6" t="s">
        <v>588</v>
      </c>
      <c r="N40" s="6" t="s">
        <v>87</v>
      </c>
      <c r="O40" s="6" t="s">
        <v>1303</v>
      </c>
      <c r="P40" s="6" t="s">
        <v>1304</v>
      </c>
      <c r="Q40" s="6"/>
      <c r="R40" s="6"/>
      <c r="S40" s="6"/>
      <c r="T40" s="6"/>
    </row>
    <row r="41" customFormat="false" ht="15" hidden="false" customHeight="false" outlineLevel="0" collapsed="false">
      <c r="A41" s="6" t="n">
        <v>40</v>
      </c>
      <c r="B41" s="6" t="s">
        <v>11</v>
      </c>
      <c r="C41" s="7" t="n">
        <v>0.5625</v>
      </c>
      <c r="D41" s="7"/>
      <c r="E41" s="6" t="s">
        <v>36</v>
      </c>
      <c r="F41" s="6" t="s">
        <v>156</v>
      </c>
      <c r="G41" s="6" t="s">
        <v>1305</v>
      </c>
      <c r="H41" s="6" t="s">
        <v>1306</v>
      </c>
      <c r="I41" s="6" t="s">
        <v>1307</v>
      </c>
      <c r="J41" s="6" t="s">
        <v>1308</v>
      </c>
      <c r="K41" s="6" t="n">
        <v>1</v>
      </c>
      <c r="L41" s="6"/>
      <c r="M41" s="6" t="s">
        <v>36</v>
      </c>
      <c r="N41" s="6"/>
      <c r="O41" s="6" t="s">
        <v>36</v>
      </c>
      <c r="P41" s="6"/>
      <c r="Q41" s="6"/>
      <c r="R41" s="6"/>
      <c r="S41" s="6"/>
      <c r="T41" s="6"/>
    </row>
    <row r="42" customFormat="false" ht="23.85" hidden="false" customHeight="false" outlineLevel="0" collapsed="false">
      <c r="A42" s="6" t="n">
        <v>41</v>
      </c>
      <c r="B42" s="6" t="s">
        <v>11</v>
      </c>
      <c r="C42" s="7" t="n">
        <v>0.5625</v>
      </c>
      <c r="D42" s="7" t="n">
        <v>0.579861111111111</v>
      </c>
      <c r="E42" s="6" t="s">
        <v>35</v>
      </c>
      <c r="F42" s="6" t="s">
        <v>35</v>
      </c>
      <c r="G42" s="6" t="s">
        <v>1309</v>
      </c>
      <c r="H42" s="6" t="s">
        <v>1310</v>
      </c>
      <c r="I42" s="6" t="s">
        <v>1310</v>
      </c>
      <c r="J42" s="6"/>
      <c r="K42" s="6" t="n">
        <v>1</v>
      </c>
      <c r="L42" s="6"/>
      <c r="M42" s="6" t="s">
        <v>580</v>
      </c>
      <c r="N42" s="6" t="s">
        <v>65</v>
      </c>
      <c r="O42" s="6" t="s">
        <v>1311</v>
      </c>
      <c r="P42" s="6"/>
      <c r="Q42" s="6" t="n">
        <v>36</v>
      </c>
      <c r="R42" s="6" t="n">
        <v>40</v>
      </c>
      <c r="S42" s="6" t="n">
        <f aca="false">R42-Q42</f>
        <v>4</v>
      </c>
      <c r="T42" s="6" t="s">
        <v>637</v>
      </c>
    </row>
    <row r="43" customFormat="false" ht="23.85" hidden="false" customHeight="false" outlineLevel="0" collapsed="false">
      <c r="A43" s="6" t="n">
        <v>42</v>
      </c>
      <c r="B43" s="6" t="s">
        <v>11</v>
      </c>
      <c r="C43" s="7" t="n">
        <v>0.5625</v>
      </c>
      <c r="D43" s="7" t="n">
        <v>0.579861111111111</v>
      </c>
      <c r="E43" s="6" t="s">
        <v>35</v>
      </c>
      <c r="F43" s="6" t="s">
        <v>35</v>
      </c>
      <c r="G43" s="6" t="s">
        <v>1312</v>
      </c>
      <c r="H43" s="6" t="s">
        <v>1313</v>
      </c>
      <c r="I43" s="6" t="s">
        <v>1313</v>
      </c>
      <c r="J43" s="6"/>
      <c r="K43" s="6" t="n">
        <v>1</v>
      </c>
      <c r="L43" s="6"/>
      <c r="M43" s="6" t="s">
        <v>580</v>
      </c>
      <c r="N43" s="6" t="s">
        <v>65</v>
      </c>
      <c r="O43" s="6" t="s">
        <v>1311</v>
      </c>
      <c r="P43" s="6"/>
      <c r="Q43" s="6" t="n">
        <v>39</v>
      </c>
      <c r="R43" s="6" t="n">
        <v>50</v>
      </c>
      <c r="S43" s="6" t="n">
        <f aca="false">R43-Q43</f>
        <v>11</v>
      </c>
      <c r="T43" s="6" t="s">
        <v>637</v>
      </c>
    </row>
    <row r="44" customFormat="false" ht="46.25" hidden="false" customHeight="false" outlineLevel="0" collapsed="false">
      <c r="A44" s="6" t="n">
        <v>43</v>
      </c>
      <c r="B44" s="6" t="s">
        <v>11</v>
      </c>
      <c r="C44" s="7" t="n">
        <v>0.576388888888889</v>
      </c>
      <c r="D44" s="7"/>
      <c r="E44" s="6" t="s">
        <v>28</v>
      </c>
      <c r="F44" s="6" t="s">
        <v>215</v>
      </c>
      <c r="G44" s="6" t="s">
        <v>1314</v>
      </c>
      <c r="H44" s="6" t="s">
        <v>1315</v>
      </c>
      <c r="I44" s="6" t="s">
        <v>1316</v>
      </c>
      <c r="J44" s="6" t="s">
        <v>1317</v>
      </c>
      <c r="K44" s="6" t="n">
        <v>3</v>
      </c>
      <c r="L44" s="6" t="n">
        <v>3</v>
      </c>
      <c r="M44" s="6" t="s">
        <v>36</v>
      </c>
      <c r="N44" s="6"/>
      <c r="O44" s="6" t="s">
        <v>36</v>
      </c>
      <c r="P44" s="6"/>
      <c r="Q44" s="6"/>
      <c r="R44" s="6"/>
      <c r="S44" s="6"/>
      <c r="T44" s="6"/>
    </row>
    <row r="45" customFormat="false" ht="23.85" hidden="false" customHeight="false" outlineLevel="0" collapsed="false">
      <c r="A45" s="6" t="n">
        <v>44</v>
      </c>
      <c r="B45" s="6" t="s">
        <v>11</v>
      </c>
      <c r="C45" s="7" t="n">
        <v>0.583333333333333</v>
      </c>
      <c r="D45" s="7"/>
      <c r="E45" s="6" t="s">
        <v>23</v>
      </c>
      <c r="F45" s="6" t="s">
        <v>67</v>
      </c>
      <c r="G45" s="6" t="s">
        <v>1318</v>
      </c>
      <c r="H45" s="6" t="s">
        <v>1319</v>
      </c>
      <c r="I45" s="6" t="s">
        <v>1320</v>
      </c>
      <c r="J45" s="6" t="s">
        <v>1321</v>
      </c>
      <c r="K45" s="6" t="n">
        <v>2</v>
      </c>
      <c r="L45" s="6"/>
      <c r="M45" s="6" t="s">
        <v>732</v>
      </c>
      <c r="N45" s="6" t="s">
        <v>87</v>
      </c>
      <c r="O45" s="6" t="s">
        <v>733</v>
      </c>
      <c r="P45" s="6"/>
      <c r="Q45" s="6"/>
      <c r="R45" s="6"/>
      <c r="S45" s="6"/>
      <c r="T45" s="6"/>
    </row>
    <row r="46" customFormat="false" ht="23.85" hidden="false" customHeight="false" outlineLevel="0" collapsed="false">
      <c r="A46" s="6" t="n">
        <v>45</v>
      </c>
      <c r="B46" s="6" t="s">
        <v>11</v>
      </c>
      <c r="C46" s="7" t="n">
        <v>0.583333333333333</v>
      </c>
      <c r="D46" s="7"/>
      <c r="E46" s="6" t="s">
        <v>29</v>
      </c>
      <c r="F46" s="6" t="s">
        <v>67</v>
      </c>
      <c r="G46" s="6" t="s">
        <v>1322</v>
      </c>
      <c r="H46" s="6" t="s">
        <v>1323</v>
      </c>
      <c r="I46" s="6" t="s">
        <v>1324</v>
      </c>
      <c r="J46" s="6" t="s">
        <v>1325</v>
      </c>
      <c r="K46" s="6" t="n">
        <v>2</v>
      </c>
      <c r="L46" s="6"/>
      <c r="M46" s="6" t="s">
        <v>255</v>
      </c>
      <c r="N46" s="6" t="s">
        <v>87</v>
      </c>
      <c r="O46" s="6" t="s">
        <v>255</v>
      </c>
      <c r="P46" s="6"/>
      <c r="Q46" s="6"/>
      <c r="R46" s="6"/>
      <c r="S46" s="6"/>
      <c r="T46" s="6"/>
    </row>
    <row r="47" customFormat="false" ht="46.25" hidden="false" customHeight="false" outlineLevel="0" collapsed="false">
      <c r="A47" s="6" t="n">
        <v>46</v>
      </c>
      <c r="B47" s="6" t="s">
        <v>11</v>
      </c>
      <c r="C47" s="7" t="n">
        <v>0.583333333333333</v>
      </c>
      <c r="D47" s="7"/>
      <c r="E47" s="6" t="s">
        <v>15</v>
      </c>
      <c r="F47" s="6" t="s">
        <v>67</v>
      </c>
      <c r="G47" s="6" t="s">
        <v>1326</v>
      </c>
      <c r="H47" s="6" t="s">
        <v>1327</v>
      </c>
      <c r="I47" s="6" t="s">
        <v>1328</v>
      </c>
      <c r="J47" s="6" t="s">
        <v>1329</v>
      </c>
      <c r="K47" s="6" t="n">
        <v>2</v>
      </c>
      <c r="L47" s="6"/>
      <c r="M47" s="6" t="s">
        <v>64</v>
      </c>
      <c r="N47" s="6" t="s">
        <v>65</v>
      </c>
      <c r="O47" s="6" t="s">
        <v>64</v>
      </c>
      <c r="P47" s="6"/>
      <c r="Q47" s="6"/>
      <c r="R47" s="6"/>
      <c r="S47" s="6"/>
      <c r="T47" s="6"/>
    </row>
    <row r="48" customFormat="false" ht="35.05" hidden="false" customHeight="false" outlineLevel="0" collapsed="false">
      <c r="A48" s="6" t="n">
        <v>47</v>
      </c>
      <c r="B48" s="6" t="s">
        <v>11</v>
      </c>
      <c r="C48" s="7" t="n">
        <v>0.583333333333333</v>
      </c>
      <c r="D48" s="7"/>
      <c r="E48" s="6" t="s">
        <v>13</v>
      </c>
      <c r="F48" s="6" t="s">
        <v>67</v>
      </c>
      <c r="G48" s="6" t="s">
        <v>1330</v>
      </c>
      <c r="H48" s="6" t="s">
        <v>1331</v>
      </c>
      <c r="I48" s="6" t="s">
        <v>1332</v>
      </c>
      <c r="J48" s="6" t="s">
        <v>1333</v>
      </c>
      <c r="K48" s="6" t="n">
        <v>2</v>
      </c>
      <c r="L48" s="6"/>
      <c r="M48" s="6" t="s">
        <v>114</v>
      </c>
      <c r="N48" s="6" t="s">
        <v>65</v>
      </c>
      <c r="O48" s="6" t="s">
        <v>114</v>
      </c>
      <c r="P48" s="6"/>
      <c r="Q48" s="6"/>
      <c r="R48" s="6"/>
      <c r="S48" s="6"/>
      <c r="T48" s="6"/>
    </row>
    <row r="49" customFormat="false" ht="23.85" hidden="false" customHeight="false" outlineLevel="0" collapsed="false">
      <c r="A49" s="6" t="n">
        <v>48</v>
      </c>
      <c r="B49" s="6" t="s">
        <v>11</v>
      </c>
      <c r="C49" s="7" t="n">
        <v>0.59375</v>
      </c>
      <c r="D49" s="7"/>
      <c r="E49" s="6" t="s">
        <v>13</v>
      </c>
      <c r="F49" s="6" t="s">
        <v>215</v>
      </c>
      <c r="G49" s="6" t="s">
        <v>1334</v>
      </c>
      <c r="H49" s="6" t="s">
        <v>1335</v>
      </c>
      <c r="I49" s="6" t="s">
        <v>1336</v>
      </c>
      <c r="J49" s="6" t="s">
        <v>1337</v>
      </c>
      <c r="K49" s="6" t="n">
        <v>2</v>
      </c>
      <c r="L49" s="6"/>
      <c r="M49" s="6" t="s">
        <v>114</v>
      </c>
      <c r="N49" s="6" t="s">
        <v>65</v>
      </c>
      <c r="O49" s="6" t="s">
        <v>114</v>
      </c>
      <c r="P49" s="6"/>
      <c r="Q49" s="6"/>
      <c r="R49" s="6"/>
      <c r="S49" s="6"/>
      <c r="T49" s="6"/>
    </row>
    <row r="50" customFormat="false" ht="124.6" hidden="false" customHeight="false" outlineLevel="0" collapsed="false">
      <c r="A50" s="6" t="n">
        <v>49</v>
      </c>
      <c r="B50" s="6" t="s">
        <v>11</v>
      </c>
      <c r="C50" s="7" t="n">
        <v>0.59375</v>
      </c>
      <c r="D50" s="7"/>
      <c r="E50" s="6" t="s">
        <v>15</v>
      </c>
      <c r="F50" s="6" t="s">
        <v>134</v>
      </c>
      <c r="G50" s="6" t="s">
        <v>1338</v>
      </c>
      <c r="H50" s="6" t="s">
        <v>1339</v>
      </c>
      <c r="I50" s="6" t="s">
        <v>1340</v>
      </c>
      <c r="J50" s="6" t="s">
        <v>1341</v>
      </c>
      <c r="K50" s="6" t="n">
        <v>3</v>
      </c>
      <c r="L50" s="6" t="n">
        <v>5</v>
      </c>
      <c r="M50" s="6" t="s">
        <v>64</v>
      </c>
      <c r="N50" s="6" t="s">
        <v>65</v>
      </c>
      <c r="O50" s="6" t="s">
        <v>64</v>
      </c>
      <c r="P50" s="6" t="s">
        <v>1342</v>
      </c>
      <c r="Q50" s="6"/>
      <c r="R50" s="6"/>
      <c r="S50" s="6"/>
      <c r="T50" s="6"/>
    </row>
    <row r="51" customFormat="false" ht="91" hidden="false" customHeight="false" outlineLevel="0" collapsed="false">
      <c r="A51" s="6" t="n">
        <v>50</v>
      </c>
      <c r="B51" s="6" t="s">
        <v>11</v>
      </c>
      <c r="C51" s="7" t="n">
        <v>0.59375</v>
      </c>
      <c r="D51" s="7"/>
      <c r="E51" s="6" t="s">
        <v>29</v>
      </c>
      <c r="F51" s="6" t="s">
        <v>215</v>
      </c>
      <c r="G51" s="6" t="s">
        <v>1343</v>
      </c>
      <c r="H51" s="6" t="s">
        <v>1344</v>
      </c>
      <c r="I51" s="6" t="s">
        <v>1345</v>
      </c>
      <c r="J51" s="6" t="s">
        <v>1346</v>
      </c>
      <c r="K51" s="6" t="n">
        <v>3</v>
      </c>
      <c r="L51" s="6"/>
      <c r="M51" s="6" t="s">
        <v>255</v>
      </c>
      <c r="N51" s="6" t="s">
        <v>87</v>
      </c>
      <c r="O51" s="6" t="s">
        <v>795</v>
      </c>
      <c r="P51" s="6" t="s">
        <v>1347</v>
      </c>
      <c r="Q51" s="6"/>
      <c r="R51" s="6"/>
      <c r="S51" s="6"/>
      <c r="T51" s="6"/>
    </row>
    <row r="52" customFormat="false" ht="57.45" hidden="false" customHeight="false" outlineLevel="0" collapsed="false">
      <c r="A52" s="6" t="n">
        <v>51</v>
      </c>
      <c r="B52" s="6" t="s">
        <v>11</v>
      </c>
      <c r="C52" s="7" t="n">
        <v>0.59375</v>
      </c>
      <c r="D52" s="7"/>
      <c r="E52" s="6" t="s">
        <v>23</v>
      </c>
      <c r="F52" s="6" t="s">
        <v>134</v>
      </c>
      <c r="G52" s="6" t="s">
        <v>1348</v>
      </c>
      <c r="H52" s="6" t="s">
        <v>1349</v>
      </c>
      <c r="I52" s="6" t="s">
        <v>1350</v>
      </c>
      <c r="J52" s="6" t="s">
        <v>1351</v>
      </c>
      <c r="K52" s="6" t="n">
        <v>3</v>
      </c>
      <c r="L52" s="6" t="n">
        <v>2</v>
      </c>
      <c r="M52" s="6" t="s">
        <v>732</v>
      </c>
      <c r="N52" s="6" t="s">
        <v>87</v>
      </c>
      <c r="O52" s="6" t="s">
        <v>733</v>
      </c>
      <c r="P52" s="6" t="s">
        <v>1352</v>
      </c>
      <c r="Q52" s="6"/>
      <c r="R52" s="6"/>
      <c r="S52" s="6"/>
      <c r="T52" s="6"/>
    </row>
    <row r="53" customFormat="false" ht="46.25" hidden="false" customHeight="false" outlineLevel="0" collapsed="false">
      <c r="A53" s="6" t="n">
        <v>52</v>
      </c>
      <c r="B53" s="6" t="s">
        <v>11</v>
      </c>
      <c r="C53" s="7" t="n">
        <v>0.604166666666667</v>
      </c>
      <c r="D53" s="7"/>
      <c r="E53" s="6" t="s">
        <v>13</v>
      </c>
      <c r="F53" s="6" t="s">
        <v>215</v>
      </c>
      <c r="G53" s="6" t="s">
        <v>1353</v>
      </c>
      <c r="H53" s="6" t="s">
        <v>1354</v>
      </c>
      <c r="I53" s="6" t="s">
        <v>1355</v>
      </c>
      <c r="J53" s="6" t="s">
        <v>1356</v>
      </c>
      <c r="K53" s="6" t="n">
        <v>3</v>
      </c>
      <c r="L53" s="6" t="n">
        <v>1</v>
      </c>
      <c r="M53" s="6" t="s">
        <v>114</v>
      </c>
      <c r="N53" s="6" t="s">
        <v>65</v>
      </c>
      <c r="O53" s="6" t="s">
        <v>114</v>
      </c>
      <c r="P53" s="6"/>
      <c r="Q53" s="6"/>
      <c r="R53" s="6"/>
      <c r="S53" s="6"/>
      <c r="T53" s="6"/>
    </row>
    <row r="54" customFormat="false" ht="79.85" hidden="false" customHeight="false" outlineLevel="0" collapsed="false">
      <c r="A54" s="6" t="n">
        <v>53</v>
      </c>
      <c r="B54" s="6" t="s">
        <v>11</v>
      </c>
      <c r="C54" s="7" t="n">
        <v>0.604166666666667</v>
      </c>
      <c r="D54" s="7"/>
      <c r="E54" s="6" t="s">
        <v>14</v>
      </c>
      <c r="F54" s="6" t="s">
        <v>134</v>
      </c>
      <c r="G54" s="6" t="s">
        <v>1357</v>
      </c>
      <c r="H54" s="6" t="s">
        <v>1358</v>
      </c>
      <c r="I54" s="6" t="s">
        <v>1359</v>
      </c>
      <c r="J54" s="6" t="s">
        <v>1360</v>
      </c>
      <c r="K54" s="6" t="n">
        <v>3</v>
      </c>
      <c r="L54" s="6" t="n">
        <v>3</v>
      </c>
      <c r="M54" s="6" t="s">
        <v>588</v>
      </c>
      <c r="N54" s="6" t="s">
        <v>87</v>
      </c>
      <c r="O54" s="6" t="s">
        <v>588</v>
      </c>
      <c r="P54" s="6" t="s">
        <v>1361</v>
      </c>
      <c r="Q54" s="6"/>
      <c r="R54" s="6"/>
      <c r="S54" s="6"/>
      <c r="T54" s="6"/>
    </row>
    <row r="55" customFormat="false" ht="15" hidden="false" customHeight="false" outlineLevel="0" collapsed="false">
      <c r="A55" s="6" t="n">
        <v>54</v>
      </c>
      <c r="B55" s="6" t="s">
        <v>11</v>
      </c>
      <c r="C55" s="7" t="n">
        <v>0.614583333333333</v>
      </c>
      <c r="D55" s="7"/>
      <c r="E55" s="6" t="s">
        <v>36</v>
      </c>
      <c r="F55" s="6" t="s">
        <v>156</v>
      </c>
      <c r="G55" s="6" t="s">
        <v>1362</v>
      </c>
      <c r="H55" s="6" t="s">
        <v>1363</v>
      </c>
      <c r="I55" s="6" t="s">
        <v>1364</v>
      </c>
      <c r="J55" s="6" t="s">
        <v>1365</v>
      </c>
      <c r="K55" s="6" t="n">
        <v>1</v>
      </c>
      <c r="L55" s="6"/>
      <c r="M55" s="6" t="s">
        <v>36</v>
      </c>
      <c r="N55" s="6"/>
      <c r="O55" s="6" t="s">
        <v>36</v>
      </c>
      <c r="P55" s="6"/>
      <c r="Q55" s="6"/>
      <c r="R55" s="6"/>
      <c r="S55" s="6"/>
      <c r="T55" s="6"/>
    </row>
    <row r="56" customFormat="false" ht="46.25" hidden="false" customHeight="false" outlineLevel="0" collapsed="false">
      <c r="A56" s="6" t="n">
        <v>55</v>
      </c>
      <c r="B56" s="6" t="s">
        <v>11</v>
      </c>
      <c r="C56" s="7" t="n">
        <v>0.635416666666667</v>
      </c>
      <c r="D56" s="7"/>
      <c r="E56" s="6" t="s">
        <v>14</v>
      </c>
      <c r="F56" s="6" t="s">
        <v>554</v>
      </c>
      <c r="G56" s="6" t="s">
        <v>1366</v>
      </c>
      <c r="H56" s="6" t="s">
        <v>1367</v>
      </c>
      <c r="I56" s="6" t="s">
        <v>1368</v>
      </c>
      <c r="J56" s="6" t="s">
        <v>1369</v>
      </c>
      <c r="K56" s="6" t="n">
        <v>3</v>
      </c>
      <c r="L56" s="6" t="n">
        <v>6</v>
      </c>
      <c r="M56" s="6" t="s">
        <v>588</v>
      </c>
      <c r="N56" s="6" t="s">
        <v>87</v>
      </c>
      <c r="O56" s="6" t="s">
        <v>1303</v>
      </c>
      <c r="P56" s="6"/>
      <c r="Q56" s="6"/>
      <c r="R56" s="6"/>
      <c r="S56" s="6"/>
      <c r="T56"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9</v>
      </c>
      <c r="C2" s="7" t="n">
        <v>0.375</v>
      </c>
      <c r="D2" s="7"/>
      <c r="E2" s="6" t="s">
        <v>14</v>
      </c>
      <c r="F2" s="6" t="s">
        <v>59</v>
      </c>
      <c r="G2" s="6" t="s">
        <v>60</v>
      </c>
      <c r="H2" s="6" t="s">
        <v>61</v>
      </c>
      <c r="I2" s="6" t="s">
        <v>62</v>
      </c>
      <c r="J2" s="6" t="s">
        <v>63</v>
      </c>
      <c r="K2" s="6" t="n">
        <v>1</v>
      </c>
      <c r="L2" s="6"/>
      <c r="M2" s="6" t="s">
        <v>64</v>
      </c>
      <c r="N2" s="6" t="s">
        <v>65</v>
      </c>
      <c r="O2" s="6" t="s">
        <v>66</v>
      </c>
      <c r="P2" s="6"/>
      <c r="Q2" s="6"/>
      <c r="R2" s="6"/>
      <c r="S2" s="6"/>
      <c r="T2" s="6"/>
    </row>
    <row r="3" customFormat="false" ht="46.25" hidden="false" customHeight="false" outlineLevel="0" collapsed="false">
      <c r="A3" s="6" t="n">
        <v>2</v>
      </c>
      <c r="B3" s="6" t="s">
        <v>9</v>
      </c>
      <c r="C3" s="7" t="n">
        <v>0.381944444444444</v>
      </c>
      <c r="D3" s="7"/>
      <c r="E3" s="6" t="s">
        <v>14</v>
      </c>
      <c r="F3" s="6" t="s">
        <v>67</v>
      </c>
      <c r="G3" s="6" t="s">
        <v>68</v>
      </c>
      <c r="H3" s="6" t="s">
        <v>69</v>
      </c>
      <c r="I3" s="6" t="s">
        <v>70</v>
      </c>
      <c r="J3" s="6" t="s">
        <v>71</v>
      </c>
      <c r="K3" s="6" t="n">
        <v>2</v>
      </c>
      <c r="L3" s="6"/>
      <c r="M3" s="6" t="s">
        <v>64</v>
      </c>
      <c r="N3" s="6" t="s">
        <v>65</v>
      </c>
      <c r="O3" s="6" t="s">
        <v>64</v>
      </c>
      <c r="P3" s="6"/>
      <c r="Q3" s="6"/>
      <c r="R3" s="6"/>
      <c r="S3" s="6"/>
      <c r="T3" s="6"/>
    </row>
    <row r="4" customFormat="false" ht="57.45" hidden="false" customHeight="false" outlineLevel="0" collapsed="false">
      <c r="A4" s="6" t="n">
        <v>3</v>
      </c>
      <c r="B4" s="6" t="s">
        <v>9</v>
      </c>
      <c r="C4" s="7" t="n">
        <v>0.392361111111111</v>
      </c>
      <c r="D4" s="7"/>
      <c r="E4" s="6" t="s">
        <v>14</v>
      </c>
      <c r="F4" s="6" t="s">
        <v>67</v>
      </c>
      <c r="G4" s="6" t="s">
        <v>72</v>
      </c>
      <c r="H4" s="6" t="s">
        <v>73</v>
      </c>
      <c r="I4" s="6" t="s">
        <v>74</v>
      </c>
      <c r="J4" s="6" t="s">
        <v>75</v>
      </c>
      <c r="K4" s="6" t="n">
        <v>3</v>
      </c>
      <c r="L4" s="6"/>
      <c r="M4" s="6" t="s">
        <v>64</v>
      </c>
      <c r="N4" s="6" t="s">
        <v>65</v>
      </c>
      <c r="O4" s="6" t="s">
        <v>64</v>
      </c>
      <c r="P4" s="6"/>
      <c r="Q4" s="6"/>
      <c r="R4" s="6"/>
      <c r="S4" s="6"/>
      <c r="T4" s="6"/>
    </row>
    <row r="5" customFormat="false" ht="23.85" hidden="false" customHeight="false" outlineLevel="0" collapsed="false">
      <c r="A5" s="6" t="n">
        <v>4</v>
      </c>
      <c r="B5" s="6" t="s">
        <v>9</v>
      </c>
      <c r="C5" s="7" t="n">
        <v>0.395833333333333</v>
      </c>
      <c r="D5" s="7"/>
      <c r="E5" s="6" t="s">
        <v>20</v>
      </c>
      <c r="F5" s="6" t="s">
        <v>67</v>
      </c>
      <c r="G5" s="6" t="s">
        <v>76</v>
      </c>
      <c r="H5" s="6" t="s">
        <v>77</v>
      </c>
      <c r="I5" s="6" t="s">
        <v>78</v>
      </c>
      <c r="J5" s="6" t="s">
        <v>79</v>
      </c>
      <c r="K5" s="6" t="n">
        <v>1</v>
      </c>
      <c r="L5" s="6"/>
      <c r="M5" s="6" t="s">
        <v>80</v>
      </c>
      <c r="N5" s="6" t="s">
        <v>65</v>
      </c>
      <c r="O5" s="6" t="s">
        <v>80</v>
      </c>
      <c r="P5" s="6"/>
      <c r="Q5" s="6"/>
      <c r="R5" s="6"/>
      <c r="S5" s="6"/>
      <c r="T5" s="6"/>
    </row>
    <row r="6" customFormat="false" ht="23.85" hidden="false" customHeight="false" outlineLevel="0" collapsed="false">
      <c r="A6" s="6" t="n">
        <v>5</v>
      </c>
      <c r="B6" s="6" t="s">
        <v>9</v>
      </c>
      <c r="C6" s="7" t="n">
        <v>0.395833333333333</v>
      </c>
      <c r="D6" s="7"/>
      <c r="E6" s="6" t="s">
        <v>27</v>
      </c>
      <c r="F6" s="6" t="s">
        <v>81</v>
      </c>
      <c r="G6" s="6" t="s">
        <v>82</v>
      </c>
      <c r="H6" s="6" t="s">
        <v>83</v>
      </c>
      <c r="I6" s="6" t="s">
        <v>84</v>
      </c>
      <c r="J6" s="6" t="s">
        <v>85</v>
      </c>
      <c r="K6" s="6" t="n">
        <v>1</v>
      </c>
      <c r="L6" s="6"/>
      <c r="M6" s="6" t="s">
        <v>86</v>
      </c>
      <c r="N6" s="6" t="s">
        <v>87</v>
      </c>
      <c r="O6" s="6" t="s">
        <v>86</v>
      </c>
      <c r="P6" s="6"/>
      <c r="Q6" s="6"/>
      <c r="R6" s="6"/>
      <c r="S6" s="6"/>
      <c r="T6" s="6"/>
    </row>
    <row r="7" customFormat="false" ht="46.25" hidden="false" customHeight="false" outlineLevel="0" collapsed="false">
      <c r="A7" s="6" t="n">
        <v>6</v>
      </c>
      <c r="B7" s="6" t="s">
        <v>9</v>
      </c>
      <c r="C7" s="7" t="n">
        <v>0.395833333333333</v>
      </c>
      <c r="D7" s="7"/>
      <c r="E7" s="6" t="s">
        <v>25</v>
      </c>
      <c r="F7" s="6" t="s">
        <v>67</v>
      </c>
      <c r="G7" s="6" t="s">
        <v>88</v>
      </c>
      <c r="H7" s="6" t="s">
        <v>89</v>
      </c>
      <c r="I7" s="6" t="s">
        <v>90</v>
      </c>
      <c r="J7" s="6" t="s">
        <v>91</v>
      </c>
      <c r="K7" s="6" t="n">
        <v>2</v>
      </c>
      <c r="L7" s="6"/>
      <c r="M7" s="6" t="s">
        <v>92</v>
      </c>
      <c r="N7" s="6" t="s">
        <v>65</v>
      </c>
      <c r="O7" s="6" t="s">
        <v>92</v>
      </c>
      <c r="P7" s="6"/>
      <c r="Q7" s="6"/>
      <c r="R7" s="6"/>
      <c r="S7" s="6"/>
      <c r="T7" s="6"/>
    </row>
    <row r="8" customFormat="false" ht="35.05" hidden="false" customHeight="false" outlineLevel="0" collapsed="false">
      <c r="A8" s="6" t="n">
        <v>7</v>
      </c>
      <c r="B8" s="6" t="s">
        <v>9</v>
      </c>
      <c r="C8" s="7" t="n">
        <v>0.395833333333333</v>
      </c>
      <c r="D8" s="7"/>
      <c r="E8" s="6" t="s">
        <v>21</v>
      </c>
      <c r="F8" s="6" t="s">
        <v>67</v>
      </c>
      <c r="G8" s="6" t="s">
        <v>93</v>
      </c>
      <c r="H8" s="6" t="s">
        <v>94</v>
      </c>
      <c r="I8" s="6" t="s">
        <v>95</v>
      </c>
      <c r="J8" s="6" t="s">
        <v>96</v>
      </c>
      <c r="K8" s="6" t="n">
        <v>2</v>
      </c>
      <c r="L8" s="6"/>
      <c r="M8" s="6" t="s">
        <v>97</v>
      </c>
      <c r="N8" s="6" t="s">
        <v>65</v>
      </c>
      <c r="O8" s="6" t="s">
        <v>98</v>
      </c>
      <c r="P8" s="6"/>
      <c r="Q8" s="6"/>
      <c r="R8" s="6"/>
      <c r="S8" s="6"/>
      <c r="T8" s="6"/>
    </row>
    <row r="9" customFormat="false" ht="23.85" hidden="false" customHeight="false" outlineLevel="0" collapsed="false">
      <c r="A9" s="6" t="n">
        <v>8</v>
      </c>
      <c r="B9" s="6" t="s">
        <v>9</v>
      </c>
      <c r="C9" s="7" t="n">
        <v>0.395833333333333</v>
      </c>
      <c r="D9" s="7"/>
      <c r="E9" s="6" t="s">
        <v>30</v>
      </c>
      <c r="F9" s="6" t="s">
        <v>81</v>
      </c>
      <c r="G9" s="6" t="s">
        <v>99</v>
      </c>
      <c r="H9" s="6" t="s">
        <v>100</v>
      </c>
      <c r="I9" s="6" t="s">
        <v>101</v>
      </c>
      <c r="J9" s="6" t="s">
        <v>102</v>
      </c>
      <c r="K9" s="6" t="n">
        <v>1</v>
      </c>
      <c r="L9" s="6"/>
      <c r="M9" s="6" t="s">
        <v>103</v>
      </c>
      <c r="N9" s="6" t="s">
        <v>87</v>
      </c>
      <c r="O9" s="6" t="s">
        <v>103</v>
      </c>
      <c r="P9" s="6"/>
      <c r="Q9" s="6"/>
      <c r="R9" s="6"/>
      <c r="S9" s="6"/>
      <c r="T9" s="6"/>
    </row>
    <row r="10" customFormat="false" ht="46.25" hidden="false" customHeight="false" outlineLevel="0" collapsed="false">
      <c r="A10" s="6" t="n">
        <v>9</v>
      </c>
      <c r="B10" s="6" t="s">
        <v>9</v>
      </c>
      <c r="C10" s="7" t="n">
        <v>0.395833333333333</v>
      </c>
      <c r="D10" s="7"/>
      <c r="E10" s="6" t="s">
        <v>32</v>
      </c>
      <c r="F10" s="6" t="s">
        <v>67</v>
      </c>
      <c r="G10" s="6" t="s">
        <v>104</v>
      </c>
      <c r="H10" s="6" t="s">
        <v>105</v>
      </c>
      <c r="I10" s="6" t="s">
        <v>106</v>
      </c>
      <c r="J10" s="6" t="s">
        <v>107</v>
      </c>
      <c r="K10" s="6" t="n">
        <v>2</v>
      </c>
      <c r="L10" s="6"/>
      <c r="M10" s="6" t="s">
        <v>108</v>
      </c>
      <c r="N10" s="6" t="s">
        <v>87</v>
      </c>
      <c r="O10" s="6" t="s">
        <v>109</v>
      </c>
      <c r="P10" s="6"/>
      <c r="Q10" s="6"/>
      <c r="R10" s="6"/>
      <c r="S10" s="6"/>
      <c r="T10" s="6"/>
    </row>
    <row r="11" customFormat="false" ht="46.25" hidden="false" customHeight="false" outlineLevel="0" collapsed="false">
      <c r="A11" s="6" t="n">
        <v>10</v>
      </c>
      <c r="B11" s="6" t="s">
        <v>9</v>
      </c>
      <c r="C11" s="7" t="n">
        <v>0.395833333333333</v>
      </c>
      <c r="D11" s="7"/>
      <c r="E11" s="6" t="s">
        <v>22</v>
      </c>
      <c r="F11" s="6" t="s">
        <v>67</v>
      </c>
      <c r="G11" s="6" t="s">
        <v>110</v>
      </c>
      <c r="H11" s="6" t="s">
        <v>111</v>
      </c>
      <c r="I11" s="6" t="s">
        <v>112</v>
      </c>
      <c r="J11" s="6" t="s">
        <v>113</v>
      </c>
      <c r="K11" s="6" t="n">
        <v>2</v>
      </c>
      <c r="L11" s="6"/>
      <c r="M11" s="6" t="s">
        <v>114</v>
      </c>
      <c r="N11" s="6" t="s">
        <v>65</v>
      </c>
      <c r="O11" s="6" t="s">
        <v>115</v>
      </c>
      <c r="P11" s="6" t="s">
        <v>116</v>
      </c>
      <c r="Q11" s="6"/>
      <c r="R11" s="6"/>
      <c r="S11" s="6"/>
      <c r="T11" s="6"/>
    </row>
    <row r="12" customFormat="false" ht="23.85" hidden="false" customHeight="false" outlineLevel="0" collapsed="false">
      <c r="A12" s="6" t="n">
        <v>11</v>
      </c>
      <c r="B12" s="6" t="s">
        <v>9</v>
      </c>
      <c r="C12" s="7" t="n">
        <v>0.395833333333333</v>
      </c>
      <c r="D12" s="7" t="n">
        <v>0.427083333333333</v>
      </c>
      <c r="E12" s="6" t="s">
        <v>39</v>
      </c>
      <c r="F12" s="6" t="s">
        <v>39</v>
      </c>
      <c r="G12" s="6" t="s">
        <v>117</v>
      </c>
      <c r="H12" s="6" t="s">
        <v>118</v>
      </c>
      <c r="I12" s="6" t="s">
        <v>118</v>
      </c>
      <c r="J12" s="6"/>
      <c r="K12" s="6" t="n">
        <v>1</v>
      </c>
      <c r="L12" s="6"/>
      <c r="M12" s="6" t="s">
        <v>119</v>
      </c>
      <c r="N12" s="6" t="s">
        <v>87</v>
      </c>
      <c r="O12" s="6" t="s">
        <v>119</v>
      </c>
      <c r="P12" s="6"/>
      <c r="Q12" s="6" t="n">
        <v>100</v>
      </c>
      <c r="R12" s="6" t="n">
        <v>120</v>
      </c>
      <c r="S12" s="6" t="n">
        <f aca="false">R12-Q12</f>
        <v>20</v>
      </c>
      <c r="T12" s="6" t="s">
        <v>120</v>
      </c>
    </row>
    <row r="13" customFormat="false" ht="23.85" hidden="false" customHeight="false" outlineLevel="0" collapsed="false">
      <c r="A13" s="6" t="n">
        <v>12</v>
      </c>
      <c r="B13" s="6" t="s">
        <v>9</v>
      </c>
      <c r="C13" s="7" t="n">
        <v>0.402777777777778</v>
      </c>
      <c r="D13" s="7"/>
      <c r="E13" s="6" t="s">
        <v>36</v>
      </c>
      <c r="F13" s="6" t="s">
        <v>81</v>
      </c>
      <c r="G13" s="6" t="s">
        <v>121</v>
      </c>
      <c r="H13" s="6" t="s">
        <v>122</v>
      </c>
      <c r="I13" s="6" t="s">
        <v>123</v>
      </c>
      <c r="J13" s="6" t="s">
        <v>124</v>
      </c>
      <c r="K13" s="6" t="n">
        <v>1</v>
      </c>
      <c r="L13" s="6"/>
      <c r="M13" s="6" t="s">
        <v>36</v>
      </c>
      <c r="N13" s="6"/>
      <c r="O13" s="6" t="s">
        <v>36</v>
      </c>
      <c r="P13" s="6"/>
      <c r="Q13" s="6"/>
      <c r="R13" s="6"/>
      <c r="S13" s="6"/>
      <c r="T13" s="6"/>
    </row>
    <row r="14" customFormat="false" ht="46.25" hidden="false" customHeight="false" outlineLevel="0" collapsed="false">
      <c r="A14" s="6" t="n">
        <v>13</v>
      </c>
      <c r="B14" s="6" t="s">
        <v>9</v>
      </c>
      <c r="C14" s="7" t="n">
        <v>0.402777777777778</v>
      </c>
      <c r="D14" s="7"/>
      <c r="E14" s="6" t="s">
        <v>33</v>
      </c>
      <c r="F14" s="6" t="s">
        <v>81</v>
      </c>
      <c r="G14" s="6" t="s">
        <v>125</v>
      </c>
      <c r="H14" s="6" t="s">
        <v>126</v>
      </c>
      <c r="I14" s="6" t="s">
        <v>127</v>
      </c>
      <c r="J14" s="6" t="s">
        <v>128</v>
      </c>
      <c r="K14" s="6" t="n">
        <v>2</v>
      </c>
      <c r="L14" s="6"/>
      <c r="M14" s="6" t="s">
        <v>64</v>
      </c>
      <c r="N14" s="6" t="s">
        <v>65</v>
      </c>
      <c r="O14" s="6" t="s">
        <v>64</v>
      </c>
      <c r="P14" s="6" t="s">
        <v>129</v>
      </c>
      <c r="Q14" s="6"/>
      <c r="R14" s="6"/>
      <c r="S14" s="6"/>
      <c r="T14" s="6"/>
    </row>
    <row r="15" customFormat="false" ht="23.85" hidden="false" customHeight="false" outlineLevel="0" collapsed="false">
      <c r="A15" s="6" t="n">
        <v>14</v>
      </c>
      <c r="B15" s="6" t="s">
        <v>9</v>
      </c>
      <c r="C15" s="7" t="n">
        <v>0.40625</v>
      </c>
      <c r="D15" s="7"/>
      <c r="E15" s="6" t="s">
        <v>21</v>
      </c>
      <c r="F15" s="6" t="s">
        <v>81</v>
      </c>
      <c r="G15" s="6" t="s">
        <v>130</v>
      </c>
      <c r="H15" s="6" t="s">
        <v>131</v>
      </c>
      <c r="I15" s="6" t="s">
        <v>132</v>
      </c>
      <c r="J15" s="6" t="s">
        <v>133</v>
      </c>
      <c r="K15" s="6" t="n">
        <v>1</v>
      </c>
      <c r="L15" s="6"/>
      <c r="M15" s="6" t="s">
        <v>97</v>
      </c>
      <c r="N15" s="6" t="s">
        <v>65</v>
      </c>
      <c r="O15" s="6" t="s">
        <v>97</v>
      </c>
      <c r="P15" s="6"/>
      <c r="Q15" s="6"/>
      <c r="R15" s="6"/>
      <c r="S15" s="6"/>
      <c r="T15" s="6"/>
    </row>
    <row r="16" customFormat="false" ht="57.45" hidden="false" customHeight="false" outlineLevel="0" collapsed="false">
      <c r="A16" s="6" t="n">
        <v>15</v>
      </c>
      <c r="B16" s="6" t="s">
        <v>9</v>
      </c>
      <c r="C16" s="7" t="n">
        <v>0.40625</v>
      </c>
      <c r="D16" s="7"/>
      <c r="E16" s="6" t="s">
        <v>20</v>
      </c>
      <c r="F16" s="6" t="s">
        <v>134</v>
      </c>
      <c r="G16" s="6" t="s">
        <v>135</v>
      </c>
      <c r="H16" s="6" t="s">
        <v>136</v>
      </c>
      <c r="I16" s="6" t="s">
        <v>137</v>
      </c>
      <c r="J16" s="6" t="s">
        <v>138</v>
      </c>
      <c r="K16" s="6" t="n">
        <v>4</v>
      </c>
      <c r="L16" s="6"/>
      <c r="M16" s="6" t="s">
        <v>80</v>
      </c>
      <c r="N16" s="6" t="s">
        <v>65</v>
      </c>
      <c r="O16" s="6" t="s">
        <v>80</v>
      </c>
      <c r="P16" s="6"/>
      <c r="Q16" s="6"/>
      <c r="R16" s="6"/>
      <c r="S16" s="6"/>
      <c r="T16" s="6"/>
    </row>
    <row r="17" customFormat="false" ht="35.05" hidden="false" customHeight="false" outlineLevel="0" collapsed="false">
      <c r="A17" s="6" t="n">
        <v>16</v>
      </c>
      <c r="B17" s="6" t="s">
        <v>9</v>
      </c>
      <c r="C17" s="7" t="n">
        <v>0.40625</v>
      </c>
      <c r="D17" s="7"/>
      <c r="E17" s="6" t="s">
        <v>25</v>
      </c>
      <c r="F17" s="6" t="s">
        <v>81</v>
      </c>
      <c r="G17" s="6" t="s">
        <v>139</v>
      </c>
      <c r="H17" s="6" t="s">
        <v>140</v>
      </c>
      <c r="I17" s="6" t="s">
        <v>141</v>
      </c>
      <c r="J17" s="6" t="s">
        <v>142</v>
      </c>
      <c r="K17" s="6" t="n">
        <v>1</v>
      </c>
      <c r="L17" s="6"/>
      <c r="M17" s="6" t="s">
        <v>92</v>
      </c>
      <c r="N17" s="6" t="s">
        <v>65</v>
      </c>
      <c r="O17" s="6" t="s">
        <v>92</v>
      </c>
      <c r="P17" s="6"/>
      <c r="Q17" s="6"/>
      <c r="R17" s="6"/>
      <c r="S17" s="6"/>
      <c r="T17" s="6"/>
    </row>
    <row r="18" customFormat="false" ht="46.25" hidden="false" customHeight="false" outlineLevel="0" collapsed="false">
      <c r="A18" s="6" t="n">
        <v>17</v>
      </c>
      <c r="B18" s="6" t="s">
        <v>9</v>
      </c>
      <c r="C18" s="7" t="n">
        <v>0.40625</v>
      </c>
      <c r="D18" s="7"/>
      <c r="E18" s="6" t="s">
        <v>32</v>
      </c>
      <c r="F18" s="6" t="s">
        <v>81</v>
      </c>
      <c r="G18" s="6" t="s">
        <v>143</v>
      </c>
      <c r="H18" s="6" t="s">
        <v>144</v>
      </c>
      <c r="I18" s="6" t="s">
        <v>145</v>
      </c>
      <c r="J18" s="6" t="s">
        <v>146</v>
      </c>
      <c r="K18" s="6" t="n">
        <v>3</v>
      </c>
      <c r="L18" s="6"/>
      <c r="M18" s="6"/>
      <c r="N18" s="6"/>
      <c r="O18" s="6"/>
      <c r="P18" s="6"/>
      <c r="Q18" s="6"/>
      <c r="R18" s="6"/>
      <c r="S18" s="6"/>
      <c r="T18" s="6"/>
    </row>
    <row r="19" customFormat="false" ht="35.05" hidden="false" customHeight="false" outlineLevel="0" collapsed="false">
      <c r="A19" s="6" t="n">
        <v>18</v>
      </c>
      <c r="B19" s="6" t="s">
        <v>9</v>
      </c>
      <c r="C19" s="7" t="n">
        <v>0.40625</v>
      </c>
      <c r="D19" s="7"/>
      <c r="E19" s="6" t="s">
        <v>30</v>
      </c>
      <c r="F19" s="6" t="s">
        <v>81</v>
      </c>
      <c r="G19" s="6" t="s">
        <v>147</v>
      </c>
      <c r="H19" s="6" t="s">
        <v>148</v>
      </c>
      <c r="I19" s="6" t="s">
        <v>149</v>
      </c>
      <c r="J19" s="6" t="s">
        <v>150</v>
      </c>
      <c r="K19" s="6" t="n">
        <v>1</v>
      </c>
      <c r="L19" s="6"/>
      <c r="M19" s="6" t="s">
        <v>103</v>
      </c>
      <c r="N19" s="6" t="s">
        <v>87</v>
      </c>
      <c r="O19" s="6" t="s">
        <v>151</v>
      </c>
      <c r="P19" s="6"/>
      <c r="Q19" s="6"/>
      <c r="R19" s="6"/>
      <c r="S19" s="6"/>
      <c r="T19" s="6"/>
    </row>
    <row r="20" customFormat="false" ht="35.05" hidden="false" customHeight="false" outlineLevel="0" collapsed="false">
      <c r="A20" s="6" t="n">
        <v>19</v>
      </c>
      <c r="B20" s="6" t="s">
        <v>9</v>
      </c>
      <c r="C20" s="7" t="n">
        <v>0.40625</v>
      </c>
      <c r="D20" s="7"/>
      <c r="E20" s="6" t="s">
        <v>27</v>
      </c>
      <c r="F20" s="6" t="s">
        <v>81</v>
      </c>
      <c r="G20" s="6" t="s">
        <v>152</v>
      </c>
      <c r="H20" s="6" t="s">
        <v>153</v>
      </c>
      <c r="I20" s="6" t="s">
        <v>154</v>
      </c>
      <c r="J20" s="6" t="s">
        <v>155</v>
      </c>
      <c r="K20" s="6" t="n">
        <v>1</v>
      </c>
      <c r="L20" s="6"/>
      <c r="M20" s="6" t="s">
        <v>86</v>
      </c>
      <c r="N20" s="6" t="s">
        <v>87</v>
      </c>
      <c r="O20" s="6" t="s">
        <v>86</v>
      </c>
      <c r="P20" s="6"/>
      <c r="Q20" s="6"/>
      <c r="R20" s="6"/>
      <c r="S20" s="6"/>
      <c r="T20" s="6"/>
    </row>
    <row r="21" customFormat="false" ht="23.85" hidden="false" customHeight="false" outlineLevel="0" collapsed="false">
      <c r="A21" s="6" t="n">
        <v>20</v>
      </c>
      <c r="B21" s="6" t="s">
        <v>9</v>
      </c>
      <c r="C21" s="7" t="n">
        <v>0.409722222222222</v>
      </c>
      <c r="D21" s="7"/>
      <c r="E21" s="6" t="s">
        <v>36</v>
      </c>
      <c r="F21" s="6" t="s">
        <v>156</v>
      </c>
      <c r="G21" s="6" t="s">
        <v>157</v>
      </c>
      <c r="H21" s="6" t="s">
        <v>158</v>
      </c>
      <c r="I21" s="6" t="s">
        <v>159</v>
      </c>
      <c r="J21" s="6" t="s">
        <v>160</v>
      </c>
      <c r="K21" s="6" t="n">
        <v>1</v>
      </c>
      <c r="L21" s="6"/>
      <c r="M21" s="6" t="s">
        <v>36</v>
      </c>
      <c r="N21" s="6"/>
      <c r="O21" s="6" t="s">
        <v>36</v>
      </c>
      <c r="P21" s="6"/>
      <c r="Q21" s="6"/>
      <c r="R21" s="6"/>
      <c r="S21" s="6"/>
      <c r="T21" s="6"/>
    </row>
    <row r="22" customFormat="false" ht="102.2" hidden="false" customHeight="false" outlineLevel="0" collapsed="false">
      <c r="A22" s="6" t="n">
        <v>21</v>
      </c>
      <c r="B22" s="6" t="s">
        <v>9</v>
      </c>
      <c r="C22" s="7" t="n">
        <v>0.413194444444444</v>
      </c>
      <c r="D22" s="7"/>
      <c r="E22" s="6" t="s">
        <v>33</v>
      </c>
      <c r="F22" s="6" t="s">
        <v>134</v>
      </c>
      <c r="G22" s="6" t="s">
        <v>161</v>
      </c>
      <c r="H22" s="6" t="s">
        <v>162</v>
      </c>
      <c r="I22" s="6" t="s">
        <v>163</v>
      </c>
      <c r="J22" s="6" t="s">
        <v>164</v>
      </c>
      <c r="K22" s="6" t="n">
        <v>6</v>
      </c>
      <c r="L22" s="6"/>
      <c r="M22" s="6" t="s">
        <v>64</v>
      </c>
      <c r="N22" s="6" t="s">
        <v>65</v>
      </c>
      <c r="O22" s="6" t="s">
        <v>64</v>
      </c>
      <c r="P22" s="6" t="s">
        <v>165</v>
      </c>
      <c r="Q22" s="6"/>
      <c r="R22" s="6"/>
      <c r="S22" s="6"/>
      <c r="T22" s="6"/>
    </row>
    <row r="23" customFormat="false" ht="113.4" hidden="false" customHeight="false" outlineLevel="0" collapsed="false">
      <c r="A23" s="6" t="n">
        <v>22</v>
      </c>
      <c r="B23" s="6" t="s">
        <v>9</v>
      </c>
      <c r="C23" s="7" t="n">
        <v>0.416666666666667</v>
      </c>
      <c r="D23" s="7"/>
      <c r="E23" s="6" t="s">
        <v>25</v>
      </c>
      <c r="F23" s="6" t="s">
        <v>134</v>
      </c>
      <c r="G23" s="6" t="s">
        <v>166</v>
      </c>
      <c r="H23" s="6" t="s">
        <v>167</v>
      </c>
      <c r="I23" s="6" t="s">
        <v>168</v>
      </c>
      <c r="J23" s="6" t="s">
        <v>169</v>
      </c>
      <c r="K23" s="6" t="n">
        <v>6</v>
      </c>
      <c r="L23" s="6"/>
      <c r="M23" s="6" t="s">
        <v>92</v>
      </c>
      <c r="N23" s="6" t="s">
        <v>65</v>
      </c>
      <c r="O23" s="6" t="s">
        <v>92</v>
      </c>
      <c r="P23" s="6" t="s">
        <v>170</v>
      </c>
      <c r="Q23" s="6"/>
      <c r="R23" s="6"/>
      <c r="S23" s="6"/>
      <c r="T23" s="6"/>
    </row>
    <row r="24" customFormat="false" ht="57.45" hidden="false" customHeight="false" outlineLevel="0" collapsed="false">
      <c r="A24" s="6" t="n">
        <v>23</v>
      </c>
      <c r="B24" s="6" t="s">
        <v>9</v>
      </c>
      <c r="C24" s="7" t="n">
        <v>0.416666666666667</v>
      </c>
      <c r="D24" s="7"/>
      <c r="E24" s="6" t="s">
        <v>27</v>
      </c>
      <c r="F24" s="6" t="s">
        <v>134</v>
      </c>
      <c r="G24" s="6" t="s">
        <v>171</v>
      </c>
      <c r="H24" s="6" t="s">
        <v>172</v>
      </c>
      <c r="I24" s="6" t="s">
        <v>173</v>
      </c>
      <c r="J24" s="6" t="s">
        <v>174</v>
      </c>
      <c r="K24" s="6" t="n">
        <v>4</v>
      </c>
      <c r="L24" s="6"/>
      <c r="M24" s="6" t="s">
        <v>86</v>
      </c>
      <c r="N24" s="6" t="s">
        <v>87</v>
      </c>
      <c r="O24" s="6" t="s">
        <v>86</v>
      </c>
      <c r="P24" s="6" t="s">
        <v>175</v>
      </c>
      <c r="Q24" s="6"/>
      <c r="R24" s="6"/>
      <c r="S24" s="6"/>
      <c r="T24" s="6"/>
    </row>
    <row r="25" customFormat="false" ht="46.25" hidden="false" customHeight="false" outlineLevel="0" collapsed="false">
      <c r="A25" s="6" t="n">
        <v>24</v>
      </c>
      <c r="B25" s="6" t="s">
        <v>9</v>
      </c>
      <c r="C25" s="7" t="n">
        <v>0.416666666666667</v>
      </c>
      <c r="D25" s="7"/>
      <c r="E25" s="6" t="s">
        <v>30</v>
      </c>
      <c r="F25" s="6" t="s">
        <v>134</v>
      </c>
      <c r="G25" s="6" t="s">
        <v>176</v>
      </c>
      <c r="H25" s="6" t="s">
        <v>177</v>
      </c>
      <c r="I25" s="6" t="s">
        <v>178</v>
      </c>
      <c r="J25" s="6" t="s">
        <v>179</v>
      </c>
      <c r="K25" s="6" t="n">
        <v>4</v>
      </c>
      <c r="L25" s="6"/>
      <c r="M25" s="6" t="s">
        <v>103</v>
      </c>
      <c r="N25" s="6" t="s">
        <v>87</v>
      </c>
      <c r="O25" s="6" t="s">
        <v>103</v>
      </c>
      <c r="P25" s="6" t="s">
        <v>180</v>
      </c>
      <c r="Q25" s="6"/>
      <c r="R25" s="6"/>
      <c r="S25" s="6"/>
      <c r="T25" s="6"/>
    </row>
    <row r="26" customFormat="false" ht="113.4" hidden="false" customHeight="false" outlineLevel="0" collapsed="false">
      <c r="A26" s="6" t="n">
        <v>25</v>
      </c>
      <c r="B26" s="6" t="s">
        <v>9</v>
      </c>
      <c r="C26" s="7" t="n">
        <v>0.416666666666667</v>
      </c>
      <c r="D26" s="7"/>
      <c r="E26" s="6" t="s">
        <v>32</v>
      </c>
      <c r="F26" s="6" t="s">
        <v>134</v>
      </c>
      <c r="G26" s="6" t="s">
        <v>181</v>
      </c>
      <c r="H26" s="6" t="s">
        <v>182</v>
      </c>
      <c r="I26" s="6" t="s">
        <v>183</v>
      </c>
      <c r="J26" s="6" t="s">
        <v>184</v>
      </c>
      <c r="K26" s="6" t="n">
        <v>5</v>
      </c>
      <c r="L26" s="6"/>
      <c r="M26" s="6" t="s">
        <v>108</v>
      </c>
      <c r="N26" s="6" t="s">
        <v>87</v>
      </c>
      <c r="O26" s="6" t="s">
        <v>109</v>
      </c>
      <c r="P26" s="6" t="s">
        <v>185</v>
      </c>
      <c r="Q26" s="6"/>
      <c r="R26" s="6"/>
      <c r="S26" s="6"/>
      <c r="T26" s="6"/>
    </row>
    <row r="27" customFormat="false" ht="91" hidden="false" customHeight="false" outlineLevel="0" collapsed="false">
      <c r="A27" s="6" t="n">
        <v>26</v>
      </c>
      <c r="B27" s="6" t="s">
        <v>9</v>
      </c>
      <c r="C27" s="7" t="n">
        <v>0.416666666666667</v>
      </c>
      <c r="D27" s="7"/>
      <c r="E27" s="6" t="s">
        <v>21</v>
      </c>
      <c r="F27" s="6" t="s">
        <v>134</v>
      </c>
      <c r="G27" s="6" t="s">
        <v>186</v>
      </c>
      <c r="H27" s="6" t="s">
        <v>187</v>
      </c>
      <c r="I27" s="6" t="s">
        <v>188</v>
      </c>
      <c r="J27" s="6" t="s">
        <v>189</v>
      </c>
      <c r="K27" s="6" t="n">
        <v>6</v>
      </c>
      <c r="L27" s="6"/>
      <c r="M27" s="6" t="s">
        <v>97</v>
      </c>
      <c r="N27" s="6" t="s">
        <v>65</v>
      </c>
      <c r="O27" s="6" t="s">
        <v>97</v>
      </c>
      <c r="P27" s="6" t="s">
        <v>190</v>
      </c>
      <c r="Q27" s="6"/>
      <c r="R27" s="6"/>
      <c r="S27" s="6"/>
      <c r="T27" s="6"/>
    </row>
    <row r="28" customFormat="false" ht="113.4" hidden="false" customHeight="false" outlineLevel="0" collapsed="false">
      <c r="A28" s="6" t="n">
        <v>27</v>
      </c>
      <c r="B28" s="6" t="s">
        <v>9</v>
      </c>
      <c r="C28" s="7" t="n">
        <v>0.416666666666667</v>
      </c>
      <c r="D28" s="7"/>
      <c r="E28" s="6" t="s">
        <v>22</v>
      </c>
      <c r="F28" s="6" t="s">
        <v>134</v>
      </c>
      <c r="G28" s="6" t="s">
        <v>191</v>
      </c>
      <c r="H28" s="6" t="s">
        <v>192</v>
      </c>
      <c r="I28" s="6" t="s">
        <v>193</v>
      </c>
      <c r="J28" s="6" t="s">
        <v>194</v>
      </c>
      <c r="K28" s="6" t="n">
        <v>8</v>
      </c>
      <c r="L28" s="6"/>
      <c r="M28" s="6" t="s">
        <v>114</v>
      </c>
      <c r="N28" s="6" t="s">
        <v>65</v>
      </c>
      <c r="O28" s="6" t="s">
        <v>114</v>
      </c>
      <c r="P28" s="6" t="s">
        <v>195</v>
      </c>
      <c r="Q28" s="6"/>
      <c r="R28" s="6"/>
      <c r="S28" s="6"/>
      <c r="T28" s="6"/>
    </row>
    <row r="29" customFormat="false" ht="23.85" hidden="false" customHeight="false" outlineLevel="0" collapsed="false">
      <c r="A29" s="6" t="n">
        <v>28</v>
      </c>
      <c r="B29" s="6" t="s">
        <v>9</v>
      </c>
      <c r="C29" s="7" t="n">
        <v>0.416666666666667</v>
      </c>
      <c r="D29" s="7"/>
      <c r="E29" s="6" t="s">
        <v>36</v>
      </c>
      <c r="F29" s="6" t="s">
        <v>156</v>
      </c>
      <c r="G29" s="6" t="s">
        <v>196</v>
      </c>
      <c r="H29" s="6" t="s">
        <v>197</v>
      </c>
      <c r="I29" s="6" t="s">
        <v>198</v>
      </c>
      <c r="J29" s="6" t="s">
        <v>199</v>
      </c>
      <c r="K29" s="6" t="n">
        <v>1</v>
      </c>
      <c r="L29" s="6"/>
      <c r="M29" s="6" t="s">
        <v>36</v>
      </c>
      <c r="N29" s="6"/>
      <c r="O29" s="6" t="s">
        <v>36</v>
      </c>
      <c r="P29" s="6"/>
      <c r="Q29" s="6"/>
      <c r="R29" s="6"/>
      <c r="S29" s="6"/>
      <c r="T29" s="6"/>
    </row>
    <row r="30" customFormat="false" ht="15" hidden="false" customHeight="false" outlineLevel="0" collapsed="false">
      <c r="A30" s="6" t="n">
        <v>29</v>
      </c>
      <c r="B30" s="6" t="s">
        <v>9</v>
      </c>
      <c r="C30" s="7" t="n">
        <v>0.423611111111111</v>
      </c>
      <c r="D30" s="7"/>
      <c r="E30" s="6" t="s">
        <v>36</v>
      </c>
      <c r="F30" s="6" t="s">
        <v>156</v>
      </c>
      <c r="G30" s="6" t="s">
        <v>200</v>
      </c>
      <c r="H30" s="6" t="s">
        <v>201</v>
      </c>
      <c r="I30" s="6" t="s">
        <v>202</v>
      </c>
      <c r="J30" s="6" t="s">
        <v>203</v>
      </c>
      <c r="K30" s="6" t="n">
        <v>1</v>
      </c>
      <c r="L30" s="6"/>
      <c r="M30" s="6" t="s">
        <v>36</v>
      </c>
      <c r="N30" s="6"/>
      <c r="O30" s="6" t="s">
        <v>36</v>
      </c>
      <c r="P30" s="6"/>
      <c r="Q30" s="6"/>
      <c r="R30" s="6"/>
      <c r="S30" s="6"/>
      <c r="T30" s="6"/>
    </row>
    <row r="31" customFormat="false" ht="23.85" hidden="false" customHeight="false" outlineLevel="0" collapsed="false">
      <c r="A31" s="6" t="n">
        <v>30</v>
      </c>
      <c r="B31" s="6" t="s">
        <v>9</v>
      </c>
      <c r="C31" s="7" t="n">
        <v>0.430555555555556</v>
      </c>
      <c r="D31" s="7"/>
      <c r="E31" s="6" t="s">
        <v>36</v>
      </c>
      <c r="F31" s="6" t="s">
        <v>156</v>
      </c>
      <c r="G31" s="6" t="s">
        <v>204</v>
      </c>
      <c r="H31" s="6" t="s">
        <v>205</v>
      </c>
      <c r="I31" s="6" t="s">
        <v>206</v>
      </c>
      <c r="J31" s="6" t="s">
        <v>207</v>
      </c>
      <c r="K31" s="6" t="n">
        <v>1</v>
      </c>
      <c r="L31" s="6"/>
      <c r="M31" s="6" t="s">
        <v>36</v>
      </c>
      <c r="N31" s="6"/>
      <c r="O31" s="6" t="s">
        <v>36</v>
      </c>
      <c r="P31" s="6"/>
      <c r="Q31" s="6"/>
      <c r="R31" s="6"/>
      <c r="S31" s="6"/>
      <c r="T31" s="6"/>
    </row>
    <row r="32" customFormat="false" ht="35.05" hidden="false" customHeight="false" outlineLevel="0" collapsed="false">
      <c r="A32" s="6" t="n">
        <v>31</v>
      </c>
      <c r="B32" s="6" t="s">
        <v>9</v>
      </c>
      <c r="C32" s="7" t="n">
        <v>0.447916666666667</v>
      </c>
      <c r="D32" s="7"/>
      <c r="E32" s="6" t="s">
        <v>31</v>
      </c>
      <c r="F32" s="6" t="s">
        <v>31</v>
      </c>
      <c r="G32" s="6" t="s">
        <v>208</v>
      </c>
      <c r="H32" s="6" t="s">
        <v>209</v>
      </c>
      <c r="I32" s="6" t="s">
        <v>210</v>
      </c>
      <c r="J32" s="6" t="s">
        <v>211</v>
      </c>
      <c r="K32" s="6" t="n">
        <v>1</v>
      </c>
      <c r="L32" s="6"/>
      <c r="M32" s="6" t="s">
        <v>212</v>
      </c>
      <c r="N32" s="6" t="s">
        <v>65</v>
      </c>
      <c r="O32" s="6" t="s">
        <v>213</v>
      </c>
      <c r="P32" s="6" t="s">
        <v>214</v>
      </c>
      <c r="Q32" s="6"/>
      <c r="R32" s="6"/>
      <c r="S32" s="6"/>
      <c r="T32" s="6"/>
    </row>
    <row r="33" customFormat="false" ht="57.45" hidden="false" customHeight="false" outlineLevel="0" collapsed="false">
      <c r="A33" s="6" t="n">
        <v>32</v>
      </c>
      <c r="B33" s="6" t="s">
        <v>9</v>
      </c>
      <c r="C33" s="7" t="n">
        <v>0.493055555555556</v>
      </c>
      <c r="D33" s="7"/>
      <c r="E33" s="6" t="s">
        <v>28</v>
      </c>
      <c r="F33" s="6" t="s">
        <v>215</v>
      </c>
      <c r="G33" s="6" t="s">
        <v>216</v>
      </c>
      <c r="H33" s="6" t="s">
        <v>217</v>
      </c>
      <c r="I33" s="6" t="s">
        <v>218</v>
      </c>
      <c r="J33" s="6" t="s">
        <v>219</v>
      </c>
      <c r="K33" s="6" t="n">
        <v>5</v>
      </c>
      <c r="L33" s="6"/>
      <c r="M33" s="6" t="s">
        <v>36</v>
      </c>
      <c r="N33" s="6"/>
      <c r="O33" s="6" t="s">
        <v>36</v>
      </c>
      <c r="P33" s="6" t="s">
        <v>220</v>
      </c>
      <c r="Q33" s="6"/>
      <c r="R33" s="6"/>
      <c r="S33" s="6"/>
      <c r="T33" s="6"/>
    </row>
    <row r="34" customFormat="false" ht="57.45" hidden="false" customHeight="false" outlineLevel="0" collapsed="false">
      <c r="A34" s="6" t="n">
        <v>33</v>
      </c>
      <c r="B34" s="6" t="s">
        <v>9</v>
      </c>
      <c r="C34" s="7" t="n">
        <v>0.493055555555556</v>
      </c>
      <c r="D34" s="7"/>
      <c r="E34" s="6" t="s">
        <v>33</v>
      </c>
      <c r="F34" s="6" t="s">
        <v>67</v>
      </c>
      <c r="G34" s="6" t="s">
        <v>221</v>
      </c>
      <c r="H34" s="6" t="s">
        <v>222</v>
      </c>
      <c r="I34" s="6" t="s">
        <v>223</v>
      </c>
      <c r="J34" s="6" t="s">
        <v>224</v>
      </c>
      <c r="K34" s="6" t="n">
        <v>2</v>
      </c>
      <c r="L34" s="6"/>
      <c r="M34" s="6" t="s">
        <v>64</v>
      </c>
      <c r="N34" s="6" t="s">
        <v>65</v>
      </c>
      <c r="O34" s="6" t="s">
        <v>64</v>
      </c>
      <c r="P34" s="6" t="s">
        <v>225</v>
      </c>
      <c r="Q34" s="6"/>
      <c r="R34" s="6"/>
      <c r="S34" s="6"/>
      <c r="T34" s="6"/>
    </row>
    <row r="35" customFormat="false" ht="23.85" hidden="false" customHeight="false" outlineLevel="0" collapsed="false">
      <c r="A35" s="6" t="n">
        <v>34</v>
      </c>
      <c r="B35" s="6" t="s">
        <v>9</v>
      </c>
      <c r="C35" s="7" t="n">
        <v>0.493055555555556</v>
      </c>
      <c r="D35" s="7"/>
      <c r="E35" s="6" t="s">
        <v>30</v>
      </c>
      <c r="F35" s="6" t="s">
        <v>81</v>
      </c>
      <c r="G35" s="6" t="s">
        <v>226</v>
      </c>
      <c r="H35" s="6" t="s">
        <v>227</v>
      </c>
      <c r="I35" s="6" t="s">
        <v>228</v>
      </c>
      <c r="J35" s="6" t="s">
        <v>229</v>
      </c>
      <c r="K35" s="6" t="n">
        <v>1</v>
      </c>
      <c r="L35" s="6"/>
      <c r="M35" s="6" t="s">
        <v>103</v>
      </c>
      <c r="N35" s="6" t="s">
        <v>87</v>
      </c>
      <c r="O35" s="6" t="s">
        <v>103</v>
      </c>
      <c r="P35" s="6"/>
      <c r="Q35" s="6"/>
      <c r="R35" s="6"/>
      <c r="S35" s="6"/>
      <c r="T35" s="6"/>
    </row>
    <row r="36" customFormat="false" ht="46.25" hidden="false" customHeight="false" outlineLevel="0" collapsed="false">
      <c r="A36" s="6" t="n">
        <v>35</v>
      </c>
      <c r="B36" s="6" t="s">
        <v>9</v>
      </c>
      <c r="C36" s="7" t="n">
        <v>0.493055555555556</v>
      </c>
      <c r="D36" s="7"/>
      <c r="E36" s="6" t="s">
        <v>32</v>
      </c>
      <c r="F36" s="6" t="s">
        <v>67</v>
      </c>
      <c r="G36" s="6" t="s">
        <v>230</v>
      </c>
      <c r="H36" s="6" t="s">
        <v>231</v>
      </c>
      <c r="I36" s="6" t="s">
        <v>232</v>
      </c>
      <c r="J36" s="6" t="s">
        <v>233</v>
      </c>
      <c r="K36" s="6" t="n">
        <v>2</v>
      </c>
      <c r="L36" s="6"/>
      <c r="M36" s="6" t="s">
        <v>108</v>
      </c>
      <c r="N36" s="6" t="s">
        <v>87</v>
      </c>
      <c r="O36" s="6" t="s">
        <v>109</v>
      </c>
      <c r="P36" s="6"/>
      <c r="Q36" s="6"/>
      <c r="R36" s="6"/>
      <c r="S36" s="6"/>
      <c r="T36" s="6"/>
    </row>
    <row r="37" customFormat="false" ht="35.05" hidden="false" customHeight="false" outlineLevel="0" collapsed="false">
      <c r="A37" s="6" t="n">
        <v>36</v>
      </c>
      <c r="B37" s="6" t="s">
        <v>9</v>
      </c>
      <c r="C37" s="7" t="n">
        <v>0.493055555555556</v>
      </c>
      <c r="D37" s="7"/>
      <c r="E37" s="6" t="s">
        <v>27</v>
      </c>
      <c r="F37" s="6" t="s">
        <v>67</v>
      </c>
      <c r="G37" s="6" t="s">
        <v>234</v>
      </c>
      <c r="H37" s="6" t="s">
        <v>235</v>
      </c>
      <c r="I37" s="6" t="s">
        <v>236</v>
      </c>
      <c r="J37" s="6" t="s">
        <v>237</v>
      </c>
      <c r="K37" s="6" t="n">
        <v>2</v>
      </c>
      <c r="L37" s="6"/>
      <c r="M37" s="6" t="s">
        <v>86</v>
      </c>
      <c r="N37" s="6" t="s">
        <v>87</v>
      </c>
      <c r="O37" s="6" t="s">
        <v>238</v>
      </c>
      <c r="P37" s="6"/>
      <c r="Q37" s="6"/>
      <c r="R37" s="6"/>
      <c r="S37" s="6"/>
      <c r="T37" s="6"/>
    </row>
    <row r="38" customFormat="false" ht="23.85" hidden="false" customHeight="false" outlineLevel="0" collapsed="false">
      <c r="A38" s="6" t="n">
        <v>37</v>
      </c>
      <c r="B38" s="6" t="s">
        <v>9</v>
      </c>
      <c r="C38" s="7" t="n">
        <v>0.493055555555556</v>
      </c>
      <c r="D38" s="7"/>
      <c r="E38" s="6" t="s">
        <v>25</v>
      </c>
      <c r="F38" s="6" t="s">
        <v>81</v>
      </c>
      <c r="G38" s="6" t="s">
        <v>239</v>
      </c>
      <c r="H38" s="6" t="s">
        <v>240</v>
      </c>
      <c r="I38" s="6" t="s">
        <v>241</v>
      </c>
      <c r="J38" s="6" t="s">
        <v>242</v>
      </c>
      <c r="K38" s="6" t="n">
        <v>1</v>
      </c>
      <c r="L38" s="6"/>
      <c r="M38" s="6" t="s">
        <v>92</v>
      </c>
      <c r="N38" s="6" t="s">
        <v>65</v>
      </c>
      <c r="O38" s="6" t="s">
        <v>92</v>
      </c>
      <c r="P38" s="6"/>
      <c r="Q38" s="6"/>
      <c r="R38" s="6"/>
      <c r="S38" s="6"/>
      <c r="T38" s="6"/>
    </row>
    <row r="39" customFormat="false" ht="23.85" hidden="false" customHeight="false" outlineLevel="0" collapsed="false">
      <c r="A39" s="6" t="n">
        <v>38</v>
      </c>
      <c r="B39" s="6" t="s">
        <v>9</v>
      </c>
      <c r="C39" s="7" t="n">
        <v>0.493055555555556</v>
      </c>
      <c r="D39" s="7"/>
      <c r="E39" s="6" t="s">
        <v>21</v>
      </c>
      <c r="F39" s="6" t="s">
        <v>215</v>
      </c>
      <c r="G39" s="6" t="s">
        <v>243</v>
      </c>
      <c r="H39" s="6" t="s">
        <v>244</v>
      </c>
      <c r="I39" s="6" t="s">
        <v>245</v>
      </c>
      <c r="J39" s="6" t="s">
        <v>246</v>
      </c>
      <c r="K39" s="6" t="n">
        <v>1</v>
      </c>
      <c r="L39" s="6"/>
      <c r="M39" s="6" t="s">
        <v>97</v>
      </c>
      <c r="N39" s="6" t="s">
        <v>65</v>
      </c>
      <c r="O39" s="6" t="s">
        <v>98</v>
      </c>
      <c r="P39" s="6"/>
      <c r="Q39" s="6"/>
      <c r="R39" s="6"/>
      <c r="S39" s="6"/>
      <c r="T39" s="6"/>
    </row>
    <row r="40" customFormat="false" ht="35.05" hidden="false" customHeight="false" outlineLevel="0" collapsed="false">
      <c r="A40" s="6" t="n">
        <v>39</v>
      </c>
      <c r="B40" s="6" t="s">
        <v>9</v>
      </c>
      <c r="C40" s="7" t="n">
        <v>0.493055555555556</v>
      </c>
      <c r="D40" s="7"/>
      <c r="E40" s="6" t="s">
        <v>22</v>
      </c>
      <c r="F40" s="6" t="s">
        <v>67</v>
      </c>
      <c r="G40" s="6" t="s">
        <v>247</v>
      </c>
      <c r="H40" s="6" t="s">
        <v>248</v>
      </c>
      <c r="I40" s="6" t="s">
        <v>249</v>
      </c>
      <c r="J40" s="6" t="s">
        <v>250</v>
      </c>
      <c r="K40" s="6" t="n">
        <v>2</v>
      </c>
      <c r="L40" s="6"/>
      <c r="M40" s="6" t="s">
        <v>114</v>
      </c>
      <c r="N40" s="6" t="s">
        <v>65</v>
      </c>
      <c r="O40" s="6" t="s">
        <v>114</v>
      </c>
      <c r="P40" s="6"/>
      <c r="Q40" s="6"/>
      <c r="R40" s="6"/>
      <c r="S40" s="6"/>
      <c r="T40" s="6"/>
    </row>
    <row r="41" customFormat="false" ht="23.85" hidden="false" customHeight="false" outlineLevel="0" collapsed="false">
      <c r="A41" s="6" t="n">
        <v>40</v>
      </c>
      <c r="B41" s="6" t="s">
        <v>9</v>
      </c>
      <c r="C41" s="7" t="n">
        <v>0.493055555555556</v>
      </c>
      <c r="D41" s="7"/>
      <c r="E41" s="6" t="s">
        <v>26</v>
      </c>
      <c r="F41" s="6" t="s">
        <v>81</v>
      </c>
      <c r="G41" s="6" t="s">
        <v>251</v>
      </c>
      <c r="H41" s="6" t="s">
        <v>252</v>
      </c>
      <c r="I41" s="6" t="s">
        <v>253</v>
      </c>
      <c r="J41" s="6" t="s">
        <v>254</v>
      </c>
      <c r="K41" s="6" t="n">
        <v>1</v>
      </c>
      <c r="L41" s="6"/>
      <c r="M41" s="6" t="s">
        <v>255</v>
      </c>
      <c r="N41" s="6" t="s">
        <v>87</v>
      </c>
      <c r="O41" s="6" t="s">
        <v>255</v>
      </c>
      <c r="P41" s="6"/>
      <c r="Q41" s="6"/>
      <c r="R41" s="6"/>
      <c r="S41" s="6"/>
      <c r="T41" s="6"/>
    </row>
    <row r="42" customFormat="false" ht="57.45" hidden="false" customHeight="false" outlineLevel="0" collapsed="false">
      <c r="A42" s="6" t="n">
        <v>41</v>
      </c>
      <c r="B42" s="6" t="s">
        <v>9</v>
      </c>
      <c r="C42" s="7" t="n">
        <v>0.493055555555556</v>
      </c>
      <c r="D42" s="7"/>
      <c r="E42" s="6" t="s">
        <v>20</v>
      </c>
      <c r="F42" s="6" t="s">
        <v>134</v>
      </c>
      <c r="G42" s="6" t="s">
        <v>256</v>
      </c>
      <c r="H42" s="6" t="s">
        <v>257</v>
      </c>
      <c r="I42" s="6" t="s">
        <v>258</v>
      </c>
      <c r="J42" s="6" t="s">
        <v>259</v>
      </c>
      <c r="K42" s="6" t="n">
        <v>3</v>
      </c>
      <c r="L42" s="6"/>
      <c r="M42" s="6" t="s">
        <v>80</v>
      </c>
      <c r="N42" s="6" t="s">
        <v>65</v>
      </c>
      <c r="O42" s="6" t="s">
        <v>80</v>
      </c>
      <c r="P42" s="6"/>
      <c r="Q42" s="6"/>
      <c r="R42" s="6"/>
      <c r="S42" s="6"/>
      <c r="T42" s="6"/>
    </row>
    <row r="43" customFormat="false" ht="46.25" hidden="false" customHeight="false" outlineLevel="0" collapsed="false">
      <c r="A43" s="6" t="n">
        <v>42</v>
      </c>
      <c r="B43" s="6" t="s">
        <v>9</v>
      </c>
      <c r="C43" s="7" t="n">
        <v>0.493055555555556</v>
      </c>
      <c r="D43" s="7" t="n">
        <v>0.524305555555556</v>
      </c>
      <c r="E43" s="6" t="s">
        <v>39</v>
      </c>
      <c r="F43" s="6" t="s">
        <v>39</v>
      </c>
      <c r="G43" s="6" t="s">
        <v>260</v>
      </c>
      <c r="H43" s="6" t="s">
        <v>261</v>
      </c>
      <c r="I43" s="6" t="s">
        <v>262</v>
      </c>
      <c r="J43" s="6"/>
      <c r="K43" s="6" t="n">
        <v>4</v>
      </c>
      <c r="L43" s="6"/>
      <c r="M43" s="6" t="s">
        <v>119</v>
      </c>
      <c r="N43" s="6" t="s">
        <v>87</v>
      </c>
      <c r="O43" s="6" t="s">
        <v>119</v>
      </c>
      <c r="P43" s="6"/>
      <c r="Q43" s="6" t="n">
        <v>120</v>
      </c>
      <c r="R43" s="6" t="n">
        <v>120</v>
      </c>
      <c r="S43" s="6" t="n">
        <f aca="false">R43-Q43</f>
        <v>0</v>
      </c>
      <c r="T43" s="6" t="s">
        <v>120</v>
      </c>
    </row>
    <row r="44" customFormat="false" ht="23.85" hidden="false" customHeight="false" outlineLevel="0" collapsed="false">
      <c r="A44" s="6" t="n">
        <v>43</v>
      </c>
      <c r="B44" s="6" t="s">
        <v>9</v>
      </c>
      <c r="C44" s="7" t="n">
        <v>0.503472222222222</v>
      </c>
      <c r="D44" s="7"/>
      <c r="E44" s="6" t="s">
        <v>21</v>
      </c>
      <c r="F44" s="6" t="s">
        <v>67</v>
      </c>
      <c r="G44" s="6" t="s">
        <v>263</v>
      </c>
      <c r="H44" s="6" t="s">
        <v>264</v>
      </c>
      <c r="I44" s="6" t="s">
        <v>265</v>
      </c>
      <c r="J44" s="6" t="s">
        <v>266</v>
      </c>
      <c r="K44" s="6" t="n">
        <v>2</v>
      </c>
      <c r="L44" s="6"/>
      <c r="M44" s="6" t="s">
        <v>97</v>
      </c>
      <c r="N44" s="6" t="s">
        <v>65</v>
      </c>
      <c r="O44" s="6" t="s">
        <v>267</v>
      </c>
      <c r="P44" s="6"/>
      <c r="Q44" s="6"/>
      <c r="R44" s="6"/>
      <c r="S44" s="6"/>
      <c r="T44" s="6"/>
    </row>
    <row r="45" customFormat="false" ht="46.25" hidden="false" customHeight="false" outlineLevel="0" collapsed="false">
      <c r="A45" s="6" t="n">
        <v>44</v>
      </c>
      <c r="B45" s="6" t="s">
        <v>9</v>
      </c>
      <c r="C45" s="7" t="n">
        <v>0.503472222222222</v>
      </c>
      <c r="D45" s="7"/>
      <c r="E45" s="6" t="s">
        <v>27</v>
      </c>
      <c r="F45" s="6" t="s">
        <v>134</v>
      </c>
      <c r="G45" s="6" t="s">
        <v>268</v>
      </c>
      <c r="H45" s="6" t="s">
        <v>269</v>
      </c>
      <c r="I45" s="6" t="s">
        <v>270</v>
      </c>
      <c r="J45" s="6" t="s">
        <v>271</v>
      </c>
      <c r="K45" s="6" t="n">
        <v>4</v>
      </c>
      <c r="L45" s="6"/>
      <c r="M45" s="6" t="s">
        <v>86</v>
      </c>
      <c r="N45" s="6" t="s">
        <v>87</v>
      </c>
      <c r="O45" s="6" t="s">
        <v>86</v>
      </c>
      <c r="P45" s="6"/>
      <c r="Q45" s="6"/>
      <c r="R45" s="6"/>
      <c r="S45" s="6"/>
      <c r="T45" s="6"/>
    </row>
    <row r="46" customFormat="false" ht="35.05" hidden="false" customHeight="false" outlineLevel="0" collapsed="false">
      <c r="A46" s="6" t="n">
        <v>45</v>
      </c>
      <c r="B46" s="6" t="s">
        <v>9</v>
      </c>
      <c r="C46" s="7" t="n">
        <v>0.503472222222222</v>
      </c>
      <c r="D46" s="7"/>
      <c r="E46" s="6" t="s">
        <v>32</v>
      </c>
      <c r="F46" s="6" t="s">
        <v>81</v>
      </c>
      <c r="G46" s="6" t="s">
        <v>272</v>
      </c>
      <c r="H46" s="6" t="s">
        <v>273</v>
      </c>
      <c r="I46" s="6" t="s">
        <v>274</v>
      </c>
      <c r="J46" s="6" t="s">
        <v>275</v>
      </c>
      <c r="K46" s="6" t="n">
        <v>2</v>
      </c>
      <c r="L46" s="6"/>
      <c r="M46" s="6" t="s">
        <v>108</v>
      </c>
      <c r="N46" s="6" t="s">
        <v>87</v>
      </c>
      <c r="O46" s="6" t="s">
        <v>109</v>
      </c>
      <c r="P46" s="6"/>
      <c r="Q46" s="6"/>
      <c r="R46" s="6"/>
      <c r="S46" s="6"/>
      <c r="T46" s="6"/>
    </row>
    <row r="47" customFormat="false" ht="23.85" hidden="false" customHeight="false" outlineLevel="0" collapsed="false">
      <c r="A47" s="6" t="n">
        <v>46</v>
      </c>
      <c r="B47" s="6" t="s">
        <v>9</v>
      </c>
      <c r="C47" s="7" t="n">
        <v>0.503472222222222</v>
      </c>
      <c r="D47" s="7"/>
      <c r="E47" s="6" t="s">
        <v>33</v>
      </c>
      <c r="F47" s="6" t="s">
        <v>81</v>
      </c>
      <c r="G47" s="6" t="s">
        <v>276</v>
      </c>
      <c r="H47" s="6" t="s">
        <v>277</v>
      </c>
      <c r="I47" s="6" t="s">
        <v>278</v>
      </c>
      <c r="J47" s="6" t="s">
        <v>279</v>
      </c>
      <c r="K47" s="6" t="n">
        <v>2</v>
      </c>
      <c r="L47" s="6"/>
      <c r="M47" s="6" t="s">
        <v>64</v>
      </c>
      <c r="N47" s="6" t="s">
        <v>65</v>
      </c>
      <c r="O47" s="6" t="s">
        <v>280</v>
      </c>
      <c r="P47" s="6"/>
      <c r="Q47" s="6"/>
      <c r="R47" s="6"/>
      <c r="S47" s="6"/>
      <c r="T47" s="6"/>
    </row>
    <row r="48" customFormat="false" ht="23.85" hidden="false" customHeight="false" outlineLevel="0" collapsed="false">
      <c r="A48" s="6" t="n">
        <v>47</v>
      </c>
      <c r="B48" s="6" t="s">
        <v>9</v>
      </c>
      <c r="C48" s="7" t="n">
        <v>0.503472222222222</v>
      </c>
      <c r="D48" s="7"/>
      <c r="E48" s="6" t="s">
        <v>25</v>
      </c>
      <c r="F48" s="6" t="s">
        <v>81</v>
      </c>
      <c r="G48" s="6" t="s">
        <v>281</v>
      </c>
      <c r="H48" s="6" t="s">
        <v>282</v>
      </c>
      <c r="I48" s="6" t="s">
        <v>283</v>
      </c>
      <c r="J48" s="6" t="s">
        <v>284</v>
      </c>
      <c r="K48" s="6" t="n">
        <v>1</v>
      </c>
      <c r="L48" s="6"/>
      <c r="M48" s="6" t="s">
        <v>92</v>
      </c>
      <c r="N48" s="6" t="s">
        <v>65</v>
      </c>
      <c r="O48" s="6" t="s">
        <v>92</v>
      </c>
      <c r="P48" s="6"/>
      <c r="Q48" s="6"/>
      <c r="R48" s="6"/>
      <c r="S48" s="6"/>
      <c r="T48" s="6"/>
    </row>
    <row r="49" customFormat="false" ht="23.85" hidden="false" customHeight="false" outlineLevel="0" collapsed="false">
      <c r="A49" s="6" t="n">
        <v>48</v>
      </c>
      <c r="B49" s="6" t="s">
        <v>9</v>
      </c>
      <c r="C49" s="7" t="n">
        <v>0.503472222222222</v>
      </c>
      <c r="D49" s="7"/>
      <c r="E49" s="6" t="s">
        <v>22</v>
      </c>
      <c r="F49" s="6" t="s">
        <v>81</v>
      </c>
      <c r="G49" s="6" t="s">
        <v>285</v>
      </c>
      <c r="H49" s="6" t="s">
        <v>286</v>
      </c>
      <c r="I49" s="6" t="s">
        <v>287</v>
      </c>
      <c r="J49" s="6" t="s">
        <v>288</v>
      </c>
      <c r="K49" s="6" t="n">
        <v>2</v>
      </c>
      <c r="L49" s="6"/>
      <c r="M49" s="6" t="s">
        <v>114</v>
      </c>
      <c r="N49" s="6" t="s">
        <v>65</v>
      </c>
      <c r="O49" s="6" t="s">
        <v>114</v>
      </c>
      <c r="P49" s="6"/>
      <c r="Q49" s="6"/>
      <c r="R49" s="6"/>
      <c r="S49" s="6"/>
      <c r="T49" s="6"/>
    </row>
    <row r="50" customFormat="false" ht="35.05" hidden="false" customHeight="false" outlineLevel="0" collapsed="false">
      <c r="A50" s="6" t="n">
        <v>49</v>
      </c>
      <c r="B50" s="6" t="s">
        <v>9</v>
      </c>
      <c r="C50" s="7" t="n">
        <v>0.503472222222222</v>
      </c>
      <c r="D50" s="7"/>
      <c r="E50" s="6" t="s">
        <v>30</v>
      </c>
      <c r="F50" s="6" t="s">
        <v>81</v>
      </c>
      <c r="G50" s="6" t="s">
        <v>289</v>
      </c>
      <c r="H50" s="6" t="s">
        <v>290</v>
      </c>
      <c r="I50" s="6" t="s">
        <v>291</v>
      </c>
      <c r="J50" s="6" t="s">
        <v>292</v>
      </c>
      <c r="K50" s="6" t="n">
        <v>3</v>
      </c>
      <c r="L50" s="6"/>
      <c r="M50" s="6" t="s">
        <v>103</v>
      </c>
      <c r="N50" s="6" t="s">
        <v>87</v>
      </c>
      <c r="O50" s="6" t="s">
        <v>103</v>
      </c>
      <c r="P50" s="6"/>
      <c r="Q50" s="6"/>
      <c r="R50" s="6"/>
      <c r="S50" s="6"/>
      <c r="T50" s="6"/>
    </row>
    <row r="51" customFormat="false" ht="23.85" hidden="false" customHeight="false" outlineLevel="0" collapsed="false">
      <c r="A51" s="6" t="n">
        <v>50</v>
      </c>
      <c r="B51" s="6" t="s">
        <v>9</v>
      </c>
      <c r="C51" s="7" t="n">
        <v>0.513888888888889</v>
      </c>
      <c r="D51" s="7"/>
      <c r="E51" s="6" t="s">
        <v>21</v>
      </c>
      <c r="F51" s="6" t="s">
        <v>81</v>
      </c>
      <c r="G51" s="6" t="s">
        <v>293</v>
      </c>
      <c r="H51" s="6" t="s">
        <v>294</v>
      </c>
      <c r="I51" s="6" t="s">
        <v>295</v>
      </c>
      <c r="J51" s="6" t="s">
        <v>296</v>
      </c>
      <c r="K51" s="6" t="n">
        <v>1</v>
      </c>
      <c r="L51" s="6"/>
      <c r="M51" s="6" t="s">
        <v>97</v>
      </c>
      <c r="N51" s="6" t="s">
        <v>65</v>
      </c>
      <c r="O51" s="6" t="s">
        <v>267</v>
      </c>
      <c r="P51" s="6"/>
      <c r="Q51" s="6"/>
      <c r="R51" s="6"/>
      <c r="S51" s="6"/>
      <c r="T51" s="6"/>
    </row>
    <row r="52" customFormat="false" ht="91" hidden="false" customHeight="false" outlineLevel="0" collapsed="false">
      <c r="A52" s="6" t="n">
        <v>51</v>
      </c>
      <c r="B52" s="6" t="s">
        <v>9</v>
      </c>
      <c r="C52" s="7" t="n">
        <v>0.513888888888889</v>
      </c>
      <c r="D52" s="7"/>
      <c r="E52" s="6" t="s">
        <v>33</v>
      </c>
      <c r="F52" s="6" t="s">
        <v>81</v>
      </c>
      <c r="G52" s="6" t="s">
        <v>297</v>
      </c>
      <c r="H52" s="6" t="s">
        <v>298</v>
      </c>
      <c r="I52" s="6" t="s">
        <v>299</v>
      </c>
      <c r="J52" s="6" t="s">
        <v>300</v>
      </c>
      <c r="K52" s="6" t="n">
        <v>1</v>
      </c>
      <c r="L52" s="6"/>
      <c r="M52" s="6" t="s">
        <v>64</v>
      </c>
      <c r="N52" s="6" t="s">
        <v>65</v>
      </c>
      <c r="O52" s="6" t="s">
        <v>64</v>
      </c>
      <c r="P52" s="6" t="s">
        <v>301</v>
      </c>
      <c r="Q52" s="6"/>
      <c r="R52" s="6"/>
      <c r="S52" s="6"/>
      <c r="T52" s="6"/>
    </row>
    <row r="53" customFormat="false" ht="91" hidden="false" customHeight="false" outlineLevel="0" collapsed="false">
      <c r="A53" s="6" t="n">
        <v>52</v>
      </c>
      <c r="B53" s="6" t="s">
        <v>9</v>
      </c>
      <c r="C53" s="7" t="n">
        <v>0.513888888888889</v>
      </c>
      <c r="D53" s="7"/>
      <c r="E53" s="6" t="s">
        <v>30</v>
      </c>
      <c r="F53" s="6" t="s">
        <v>134</v>
      </c>
      <c r="G53" s="6" t="s">
        <v>302</v>
      </c>
      <c r="H53" s="6" t="s">
        <v>303</v>
      </c>
      <c r="I53" s="6" t="s">
        <v>304</v>
      </c>
      <c r="J53" s="6" t="s">
        <v>305</v>
      </c>
      <c r="K53" s="6" t="n">
        <v>6</v>
      </c>
      <c r="L53" s="6"/>
      <c r="M53" s="6" t="s">
        <v>103</v>
      </c>
      <c r="N53" s="6" t="s">
        <v>87</v>
      </c>
      <c r="O53" s="6" t="s">
        <v>103</v>
      </c>
      <c r="P53" s="6" t="s">
        <v>306</v>
      </c>
      <c r="Q53" s="6"/>
      <c r="R53" s="6"/>
      <c r="S53" s="6"/>
      <c r="T53" s="6"/>
    </row>
    <row r="54" customFormat="false" ht="79.85" hidden="false" customHeight="false" outlineLevel="0" collapsed="false">
      <c r="A54" s="6" t="n">
        <v>53</v>
      </c>
      <c r="B54" s="6" t="s">
        <v>9</v>
      </c>
      <c r="C54" s="7" t="n">
        <v>0.513888888888889</v>
      </c>
      <c r="D54" s="7"/>
      <c r="E54" s="6" t="s">
        <v>26</v>
      </c>
      <c r="F54" s="6" t="s">
        <v>134</v>
      </c>
      <c r="G54" s="6" t="s">
        <v>307</v>
      </c>
      <c r="H54" s="6" t="s">
        <v>308</v>
      </c>
      <c r="I54" s="6" t="s">
        <v>309</v>
      </c>
      <c r="J54" s="6" t="s">
        <v>310</v>
      </c>
      <c r="K54" s="6" t="n">
        <v>5</v>
      </c>
      <c r="L54" s="6"/>
      <c r="M54" s="6" t="s">
        <v>255</v>
      </c>
      <c r="N54" s="6" t="s">
        <v>87</v>
      </c>
      <c r="O54" s="6" t="s">
        <v>255</v>
      </c>
      <c r="P54" s="6" t="s">
        <v>311</v>
      </c>
      <c r="Q54" s="6"/>
      <c r="R54" s="6"/>
      <c r="S54" s="6"/>
      <c r="T54" s="6"/>
    </row>
    <row r="55" customFormat="false" ht="35.05" hidden="false" customHeight="false" outlineLevel="0" collapsed="false">
      <c r="A55" s="6" t="n">
        <v>54</v>
      </c>
      <c r="B55" s="6" t="s">
        <v>9</v>
      </c>
      <c r="C55" s="7" t="n">
        <v>0.513888888888889</v>
      </c>
      <c r="D55" s="7"/>
      <c r="E55" s="6" t="s">
        <v>22</v>
      </c>
      <c r="F55" s="6" t="s">
        <v>81</v>
      </c>
      <c r="G55" s="6" t="s">
        <v>312</v>
      </c>
      <c r="H55" s="6" t="s">
        <v>313</v>
      </c>
      <c r="I55" s="6" t="s">
        <v>314</v>
      </c>
      <c r="J55" s="6" t="s">
        <v>315</v>
      </c>
      <c r="K55" s="6" t="n">
        <v>1</v>
      </c>
      <c r="L55" s="6"/>
      <c r="M55" s="6" t="s">
        <v>114</v>
      </c>
      <c r="N55" s="6" t="s">
        <v>65</v>
      </c>
      <c r="O55" s="6" t="s">
        <v>115</v>
      </c>
      <c r="P55" s="6"/>
      <c r="Q55" s="6"/>
      <c r="R55" s="6"/>
      <c r="S55" s="6"/>
      <c r="T55" s="6"/>
    </row>
    <row r="56" customFormat="false" ht="102.2" hidden="false" customHeight="false" outlineLevel="0" collapsed="false">
      <c r="A56" s="6" t="n">
        <v>55</v>
      </c>
      <c r="B56" s="6" t="s">
        <v>9</v>
      </c>
      <c r="C56" s="7" t="n">
        <v>0.513888888888889</v>
      </c>
      <c r="D56" s="7"/>
      <c r="E56" s="6" t="s">
        <v>32</v>
      </c>
      <c r="F56" s="6" t="s">
        <v>134</v>
      </c>
      <c r="G56" s="6" t="s">
        <v>316</v>
      </c>
      <c r="H56" s="6" t="s">
        <v>317</v>
      </c>
      <c r="I56" s="6" t="s">
        <v>318</v>
      </c>
      <c r="J56" s="6" t="s">
        <v>319</v>
      </c>
      <c r="K56" s="6" t="n">
        <v>4</v>
      </c>
      <c r="L56" s="6"/>
      <c r="M56" s="6" t="s">
        <v>108</v>
      </c>
      <c r="N56" s="6" t="s">
        <v>87</v>
      </c>
      <c r="O56" s="6" t="s">
        <v>109</v>
      </c>
      <c r="P56" s="6" t="s">
        <v>320</v>
      </c>
      <c r="Q56" s="6"/>
      <c r="R56" s="6"/>
      <c r="S56" s="6"/>
      <c r="T56" s="6"/>
    </row>
    <row r="57" customFormat="false" ht="124.6" hidden="false" customHeight="false" outlineLevel="0" collapsed="false">
      <c r="A57" s="6" t="n">
        <v>56</v>
      </c>
      <c r="B57" s="6" t="s">
        <v>9</v>
      </c>
      <c r="C57" s="7" t="n">
        <v>0.513888888888889</v>
      </c>
      <c r="D57" s="7"/>
      <c r="E57" s="6" t="s">
        <v>25</v>
      </c>
      <c r="F57" s="6" t="s">
        <v>134</v>
      </c>
      <c r="G57" s="6" t="s">
        <v>321</v>
      </c>
      <c r="H57" s="6" t="s">
        <v>322</v>
      </c>
      <c r="I57" s="6" t="s">
        <v>323</v>
      </c>
      <c r="J57" s="6" t="s">
        <v>324</v>
      </c>
      <c r="K57" s="6" t="n">
        <v>4</v>
      </c>
      <c r="L57" s="6"/>
      <c r="M57" s="6" t="s">
        <v>92</v>
      </c>
      <c r="N57" s="6" t="s">
        <v>65</v>
      </c>
      <c r="O57" s="6" t="s">
        <v>92</v>
      </c>
      <c r="P57" s="6" t="s">
        <v>325</v>
      </c>
      <c r="Q57" s="6"/>
      <c r="R57" s="6"/>
      <c r="S57" s="6"/>
      <c r="T57" s="6"/>
    </row>
    <row r="58" customFormat="false" ht="91" hidden="false" customHeight="false" outlineLevel="0" collapsed="false">
      <c r="A58" s="6" t="n">
        <v>57</v>
      </c>
      <c r="B58" s="6" t="s">
        <v>9</v>
      </c>
      <c r="C58" s="7" t="n">
        <v>0.524305555555556</v>
      </c>
      <c r="D58" s="7"/>
      <c r="E58" s="6" t="s">
        <v>21</v>
      </c>
      <c r="F58" s="6" t="s">
        <v>134</v>
      </c>
      <c r="G58" s="6" t="s">
        <v>326</v>
      </c>
      <c r="H58" s="6" t="s">
        <v>327</v>
      </c>
      <c r="I58" s="6" t="s">
        <v>328</v>
      </c>
      <c r="J58" s="6" t="s">
        <v>329</v>
      </c>
      <c r="K58" s="6" t="n">
        <v>5</v>
      </c>
      <c r="L58" s="6"/>
      <c r="M58" s="6" t="s">
        <v>97</v>
      </c>
      <c r="N58" s="6" t="s">
        <v>65</v>
      </c>
      <c r="O58" s="6" t="s">
        <v>97</v>
      </c>
      <c r="P58" s="6" t="s">
        <v>330</v>
      </c>
      <c r="Q58" s="6"/>
      <c r="R58" s="6"/>
      <c r="S58" s="6"/>
      <c r="T58" s="6"/>
    </row>
    <row r="59" customFormat="false" ht="113.4" hidden="false" customHeight="false" outlineLevel="0" collapsed="false">
      <c r="A59" s="6" t="n">
        <v>58</v>
      </c>
      <c r="B59" s="6" t="s">
        <v>9</v>
      </c>
      <c r="C59" s="7" t="n">
        <v>0.524305555555556</v>
      </c>
      <c r="D59" s="7"/>
      <c r="E59" s="6" t="s">
        <v>33</v>
      </c>
      <c r="F59" s="6" t="s">
        <v>134</v>
      </c>
      <c r="G59" s="6" t="s">
        <v>331</v>
      </c>
      <c r="H59" s="6" t="s">
        <v>332</v>
      </c>
      <c r="I59" s="6" t="s">
        <v>333</v>
      </c>
      <c r="J59" s="6" t="s">
        <v>334</v>
      </c>
      <c r="K59" s="6" t="n">
        <v>7</v>
      </c>
      <c r="L59" s="6"/>
      <c r="M59" s="6" t="s">
        <v>64</v>
      </c>
      <c r="N59" s="6" t="s">
        <v>65</v>
      </c>
      <c r="O59" s="6" t="s">
        <v>64</v>
      </c>
      <c r="P59" s="6"/>
      <c r="Q59" s="6"/>
      <c r="R59" s="6"/>
      <c r="S59" s="6"/>
      <c r="T59" s="6"/>
    </row>
    <row r="60" customFormat="false" ht="113.4" hidden="false" customHeight="false" outlineLevel="0" collapsed="false">
      <c r="A60" s="6" t="n">
        <v>59</v>
      </c>
      <c r="B60" s="6" t="s">
        <v>9</v>
      </c>
      <c r="C60" s="7" t="n">
        <v>0.524305555555556</v>
      </c>
      <c r="D60" s="7"/>
      <c r="E60" s="6" t="s">
        <v>22</v>
      </c>
      <c r="F60" s="6" t="s">
        <v>134</v>
      </c>
      <c r="G60" s="6" t="s">
        <v>335</v>
      </c>
      <c r="H60" s="6" t="s">
        <v>336</v>
      </c>
      <c r="I60" s="6" t="s">
        <v>337</v>
      </c>
      <c r="J60" s="6" t="s">
        <v>338</v>
      </c>
      <c r="K60" s="6" t="n">
        <v>6</v>
      </c>
      <c r="L60" s="6"/>
      <c r="M60" s="6" t="s">
        <v>114</v>
      </c>
      <c r="N60" s="6" t="s">
        <v>65</v>
      </c>
      <c r="O60" s="6" t="s">
        <v>114</v>
      </c>
      <c r="P60" s="6" t="s">
        <v>339</v>
      </c>
      <c r="Q60" s="6"/>
      <c r="R60" s="6"/>
      <c r="S60" s="6"/>
      <c r="T60" s="6"/>
    </row>
    <row r="61" customFormat="false" ht="23.85" hidden="false" customHeight="false" outlineLevel="0" collapsed="false">
      <c r="A61" s="6" t="n">
        <v>60</v>
      </c>
      <c r="B61" s="6" t="s">
        <v>9</v>
      </c>
      <c r="C61" s="7" t="n">
        <v>0.527777777777778</v>
      </c>
      <c r="D61" s="7"/>
      <c r="E61" s="6" t="s">
        <v>36</v>
      </c>
      <c r="F61" s="6" t="s">
        <v>156</v>
      </c>
      <c r="G61" s="6" t="s">
        <v>340</v>
      </c>
      <c r="H61" s="6" t="s">
        <v>341</v>
      </c>
      <c r="I61" s="6" t="s">
        <v>342</v>
      </c>
      <c r="J61" s="6" t="s">
        <v>343</v>
      </c>
      <c r="K61" s="6" t="n">
        <v>1</v>
      </c>
      <c r="L61" s="6"/>
      <c r="M61" s="6" t="s">
        <v>36</v>
      </c>
      <c r="N61" s="6"/>
      <c r="O61" s="6" t="s">
        <v>36</v>
      </c>
      <c r="P61" s="6"/>
      <c r="Q61" s="6"/>
      <c r="R61" s="6"/>
      <c r="S61" s="6"/>
      <c r="T61" s="6"/>
    </row>
    <row r="62" customFormat="false" ht="15" hidden="false" customHeight="false" outlineLevel="0" collapsed="false">
      <c r="A62" s="6" t="n">
        <v>61</v>
      </c>
      <c r="B62" s="6" t="s">
        <v>9</v>
      </c>
      <c r="C62" s="7" t="n">
        <v>0.534722222222222</v>
      </c>
      <c r="D62" s="7"/>
      <c r="E62" s="6" t="s">
        <v>36</v>
      </c>
      <c r="F62" s="6" t="s">
        <v>156</v>
      </c>
      <c r="G62" s="6" t="s">
        <v>344</v>
      </c>
      <c r="H62" s="6" t="s">
        <v>345</v>
      </c>
      <c r="I62" s="6" t="s">
        <v>346</v>
      </c>
      <c r="J62" s="6" t="s">
        <v>347</v>
      </c>
      <c r="K62" s="6" t="n">
        <v>1</v>
      </c>
      <c r="L62" s="6"/>
      <c r="M62" s="6" t="s">
        <v>36</v>
      </c>
      <c r="N62" s="6"/>
      <c r="O62" s="6" t="s">
        <v>36</v>
      </c>
      <c r="P62" s="6"/>
      <c r="Q62" s="6"/>
      <c r="R62" s="6"/>
      <c r="S62" s="6"/>
      <c r="T62" s="6"/>
    </row>
    <row r="63" customFormat="false" ht="15" hidden="false" customHeight="false" outlineLevel="0" collapsed="false">
      <c r="A63" s="6" t="n">
        <v>62</v>
      </c>
      <c r="B63" s="6" t="s">
        <v>9</v>
      </c>
      <c r="C63" s="7" t="n">
        <v>0.541666666666667</v>
      </c>
      <c r="D63" s="7"/>
      <c r="E63" s="6" t="s">
        <v>36</v>
      </c>
      <c r="F63" s="6" t="s">
        <v>156</v>
      </c>
      <c r="G63" s="6" t="s">
        <v>348</v>
      </c>
      <c r="H63" s="6" t="s">
        <v>349</v>
      </c>
      <c r="I63" s="6" t="s">
        <v>350</v>
      </c>
      <c r="J63" s="6" t="s">
        <v>351</v>
      </c>
      <c r="K63" s="6" t="n">
        <v>1</v>
      </c>
      <c r="L63" s="6"/>
      <c r="M63" s="6" t="s">
        <v>36</v>
      </c>
      <c r="N63" s="6"/>
      <c r="O63" s="6" t="s">
        <v>36</v>
      </c>
      <c r="P63" s="6"/>
      <c r="Q63" s="6"/>
      <c r="R63" s="6"/>
      <c r="S63" s="6"/>
      <c r="T63" s="6"/>
    </row>
    <row r="64" customFormat="false" ht="23.85" hidden="false" customHeight="false" outlineLevel="0" collapsed="false">
      <c r="A64" s="6" t="n">
        <v>63</v>
      </c>
      <c r="B64" s="6" t="s">
        <v>9</v>
      </c>
      <c r="C64" s="7" t="n">
        <v>0.548611111111111</v>
      </c>
      <c r="D64" s="7"/>
      <c r="E64" s="6" t="s">
        <v>36</v>
      </c>
      <c r="F64" s="6" t="s">
        <v>156</v>
      </c>
      <c r="G64" s="6" t="s">
        <v>352</v>
      </c>
      <c r="H64" s="6" t="s">
        <v>353</v>
      </c>
      <c r="I64" s="6" t="s">
        <v>354</v>
      </c>
      <c r="J64" s="6" t="s">
        <v>355</v>
      </c>
      <c r="K64" s="6" t="n">
        <v>1</v>
      </c>
      <c r="L64" s="6"/>
      <c r="M64" s="6" t="s">
        <v>36</v>
      </c>
      <c r="N64" s="6"/>
      <c r="O64" s="6" t="s">
        <v>36</v>
      </c>
      <c r="P64" s="6"/>
      <c r="Q64" s="6"/>
      <c r="R64" s="6"/>
      <c r="S64" s="6"/>
      <c r="T64" s="6"/>
    </row>
    <row r="65" customFormat="false" ht="23.85" hidden="false" customHeight="false" outlineLevel="0" collapsed="false">
      <c r="A65" s="6" t="n">
        <v>64</v>
      </c>
      <c r="B65" s="6" t="s">
        <v>9</v>
      </c>
      <c r="C65" s="7" t="n">
        <v>0.555555555555556</v>
      </c>
      <c r="D65" s="7"/>
      <c r="E65" s="6" t="s">
        <v>36</v>
      </c>
      <c r="F65" s="6" t="s">
        <v>156</v>
      </c>
      <c r="G65" s="6" t="s">
        <v>356</v>
      </c>
      <c r="H65" s="6" t="s">
        <v>357</v>
      </c>
      <c r="I65" s="6" t="s">
        <v>358</v>
      </c>
      <c r="J65" s="6" t="s">
        <v>359</v>
      </c>
      <c r="K65" s="6" t="n">
        <v>1</v>
      </c>
      <c r="L65" s="6"/>
      <c r="M65" s="6" t="s">
        <v>36</v>
      </c>
      <c r="N65" s="6"/>
      <c r="O65" s="6" t="s">
        <v>36</v>
      </c>
      <c r="P65" s="6"/>
      <c r="Q65" s="6"/>
      <c r="R65" s="6"/>
      <c r="S65" s="6"/>
      <c r="T65" s="6"/>
    </row>
    <row r="66" customFormat="false" ht="46.25" hidden="false" customHeight="false" outlineLevel="0" collapsed="false">
      <c r="A66" s="6" t="n">
        <v>65</v>
      </c>
      <c r="B66" s="6" t="s">
        <v>9</v>
      </c>
      <c r="C66" s="7" t="n">
        <v>0.565277777777778</v>
      </c>
      <c r="D66" s="7"/>
      <c r="E66" s="6" t="s">
        <v>21</v>
      </c>
      <c r="F66" s="6" t="s">
        <v>67</v>
      </c>
      <c r="G66" s="6" t="s">
        <v>360</v>
      </c>
      <c r="H66" s="6" t="s">
        <v>361</v>
      </c>
      <c r="I66" s="6" t="s">
        <v>362</v>
      </c>
      <c r="J66" s="6" t="s">
        <v>363</v>
      </c>
      <c r="K66" s="6" t="n">
        <v>2</v>
      </c>
      <c r="L66" s="6"/>
      <c r="M66" s="6" t="s">
        <v>64</v>
      </c>
      <c r="N66" s="6" t="s">
        <v>65</v>
      </c>
      <c r="O66" s="6" t="s">
        <v>364</v>
      </c>
      <c r="P66" s="6"/>
      <c r="Q66" s="6"/>
      <c r="R66" s="6"/>
      <c r="S66" s="6"/>
      <c r="T66" s="6"/>
    </row>
    <row r="67" customFormat="false" ht="23.85" hidden="false" customHeight="false" outlineLevel="0" collapsed="false">
      <c r="A67" s="6" t="n">
        <v>66</v>
      </c>
      <c r="B67" s="6" t="s">
        <v>9</v>
      </c>
      <c r="C67" s="7" t="n">
        <v>0.565972222222222</v>
      </c>
      <c r="D67" s="7"/>
      <c r="E67" s="6" t="s">
        <v>24</v>
      </c>
      <c r="F67" s="6" t="s">
        <v>81</v>
      </c>
      <c r="G67" s="6" t="s">
        <v>365</v>
      </c>
      <c r="H67" s="6" t="s">
        <v>366</v>
      </c>
      <c r="I67" s="6" t="s">
        <v>367</v>
      </c>
      <c r="J67" s="6" t="s">
        <v>368</v>
      </c>
      <c r="K67" s="6" t="n">
        <v>1</v>
      </c>
      <c r="L67" s="6"/>
      <c r="M67" s="6" t="s">
        <v>80</v>
      </c>
      <c r="N67" s="6" t="s">
        <v>65</v>
      </c>
      <c r="O67" s="6" t="s">
        <v>80</v>
      </c>
      <c r="P67" s="6"/>
      <c r="Q67" s="6"/>
      <c r="R67" s="6"/>
      <c r="S67" s="6"/>
      <c r="T67" s="6"/>
    </row>
    <row r="68" customFormat="false" ht="46.25" hidden="false" customHeight="false" outlineLevel="0" collapsed="false">
      <c r="A68" s="6" t="n">
        <v>67</v>
      </c>
      <c r="B68" s="6" t="s">
        <v>9</v>
      </c>
      <c r="C68" s="7" t="n">
        <v>0.565972222222222</v>
      </c>
      <c r="D68" s="7"/>
      <c r="E68" s="6" t="s">
        <v>32</v>
      </c>
      <c r="F68" s="6" t="s">
        <v>67</v>
      </c>
      <c r="G68" s="6" t="s">
        <v>369</v>
      </c>
      <c r="H68" s="6" t="s">
        <v>370</v>
      </c>
      <c r="I68" s="6" t="s">
        <v>371</v>
      </c>
      <c r="J68" s="6" t="s">
        <v>372</v>
      </c>
      <c r="K68" s="6" t="n">
        <v>2</v>
      </c>
      <c r="L68" s="6"/>
      <c r="M68" s="6" t="s">
        <v>108</v>
      </c>
      <c r="N68" s="6" t="s">
        <v>87</v>
      </c>
      <c r="O68" s="6" t="s">
        <v>109</v>
      </c>
      <c r="P68" s="6"/>
      <c r="Q68" s="6"/>
      <c r="R68" s="6"/>
      <c r="S68" s="6"/>
      <c r="T68" s="6"/>
    </row>
    <row r="69" customFormat="false" ht="23.85" hidden="false" customHeight="false" outlineLevel="0" collapsed="false">
      <c r="A69" s="6" t="n">
        <v>68</v>
      </c>
      <c r="B69" s="6" t="s">
        <v>9</v>
      </c>
      <c r="C69" s="7" t="n">
        <v>0.565972222222222</v>
      </c>
      <c r="D69" s="7"/>
      <c r="E69" s="6" t="s">
        <v>27</v>
      </c>
      <c r="F69" s="6" t="s">
        <v>81</v>
      </c>
      <c r="G69" s="6" t="s">
        <v>373</v>
      </c>
      <c r="H69" s="6" t="s">
        <v>374</v>
      </c>
      <c r="I69" s="6" t="s">
        <v>375</v>
      </c>
      <c r="J69" s="6" t="s">
        <v>85</v>
      </c>
      <c r="K69" s="6" t="n">
        <v>1</v>
      </c>
      <c r="L69" s="6"/>
      <c r="M69" s="6" t="s">
        <v>86</v>
      </c>
      <c r="N69" s="6" t="s">
        <v>87</v>
      </c>
      <c r="O69" s="6" t="s">
        <v>86</v>
      </c>
      <c r="P69" s="6"/>
      <c r="Q69" s="6"/>
      <c r="R69" s="6"/>
      <c r="S69" s="6"/>
      <c r="T69" s="6"/>
    </row>
    <row r="70" customFormat="false" ht="23.85" hidden="false" customHeight="false" outlineLevel="0" collapsed="false">
      <c r="A70" s="6" t="n">
        <v>69</v>
      </c>
      <c r="B70" s="6" t="s">
        <v>9</v>
      </c>
      <c r="C70" s="7" t="n">
        <v>0.565972222222222</v>
      </c>
      <c r="D70" s="7"/>
      <c r="E70" s="6" t="s">
        <v>25</v>
      </c>
      <c r="F70" s="6" t="s">
        <v>81</v>
      </c>
      <c r="G70" s="6" t="s">
        <v>376</v>
      </c>
      <c r="H70" s="6" t="s">
        <v>377</v>
      </c>
      <c r="I70" s="6" t="s">
        <v>378</v>
      </c>
      <c r="J70" s="6" t="s">
        <v>379</v>
      </c>
      <c r="K70" s="6" t="n">
        <v>1</v>
      </c>
      <c r="L70" s="6"/>
      <c r="M70" s="6" t="s">
        <v>92</v>
      </c>
      <c r="N70" s="6" t="s">
        <v>65</v>
      </c>
      <c r="O70" s="6" t="s">
        <v>92</v>
      </c>
      <c r="P70" s="6"/>
      <c r="Q70" s="6"/>
      <c r="R70" s="6"/>
      <c r="S70" s="6"/>
      <c r="T70" s="6"/>
    </row>
    <row r="71" customFormat="false" ht="23.85" hidden="false" customHeight="false" outlineLevel="0" collapsed="false">
      <c r="A71" s="6" t="n">
        <v>70</v>
      </c>
      <c r="B71" s="6" t="s">
        <v>9</v>
      </c>
      <c r="C71" s="7" t="n">
        <v>0.565972222222222</v>
      </c>
      <c r="D71" s="7"/>
      <c r="E71" s="6" t="s">
        <v>26</v>
      </c>
      <c r="F71" s="6" t="s">
        <v>81</v>
      </c>
      <c r="G71" s="6" t="s">
        <v>380</v>
      </c>
      <c r="H71" s="6" t="s">
        <v>381</v>
      </c>
      <c r="I71" s="6" t="s">
        <v>382</v>
      </c>
      <c r="J71" s="6" t="s">
        <v>383</v>
      </c>
      <c r="K71" s="6" t="n">
        <v>2</v>
      </c>
      <c r="L71" s="6"/>
      <c r="M71" s="6" t="s">
        <v>255</v>
      </c>
      <c r="N71" s="6" t="s">
        <v>87</v>
      </c>
      <c r="O71" s="6" t="s">
        <v>384</v>
      </c>
      <c r="P71" s="6"/>
      <c r="Q71" s="6"/>
      <c r="R71" s="6"/>
      <c r="S71" s="6"/>
      <c r="T71" s="6"/>
    </row>
    <row r="72" customFormat="false" ht="15" hidden="false" customHeight="false" outlineLevel="0" collapsed="false">
      <c r="A72" s="6" t="n">
        <v>71</v>
      </c>
      <c r="B72" s="6" t="s">
        <v>9</v>
      </c>
      <c r="C72" s="7" t="n">
        <v>0.565972222222222</v>
      </c>
      <c r="D72" s="7"/>
      <c r="E72" s="6" t="s">
        <v>34</v>
      </c>
      <c r="F72" s="6" t="s">
        <v>81</v>
      </c>
      <c r="G72" s="6" t="s">
        <v>385</v>
      </c>
      <c r="H72" s="6" t="s">
        <v>386</v>
      </c>
      <c r="I72" s="6" t="s">
        <v>387</v>
      </c>
      <c r="J72" s="6" t="s">
        <v>388</v>
      </c>
      <c r="K72" s="6" t="n">
        <v>1</v>
      </c>
      <c r="L72" s="6"/>
      <c r="M72" s="6" t="s">
        <v>103</v>
      </c>
      <c r="N72" s="6" t="s">
        <v>87</v>
      </c>
      <c r="O72" s="6" t="s">
        <v>103</v>
      </c>
      <c r="P72" s="6"/>
      <c r="Q72" s="6"/>
      <c r="R72" s="6"/>
      <c r="S72" s="6"/>
      <c r="T72" s="6"/>
    </row>
    <row r="73" customFormat="false" ht="23.85" hidden="false" customHeight="false" outlineLevel="0" collapsed="false">
      <c r="A73" s="6" t="n">
        <v>72</v>
      </c>
      <c r="B73" s="6" t="s">
        <v>9</v>
      </c>
      <c r="C73" s="7" t="n">
        <v>0.565972222222222</v>
      </c>
      <c r="D73" s="7"/>
      <c r="E73" s="6" t="s">
        <v>28</v>
      </c>
      <c r="F73" s="6" t="s">
        <v>81</v>
      </c>
      <c r="G73" s="6" t="s">
        <v>389</v>
      </c>
      <c r="H73" s="6" t="s">
        <v>390</v>
      </c>
      <c r="I73" s="6" t="s">
        <v>391</v>
      </c>
      <c r="J73" s="6" t="s">
        <v>392</v>
      </c>
      <c r="K73" s="6" t="n">
        <v>1</v>
      </c>
      <c r="L73" s="6"/>
      <c r="M73" s="6" t="s">
        <v>114</v>
      </c>
      <c r="N73" s="6" t="s">
        <v>65</v>
      </c>
      <c r="O73" s="6" t="s">
        <v>115</v>
      </c>
      <c r="P73" s="6"/>
      <c r="Q73" s="6"/>
      <c r="R73" s="6"/>
      <c r="S73" s="6"/>
      <c r="T73" s="6"/>
    </row>
    <row r="74" customFormat="false" ht="35.05" hidden="false" customHeight="false" outlineLevel="0" collapsed="false">
      <c r="A74" s="6" t="n">
        <v>73</v>
      </c>
      <c r="B74" s="6" t="s">
        <v>9</v>
      </c>
      <c r="C74" s="7" t="n">
        <v>0.565972222222222</v>
      </c>
      <c r="D74" s="7"/>
      <c r="E74" s="6" t="s">
        <v>38</v>
      </c>
      <c r="F74" s="6" t="s">
        <v>67</v>
      </c>
      <c r="G74" s="6" t="s">
        <v>393</v>
      </c>
      <c r="H74" s="6" t="s">
        <v>394</v>
      </c>
      <c r="I74" s="6" t="s">
        <v>395</v>
      </c>
      <c r="J74" s="6" t="s">
        <v>396</v>
      </c>
      <c r="K74" s="6" t="n">
        <v>2</v>
      </c>
      <c r="L74" s="6"/>
      <c r="M74" s="6" t="s">
        <v>97</v>
      </c>
      <c r="N74" s="6" t="s">
        <v>65</v>
      </c>
      <c r="O74" s="6" t="s">
        <v>397</v>
      </c>
      <c r="P74" s="6"/>
      <c r="Q74" s="6"/>
      <c r="R74" s="6"/>
      <c r="S74" s="6"/>
      <c r="T74" s="6"/>
    </row>
    <row r="75" customFormat="false" ht="35.05" hidden="false" customHeight="false" outlineLevel="0" collapsed="false">
      <c r="A75" s="6" t="n">
        <v>74</v>
      </c>
      <c r="B75" s="6" t="s">
        <v>9</v>
      </c>
      <c r="C75" s="7" t="n">
        <v>0.565972222222222</v>
      </c>
      <c r="D75" s="7" t="n">
        <v>0.618055555555556</v>
      </c>
      <c r="E75" s="6" t="s">
        <v>39</v>
      </c>
      <c r="F75" s="6" t="s">
        <v>39</v>
      </c>
      <c r="G75" s="6" t="s">
        <v>398</v>
      </c>
      <c r="H75" s="6" t="s">
        <v>399</v>
      </c>
      <c r="I75" s="6" t="s">
        <v>399</v>
      </c>
      <c r="J75" s="6"/>
      <c r="K75" s="6" t="n">
        <v>1</v>
      </c>
      <c r="L75" s="6"/>
      <c r="M75" s="6" t="s">
        <v>119</v>
      </c>
      <c r="N75" s="6" t="s">
        <v>87</v>
      </c>
      <c r="O75" s="6" t="s">
        <v>119</v>
      </c>
      <c r="P75" s="6"/>
      <c r="Q75" s="6" t="n">
        <v>119</v>
      </c>
      <c r="R75" s="6" t="n">
        <v>120</v>
      </c>
      <c r="S75" s="6" t="n">
        <f aca="false">R75-Q75</f>
        <v>1</v>
      </c>
      <c r="T75" s="6" t="s">
        <v>120</v>
      </c>
    </row>
    <row r="76" customFormat="false" ht="35.05" hidden="false" customHeight="false" outlineLevel="0" collapsed="false">
      <c r="A76" s="6" t="n">
        <v>75</v>
      </c>
      <c r="B76" s="6" t="s">
        <v>9</v>
      </c>
      <c r="C76" s="7" t="n">
        <v>0.576388888888889</v>
      </c>
      <c r="D76" s="7"/>
      <c r="E76" s="6" t="s">
        <v>24</v>
      </c>
      <c r="F76" s="6" t="s">
        <v>81</v>
      </c>
      <c r="G76" s="6" t="s">
        <v>400</v>
      </c>
      <c r="H76" s="6" t="s">
        <v>401</v>
      </c>
      <c r="I76" s="6" t="s">
        <v>402</v>
      </c>
      <c r="J76" s="6" t="s">
        <v>403</v>
      </c>
      <c r="K76" s="6" t="n">
        <v>3</v>
      </c>
      <c r="L76" s="6"/>
      <c r="M76" s="6" t="s">
        <v>80</v>
      </c>
      <c r="N76" s="6" t="s">
        <v>65</v>
      </c>
      <c r="O76" s="6" t="s">
        <v>404</v>
      </c>
      <c r="P76" s="6"/>
      <c r="Q76" s="6"/>
      <c r="R76" s="6"/>
      <c r="S76" s="6"/>
      <c r="T76" s="6"/>
    </row>
    <row r="77" customFormat="false" ht="124.6" hidden="false" customHeight="false" outlineLevel="0" collapsed="false">
      <c r="A77" s="6" t="n">
        <v>76</v>
      </c>
      <c r="B77" s="6" t="s">
        <v>9</v>
      </c>
      <c r="C77" s="7" t="n">
        <v>0.576388888888889</v>
      </c>
      <c r="D77" s="7"/>
      <c r="E77" s="6" t="s">
        <v>38</v>
      </c>
      <c r="F77" s="6" t="s">
        <v>134</v>
      </c>
      <c r="G77" s="6" t="s">
        <v>405</v>
      </c>
      <c r="H77" s="6" t="s">
        <v>406</v>
      </c>
      <c r="I77" s="6" t="s">
        <v>407</v>
      </c>
      <c r="J77" s="6" t="s">
        <v>408</v>
      </c>
      <c r="K77" s="6" t="n">
        <v>6</v>
      </c>
      <c r="L77" s="6"/>
      <c r="M77" s="6" t="s">
        <v>97</v>
      </c>
      <c r="N77" s="6" t="s">
        <v>65</v>
      </c>
      <c r="O77" s="6" t="s">
        <v>97</v>
      </c>
      <c r="P77" s="6" t="s">
        <v>409</v>
      </c>
      <c r="Q77" s="6"/>
      <c r="R77" s="6"/>
      <c r="S77" s="6"/>
      <c r="T77" s="6"/>
    </row>
    <row r="78" customFormat="false" ht="35.05" hidden="false" customHeight="false" outlineLevel="0" collapsed="false">
      <c r="A78" s="6" t="n">
        <v>77</v>
      </c>
      <c r="B78" s="6" t="s">
        <v>9</v>
      </c>
      <c r="C78" s="7" t="n">
        <v>0.576388888888889</v>
      </c>
      <c r="D78" s="7"/>
      <c r="E78" s="6" t="s">
        <v>34</v>
      </c>
      <c r="F78" s="6" t="s">
        <v>81</v>
      </c>
      <c r="G78" s="6" t="s">
        <v>410</v>
      </c>
      <c r="H78" s="6" t="s">
        <v>411</v>
      </c>
      <c r="I78" s="6" t="s">
        <v>412</v>
      </c>
      <c r="J78" s="6" t="s">
        <v>413</v>
      </c>
      <c r="K78" s="6" t="n">
        <v>1</v>
      </c>
      <c r="L78" s="6"/>
      <c r="M78" s="6" t="s">
        <v>103</v>
      </c>
      <c r="N78" s="6" t="s">
        <v>87</v>
      </c>
      <c r="O78" s="6" t="s">
        <v>414</v>
      </c>
      <c r="P78" s="6"/>
      <c r="Q78" s="6"/>
      <c r="R78" s="6"/>
      <c r="S78" s="6"/>
      <c r="T78" s="6"/>
    </row>
    <row r="79" customFormat="false" ht="23.85" hidden="false" customHeight="false" outlineLevel="0" collapsed="false">
      <c r="A79" s="6" t="n">
        <v>78</v>
      </c>
      <c r="B79" s="6" t="s">
        <v>9</v>
      </c>
      <c r="C79" s="7" t="n">
        <v>0.576388888888889</v>
      </c>
      <c r="D79" s="7"/>
      <c r="E79" s="6" t="s">
        <v>27</v>
      </c>
      <c r="F79" s="6" t="s">
        <v>81</v>
      </c>
      <c r="G79" s="6" t="s">
        <v>415</v>
      </c>
      <c r="H79" s="6" t="s">
        <v>416</v>
      </c>
      <c r="I79" s="6" t="s">
        <v>417</v>
      </c>
      <c r="J79" s="6" t="s">
        <v>418</v>
      </c>
      <c r="K79" s="6" t="n">
        <v>1</v>
      </c>
      <c r="L79" s="6"/>
      <c r="M79" s="6" t="s">
        <v>86</v>
      </c>
      <c r="N79" s="6" t="s">
        <v>87</v>
      </c>
      <c r="O79" s="6" t="s">
        <v>419</v>
      </c>
      <c r="P79" s="6"/>
      <c r="Q79" s="6"/>
      <c r="R79" s="6"/>
      <c r="S79" s="6"/>
      <c r="T79" s="6"/>
    </row>
    <row r="80" customFormat="false" ht="23.85" hidden="false" customHeight="false" outlineLevel="0" collapsed="false">
      <c r="A80" s="6" t="n">
        <v>79</v>
      </c>
      <c r="B80" s="6" t="s">
        <v>9</v>
      </c>
      <c r="C80" s="7" t="n">
        <v>0.576388888888889</v>
      </c>
      <c r="D80" s="7"/>
      <c r="E80" s="6" t="s">
        <v>21</v>
      </c>
      <c r="F80" s="6" t="s">
        <v>81</v>
      </c>
      <c r="G80" s="6" t="s">
        <v>420</v>
      </c>
      <c r="H80" s="6" t="s">
        <v>421</v>
      </c>
      <c r="I80" s="6" t="s">
        <v>422</v>
      </c>
      <c r="J80" s="6" t="s">
        <v>423</v>
      </c>
      <c r="K80" s="6" t="n">
        <v>1</v>
      </c>
      <c r="L80" s="6"/>
      <c r="M80" s="6" t="s">
        <v>64</v>
      </c>
      <c r="N80" s="6" t="s">
        <v>65</v>
      </c>
      <c r="O80" s="6" t="s">
        <v>424</v>
      </c>
      <c r="P80" s="6"/>
      <c r="Q80" s="6"/>
      <c r="R80" s="6"/>
      <c r="S80" s="6"/>
      <c r="T80" s="6"/>
    </row>
    <row r="81" customFormat="false" ht="68.65" hidden="false" customHeight="false" outlineLevel="0" collapsed="false">
      <c r="A81" s="6" t="n">
        <v>80</v>
      </c>
      <c r="B81" s="6" t="s">
        <v>9</v>
      </c>
      <c r="C81" s="7" t="n">
        <v>0.576388888888889</v>
      </c>
      <c r="D81" s="7"/>
      <c r="E81" s="6" t="s">
        <v>26</v>
      </c>
      <c r="F81" s="6" t="s">
        <v>134</v>
      </c>
      <c r="G81" s="6" t="s">
        <v>425</v>
      </c>
      <c r="H81" s="6" t="s">
        <v>426</v>
      </c>
      <c r="I81" s="6" t="s">
        <v>427</v>
      </c>
      <c r="J81" s="6" t="s">
        <v>428</v>
      </c>
      <c r="K81" s="6" t="n">
        <v>5</v>
      </c>
      <c r="L81" s="6"/>
      <c r="M81" s="6" t="s">
        <v>255</v>
      </c>
      <c r="N81" s="6" t="s">
        <v>87</v>
      </c>
      <c r="O81" s="6" t="s">
        <v>255</v>
      </c>
      <c r="P81" s="6" t="s">
        <v>429</v>
      </c>
      <c r="Q81" s="6"/>
      <c r="R81" s="6"/>
      <c r="S81" s="6"/>
      <c r="T81" s="6"/>
    </row>
    <row r="82" customFormat="false" ht="23.85" hidden="false" customHeight="false" outlineLevel="0" collapsed="false">
      <c r="A82" s="6" t="n">
        <v>81</v>
      </c>
      <c r="B82" s="6" t="s">
        <v>9</v>
      </c>
      <c r="C82" s="7" t="n">
        <v>0.576388888888889</v>
      </c>
      <c r="D82" s="7"/>
      <c r="E82" s="6" t="s">
        <v>28</v>
      </c>
      <c r="F82" s="6" t="s">
        <v>81</v>
      </c>
      <c r="G82" s="6" t="s">
        <v>430</v>
      </c>
      <c r="H82" s="6" t="s">
        <v>431</v>
      </c>
      <c r="I82" s="6" t="s">
        <v>432</v>
      </c>
      <c r="J82" s="6" t="s">
        <v>433</v>
      </c>
      <c r="K82" s="6" t="n">
        <v>1</v>
      </c>
      <c r="L82" s="6"/>
      <c r="M82" s="6" t="s">
        <v>114</v>
      </c>
      <c r="N82" s="6" t="s">
        <v>65</v>
      </c>
      <c r="O82" s="6" t="s">
        <v>115</v>
      </c>
      <c r="P82" s="6"/>
      <c r="Q82" s="6"/>
      <c r="R82" s="6"/>
      <c r="S82" s="6"/>
      <c r="T82" s="6"/>
    </row>
    <row r="83" customFormat="false" ht="124.6" hidden="false" customHeight="false" outlineLevel="0" collapsed="false">
      <c r="A83" s="6" t="n">
        <v>82</v>
      </c>
      <c r="B83" s="6" t="s">
        <v>9</v>
      </c>
      <c r="C83" s="7" t="n">
        <v>0.576388888888889</v>
      </c>
      <c r="D83" s="7"/>
      <c r="E83" s="6" t="s">
        <v>32</v>
      </c>
      <c r="F83" s="6" t="s">
        <v>134</v>
      </c>
      <c r="G83" s="6" t="s">
        <v>434</v>
      </c>
      <c r="H83" s="6" t="s">
        <v>435</v>
      </c>
      <c r="I83" s="6" t="s">
        <v>436</v>
      </c>
      <c r="J83" s="6" t="s">
        <v>437</v>
      </c>
      <c r="K83" s="6" t="n">
        <v>7</v>
      </c>
      <c r="L83" s="6"/>
      <c r="M83" s="6" t="s">
        <v>108</v>
      </c>
      <c r="N83" s="6" t="s">
        <v>87</v>
      </c>
      <c r="O83" s="6" t="s">
        <v>109</v>
      </c>
      <c r="P83" s="6" t="s">
        <v>438</v>
      </c>
      <c r="Q83" s="6"/>
      <c r="R83" s="6"/>
      <c r="S83" s="6"/>
      <c r="T83" s="6"/>
    </row>
    <row r="84" customFormat="false" ht="23.85" hidden="false" customHeight="false" outlineLevel="0" collapsed="false">
      <c r="A84" s="6" t="n">
        <v>83</v>
      </c>
      <c r="B84" s="6" t="s">
        <v>9</v>
      </c>
      <c r="C84" s="7" t="n">
        <v>0.576388888888889</v>
      </c>
      <c r="D84" s="7"/>
      <c r="E84" s="6" t="s">
        <v>25</v>
      </c>
      <c r="F84" s="6" t="s">
        <v>81</v>
      </c>
      <c r="G84" s="6" t="s">
        <v>439</v>
      </c>
      <c r="H84" s="6" t="s">
        <v>440</v>
      </c>
      <c r="I84" s="6" t="s">
        <v>441</v>
      </c>
      <c r="J84" s="6" t="s">
        <v>388</v>
      </c>
      <c r="K84" s="6" t="n">
        <v>1</v>
      </c>
      <c r="L84" s="6"/>
      <c r="M84" s="6" t="s">
        <v>92</v>
      </c>
      <c r="N84" s="6" t="s">
        <v>65</v>
      </c>
      <c r="O84" s="6" t="s">
        <v>92</v>
      </c>
      <c r="P84" s="6"/>
      <c r="Q84" s="6"/>
      <c r="R84" s="6"/>
      <c r="S84" s="6"/>
      <c r="T84" s="6"/>
    </row>
    <row r="85" customFormat="false" ht="124.6" hidden="false" customHeight="false" outlineLevel="0" collapsed="false">
      <c r="A85" s="6" t="n">
        <v>84</v>
      </c>
      <c r="B85" s="6" t="s">
        <v>9</v>
      </c>
      <c r="C85" s="7" t="n">
        <v>0.586805555555556</v>
      </c>
      <c r="D85" s="7"/>
      <c r="E85" s="6" t="s">
        <v>28</v>
      </c>
      <c r="F85" s="6" t="s">
        <v>134</v>
      </c>
      <c r="G85" s="6" t="s">
        <v>442</v>
      </c>
      <c r="H85" s="6" t="s">
        <v>443</v>
      </c>
      <c r="I85" s="6" t="s">
        <v>444</v>
      </c>
      <c r="J85" s="6" t="s">
        <v>445</v>
      </c>
      <c r="K85" s="6" t="n">
        <v>7</v>
      </c>
      <c r="L85" s="6"/>
      <c r="M85" s="6" t="s">
        <v>114</v>
      </c>
      <c r="N85" s="6" t="s">
        <v>65</v>
      </c>
      <c r="O85" s="6" t="s">
        <v>114</v>
      </c>
      <c r="P85" s="6" t="s">
        <v>446</v>
      </c>
      <c r="Q85" s="6"/>
      <c r="R85" s="6"/>
      <c r="S85" s="6"/>
      <c r="T85" s="6"/>
    </row>
    <row r="86" customFormat="false" ht="79.85" hidden="false" customHeight="false" outlineLevel="0" collapsed="false">
      <c r="A86" s="6" t="n">
        <v>85</v>
      </c>
      <c r="B86" s="6" t="s">
        <v>9</v>
      </c>
      <c r="C86" s="7" t="n">
        <v>0.586805555555556</v>
      </c>
      <c r="D86" s="7"/>
      <c r="E86" s="6" t="s">
        <v>34</v>
      </c>
      <c r="F86" s="6" t="s">
        <v>215</v>
      </c>
      <c r="G86" s="6" t="s">
        <v>447</v>
      </c>
      <c r="H86" s="6" t="s">
        <v>448</v>
      </c>
      <c r="I86" s="6" t="s">
        <v>449</v>
      </c>
      <c r="J86" s="6" t="s">
        <v>450</v>
      </c>
      <c r="K86" s="6" t="n">
        <v>5</v>
      </c>
      <c r="L86" s="6"/>
      <c r="M86" s="6" t="s">
        <v>103</v>
      </c>
      <c r="N86" s="6" t="s">
        <v>87</v>
      </c>
      <c r="O86" s="6" t="s">
        <v>103</v>
      </c>
      <c r="P86" s="6" t="s">
        <v>451</v>
      </c>
      <c r="Q86" s="6"/>
      <c r="R86" s="6"/>
      <c r="S86" s="6"/>
      <c r="T86" s="6"/>
    </row>
    <row r="87" customFormat="false" ht="124.6" hidden="false" customHeight="false" outlineLevel="0" collapsed="false">
      <c r="A87" s="6" t="n">
        <v>86</v>
      </c>
      <c r="B87" s="6" t="s">
        <v>9</v>
      </c>
      <c r="C87" s="7" t="n">
        <v>0.586805555555556</v>
      </c>
      <c r="D87" s="7"/>
      <c r="E87" s="6" t="s">
        <v>25</v>
      </c>
      <c r="F87" s="6" t="s">
        <v>134</v>
      </c>
      <c r="G87" s="6" t="s">
        <v>452</v>
      </c>
      <c r="H87" s="6" t="s">
        <v>453</v>
      </c>
      <c r="I87" s="6" t="s">
        <v>454</v>
      </c>
      <c r="J87" s="6" t="s">
        <v>455</v>
      </c>
      <c r="K87" s="6" t="n">
        <v>4</v>
      </c>
      <c r="L87" s="6"/>
      <c r="M87" s="6" t="s">
        <v>92</v>
      </c>
      <c r="N87" s="6" t="s">
        <v>65</v>
      </c>
      <c r="O87" s="6" t="s">
        <v>92</v>
      </c>
      <c r="P87" s="6" t="s">
        <v>456</v>
      </c>
      <c r="Q87" s="6"/>
      <c r="R87" s="6"/>
      <c r="S87" s="6"/>
      <c r="T87" s="6"/>
    </row>
    <row r="88" customFormat="false" ht="91" hidden="false" customHeight="false" outlineLevel="0" collapsed="false">
      <c r="A88" s="6" t="n">
        <v>87</v>
      </c>
      <c r="B88" s="6" t="s">
        <v>9</v>
      </c>
      <c r="C88" s="7" t="n">
        <v>0.586805555555556</v>
      </c>
      <c r="D88" s="7"/>
      <c r="E88" s="6" t="s">
        <v>24</v>
      </c>
      <c r="F88" s="6" t="s">
        <v>134</v>
      </c>
      <c r="G88" s="6" t="s">
        <v>457</v>
      </c>
      <c r="H88" s="6" t="s">
        <v>458</v>
      </c>
      <c r="I88" s="6" t="s">
        <v>459</v>
      </c>
      <c r="J88" s="6" t="s">
        <v>460</v>
      </c>
      <c r="K88" s="6" t="n">
        <v>7</v>
      </c>
      <c r="L88" s="6"/>
      <c r="M88" s="6" t="s">
        <v>80</v>
      </c>
      <c r="N88" s="6" t="s">
        <v>65</v>
      </c>
      <c r="O88" s="6" t="s">
        <v>80</v>
      </c>
      <c r="P88" s="6" t="s">
        <v>461</v>
      </c>
      <c r="Q88" s="6"/>
      <c r="R88" s="6"/>
      <c r="S88" s="6"/>
      <c r="T88" s="6"/>
    </row>
    <row r="89" customFormat="false" ht="91" hidden="false" customHeight="false" outlineLevel="0" collapsed="false">
      <c r="A89" s="6" t="n">
        <v>88</v>
      </c>
      <c r="B89" s="6" t="s">
        <v>9</v>
      </c>
      <c r="C89" s="7" t="n">
        <v>0.586805555555556</v>
      </c>
      <c r="D89" s="7"/>
      <c r="E89" s="6" t="s">
        <v>27</v>
      </c>
      <c r="F89" s="6" t="s">
        <v>215</v>
      </c>
      <c r="G89" s="6" t="s">
        <v>462</v>
      </c>
      <c r="H89" s="6" t="s">
        <v>463</v>
      </c>
      <c r="I89" s="6" t="s">
        <v>464</v>
      </c>
      <c r="J89" s="6" t="s">
        <v>465</v>
      </c>
      <c r="K89" s="6" t="n">
        <v>6</v>
      </c>
      <c r="L89" s="6"/>
      <c r="M89" s="6" t="s">
        <v>86</v>
      </c>
      <c r="N89" s="6" t="s">
        <v>87</v>
      </c>
      <c r="O89" s="6" t="s">
        <v>86</v>
      </c>
      <c r="P89" s="6" t="s">
        <v>466</v>
      </c>
      <c r="Q89" s="6"/>
      <c r="R89" s="6"/>
      <c r="S89" s="6"/>
      <c r="T89" s="6"/>
    </row>
    <row r="90" customFormat="false" ht="79.85" hidden="false" customHeight="false" outlineLevel="0" collapsed="false">
      <c r="A90" s="6" t="n">
        <v>89</v>
      </c>
      <c r="B90" s="6" t="s">
        <v>9</v>
      </c>
      <c r="C90" s="7" t="n">
        <v>0.586805555555556</v>
      </c>
      <c r="D90" s="7"/>
      <c r="E90" s="6" t="s">
        <v>21</v>
      </c>
      <c r="F90" s="6" t="s">
        <v>134</v>
      </c>
      <c r="G90" s="6" t="s">
        <v>467</v>
      </c>
      <c r="H90" s="6" t="s">
        <v>468</v>
      </c>
      <c r="I90" s="6" t="s">
        <v>469</v>
      </c>
      <c r="J90" s="6" t="s">
        <v>470</v>
      </c>
      <c r="K90" s="6" t="n">
        <v>5</v>
      </c>
      <c r="L90" s="6"/>
      <c r="M90" s="6" t="s">
        <v>64</v>
      </c>
      <c r="N90" s="6" t="s">
        <v>65</v>
      </c>
      <c r="O90" s="6" t="s">
        <v>64</v>
      </c>
      <c r="P90" s="6" t="s">
        <v>471</v>
      </c>
      <c r="Q90" s="6"/>
      <c r="R90" s="6"/>
      <c r="S90" s="6"/>
      <c r="T90" s="6"/>
    </row>
    <row r="91" customFormat="false" ht="35.05" hidden="false" customHeight="false" outlineLevel="0" collapsed="false">
      <c r="A91" s="6" t="n">
        <v>90</v>
      </c>
      <c r="B91" s="6" t="s">
        <v>9</v>
      </c>
      <c r="C91" s="7" t="n">
        <v>0.618055555555556</v>
      </c>
      <c r="D91" s="7"/>
      <c r="E91" s="6" t="s">
        <v>31</v>
      </c>
      <c r="F91" s="6" t="s">
        <v>31</v>
      </c>
      <c r="G91" s="6" t="s">
        <v>472</v>
      </c>
      <c r="H91" s="6" t="s">
        <v>209</v>
      </c>
      <c r="I91" s="6" t="s">
        <v>210</v>
      </c>
      <c r="J91" s="6" t="s">
        <v>211</v>
      </c>
      <c r="K91" s="6" t="n">
        <v>1</v>
      </c>
      <c r="L91" s="6"/>
      <c r="M91" s="6" t="s">
        <v>212</v>
      </c>
      <c r="N91" s="6" t="s">
        <v>65</v>
      </c>
      <c r="O91" s="6" t="s">
        <v>213</v>
      </c>
      <c r="P91" s="6" t="s">
        <v>214</v>
      </c>
      <c r="Q91" s="6"/>
      <c r="R91" s="6"/>
      <c r="S91" s="6"/>
      <c r="T91" s="6"/>
    </row>
    <row r="92" customFormat="false" ht="23.85" hidden="false" customHeight="false" outlineLevel="0" collapsed="false">
      <c r="A92" s="6" t="n">
        <v>91</v>
      </c>
      <c r="B92" s="6" t="s">
        <v>9</v>
      </c>
      <c r="C92" s="7" t="n">
        <v>0.659722222222222</v>
      </c>
      <c r="D92" s="7"/>
      <c r="E92" s="6" t="s">
        <v>24</v>
      </c>
      <c r="F92" s="6" t="s">
        <v>81</v>
      </c>
      <c r="G92" s="6" t="s">
        <v>473</v>
      </c>
      <c r="H92" s="6" t="s">
        <v>474</v>
      </c>
      <c r="I92" s="6" t="s">
        <v>475</v>
      </c>
      <c r="J92" s="6" t="s">
        <v>476</v>
      </c>
      <c r="K92" s="6" t="n">
        <v>1</v>
      </c>
      <c r="L92" s="6"/>
      <c r="M92" s="6" t="s">
        <v>80</v>
      </c>
      <c r="N92" s="6" t="s">
        <v>65</v>
      </c>
      <c r="O92" s="6" t="s">
        <v>80</v>
      </c>
      <c r="P92" s="6"/>
      <c r="Q92" s="6"/>
      <c r="R92" s="6"/>
      <c r="S92" s="6"/>
      <c r="T92" s="6"/>
    </row>
    <row r="93" customFormat="false" ht="46.25" hidden="false" customHeight="false" outlineLevel="0" collapsed="false">
      <c r="A93" s="6" t="n">
        <v>92</v>
      </c>
      <c r="B93" s="6" t="s">
        <v>9</v>
      </c>
      <c r="C93" s="7" t="n">
        <v>0.659722222222222</v>
      </c>
      <c r="D93" s="7"/>
      <c r="E93" s="6" t="s">
        <v>38</v>
      </c>
      <c r="F93" s="6" t="s">
        <v>67</v>
      </c>
      <c r="G93" s="6" t="s">
        <v>477</v>
      </c>
      <c r="H93" s="6" t="s">
        <v>478</v>
      </c>
      <c r="I93" s="6" t="s">
        <v>479</v>
      </c>
      <c r="J93" s="6" t="s">
        <v>480</v>
      </c>
      <c r="K93" s="6" t="n">
        <v>3</v>
      </c>
      <c r="L93" s="6"/>
      <c r="M93" s="6" t="s">
        <v>97</v>
      </c>
      <c r="N93" s="6" t="s">
        <v>65</v>
      </c>
      <c r="O93" s="6" t="s">
        <v>97</v>
      </c>
      <c r="P93" s="6"/>
      <c r="Q93" s="6"/>
      <c r="R93" s="6"/>
      <c r="S93" s="6"/>
      <c r="T93" s="6"/>
    </row>
    <row r="94" customFormat="false" ht="23.85" hidden="false" customHeight="false" outlineLevel="0" collapsed="false">
      <c r="A94" s="6" t="n">
        <v>93</v>
      </c>
      <c r="B94" s="6" t="s">
        <v>9</v>
      </c>
      <c r="C94" s="7" t="n">
        <v>0.659722222222222</v>
      </c>
      <c r="D94" s="7"/>
      <c r="E94" s="6" t="s">
        <v>21</v>
      </c>
      <c r="F94" s="6" t="s">
        <v>67</v>
      </c>
      <c r="G94" s="6" t="s">
        <v>481</v>
      </c>
      <c r="H94" s="6" t="s">
        <v>482</v>
      </c>
      <c r="I94" s="6" t="s">
        <v>483</v>
      </c>
      <c r="J94" s="6" t="s">
        <v>484</v>
      </c>
      <c r="K94" s="6" t="n">
        <v>2</v>
      </c>
      <c r="L94" s="6"/>
      <c r="M94" s="6" t="s">
        <v>64</v>
      </c>
      <c r="N94" s="6" t="s">
        <v>65</v>
      </c>
      <c r="O94" s="6" t="s">
        <v>64</v>
      </c>
      <c r="P94" s="6"/>
      <c r="Q94" s="6"/>
      <c r="R94" s="6"/>
      <c r="S94" s="6"/>
      <c r="T94" s="6"/>
    </row>
    <row r="95" customFormat="false" ht="23.85" hidden="false" customHeight="false" outlineLevel="0" collapsed="false">
      <c r="A95" s="6" t="n">
        <v>94</v>
      </c>
      <c r="B95" s="6" t="s">
        <v>9</v>
      </c>
      <c r="C95" s="7" t="n">
        <v>0.659722222222222</v>
      </c>
      <c r="D95" s="7"/>
      <c r="E95" s="6" t="s">
        <v>32</v>
      </c>
      <c r="F95" s="6" t="s">
        <v>81</v>
      </c>
      <c r="G95" s="6" t="s">
        <v>485</v>
      </c>
      <c r="H95" s="6" t="s">
        <v>486</v>
      </c>
      <c r="I95" s="6" t="s">
        <v>487</v>
      </c>
      <c r="J95" s="6" t="s">
        <v>488</v>
      </c>
      <c r="K95" s="6" t="n">
        <v>1</v>
      </c>
      <c r="L95" s="6"/>
      <c r="M95" s="6" t="s">
        <v>108</v>
      </c>
      <c r="N95" s="6" t="s">
        <v>87</v>
      </c>
      <c r="O95" s="6" t="s">
        <v>109</v>
      </c>
      <c r="P95" s="6"/>
      <c r="Q95" s="6"/>
      <c r="R95" s="6"/>
      <c r="S95" s="6"/>
      <c r="T95" s="6"/>
    </row>
    <row r="96" customFormat="false" ht="23.85" hidden="false" customHeight="false" outlineLevel="0" collapsed="false">
      <c r="A96" s="6" t="n">
        <v>95</v>
      </c>
      <c r="B96" s="6" t="s">
        <v>9</v>
      </c>
      <c r="C96" s="7" t="n">
        <v>0.659722222222222</v>
      </c>
      <c r="D96" s="7"/>
      <c r="E96" s="6" t="s">
        <v>26</v>
      </c>
      <c r="F96" s="6" t="s">
        <v>81</v>
      </c>
      <c r="G96" s="6" t="s">
        <v>489</v>
      </c>
      <c r="H96" s="6" t="s">
        <v>490</v>
      </c>
      <c r="I96" s="6" t="s">
        <v>491</v>
      </c>
      <c r="J96" s="6" t="s">
        <v>492</v>
      </c>
      <c r="K96" s="6" t="n">
        <v>1</v>
      </c>
      <c r="L96" s="6"/>
      <c r="M96" s="6" t="s">
        <v>255</v>
      </c>
      <c r="N96" s="6" t="s">
        <v>87</v>
      </c>
      <c r="O96" s="6" t="s">
        <v>255</v>
      </c>
      <c r="P96" s="6"/>
      <c r="Q96" s="6"/>
      <c r="R96" s="6"/>
      <c r="S96" s="6"/>
      <c r="T96" s="6"/>
    </row>
    <row r="97" customFormat="false" ht="35.05" hidden="false" customHeight="false" outlineLevel="0" collapsed="false">
      <c r="A97" s="6" t="n">
        <v>96</v>
      </c>
      <c r="B97" s="6" t="s">
        <v>9</v>
      </c>
      <c r="C97" s="7" t="n">
        <v>0.659722222222222</v>
      </c>
      <c r="D97" s="7"/>
      <c r="E97" s="6" t="s">
        <v>34</v>
      </c>
      <c r="F97" s="6" t="s">
        <v>81</v>
      </c>
      <c r="G97" s="6" t="s">
        <v>493</v>
      </c>
      <c r="H97" s="6" t="s">
        <v>494</v>
      </c>
      <c r="I97" s="6" t="s">
        <v>495</v>
      </c>
      <c r="J97" s="6" t="s">
        <v>496</v>
      </c>
      <c r="K97" s="6" t="n">
        <v>2</v>
      </c>
      <c r="L97" s="6"/>
      <c r="M97" s="6" t="s">
        <v>103</v>
      </c>
      <c r="N97" s="6" t="s">
        <v>87</v>
      </c>
      <c r="O97" s="6" t="s">
        <v>103</v>
      </c>
      <c r="P97" s="6"/>
      <c r="Q97" s="6"/>
      <c r="R97" s="6"/>
      <c r="S97" s="6"/>
      <c r="T97" s="6"/>
    </row>
    <row r="98" customFormat="false" ht="23.85" hidden="false" customHeight="false" outlineLevel="0" collapsed="false">
      <c r="A98" s="6" t="n">
        <v>97</v>
      </c>
      <c r="B98" s="6" t="s">
        <v>9</v>
      </c>
      <c r="C98" s="7" t="n">
        <v>0.659722222222222</v>
      </c>
      <c r="D98" s="7"/>
      <c r="E98" s="6" t="s">
        <v>27</v>
      </c>
      <c r="F98" s="6" t="s">
        <v>81</v>
      </c>
      <c r="G98" s="6" t="s">
        <v>497</v>
      </c>
      <c r="H98" s="6" t="s">
        <v>498</v>
      </c>
      <c r="I98" s="6" t="s">
        <v>499</v>
      </c>
      <c r="J98" s="6" t="s">
        <v>500</v>
      </c>
      <c r="K98" s="6" t="n">
        <v>1</v>
      </c>
      <c r="L98" s="6"/>
      <c r="M98" s="6" t="s">
        <v>86</v>
      </c>
      <c r="N98" s="6" t="s">
        <v>87</v>
      </c>
      <c r="O98" s="6" t="s">
        <v>501</v>
      </c>
      <c r="P98" s="6"/>
      <c r="Q98" s="6"/>
      <c r="R98" s="6"/>
      <c r="S98" s="6"/>
      <c r="T98" s="6"/>
    </row>
    <row r="99" customFormat="false" ht="46.25" hidden="false" customHeight="false" outlineLevel="0" collapsed="false">
      <c r="A99" s="6" t="n">
        <v>98</v>
      </c>
      <c r="B99" s="6" t="s">
        <v>9</v>
      </c>
      <c r="C99" s="7" t="n">
        <v>0.659722222222222</v>
      </c>
      <c r="D99" s="7" t="n">
        <v>0.711805555555556</v>
      </c>
      <c r="E99" s="6" t="s">
        <v>39</v>
      </c>
      <c r="F99" s="6" t="s">
        <v>39</v>
      </c>
      <c r="G99" s="6" t="s">
        <v>502</v>
      </c>
      <c r="H99" s="6" t="s">
        <v>503</v>
      </c>
      <c r="I99" s="6" t="s">
        <v>504</v>
      </c>
      <c r="J99" s="6"/>
      <c r="K99" s="6" t="n">
        <v>4</v>
      </c>
      <c r="L99" s="6"/>
      <c r="M99" s="6" t="s">
        <v>119</v>
      </c>
      <c r="N99" s="6" t="s">
        <v>87</v>
      </c>
      <c r="O99" s="6" t="s">
        <v>119</v>
      </c>
      <c r="P99" s="6"/>
      <c r="Q99" s="6" t="n">
        <v>102</v>
      </c>
      <c r="R99" s="6" t="n">
        <v>120</v>
      </c>
      <c r="S99" s="6" t="n">
        <f aca="false">R99-Q99</f>
        <v>18</v>
      </c>
      <c r="T99" s="6" t="s">
        <v>120</v>
      </c>
    </row>
    <row r="100" customFormat="false" ht="46.25" hidden="false" customHeight="false" outlineLevel="0" collapsed="false">
      <c r="A100" s="6" t="n">
        <v>99</v>
      </c>
      <c r="B100" s="6" t="s">
        <v>9</v>
      </c>
      <c r="C100" s="7" t="n">
        <v>0.666666666666667</v>
      </c>
      <c r="D100" s="7"/>
      <c r="E100" s="6" t="s">
        <v>36</v>
      </c>
      <c r="F100" s="6" t="s">
        <v>39</v>
      </c>
      <c r="G100" s="6" t="s">
        <v>505</v>
      </c>
      <c r="H100" s="6" t="s">
        <v>506</v>
      </c>
      <c r="I100" s="6" t="s">
        <v>507</v>
      </c>
      <c r="J100" s="6" t="s">
        <v>508</v>
      </c>
      <c r="K100" s="6" t="n">
        <v>2</v>
      </c>
      <c r="L100" s="6"/>
      <c r="M100" s="6"/>
      <c r="N100" s="6"/>
      <c r="O100" s="6"/>
      <c r="P100" s="6" t="s">
        <v>509</v>
      </c>
      <c r="Q100" s="6"/>
      <c r="R100" s="6"/>
      <c r="S100" s="6"/>
      <c r="T100" s="6"/>
    </row>
    <row r="101" customFormat="false" ht="46.25" hidden="false" customHeight="false" outlineLevel="0" collapsed="false">
      <c r="A101" s="6" t="n">
        <v>100</v>
      </c>
      <c r="B101" s="6" t="s">
        <v>9</v>
      </c>
      <c r="C101" s="7" t="n">
        <v>0.670138888888889</v>
      </c>
      <c r="D101" s="7"/>
      <c r="E101" s="6" t="s">
        <v>28</v>
      </c>
      <c r="F101" s="6" t="s">
        <v>67</v>
      </c>
      <c r="G101" s="6" t="s">
        <v>510</v>
      </c>
      <c r="H101" s="6" t="s">
        <v>511</v>
      </c>
      <c r="I101" s="6" t="s">
        <v>512</v>
      </c>
      <c r="J101" s="6" t="s">
        <v>513</v>
      </c>
      <c r="K101" s="6" t="n">
        <v>2</v>
      </c>
      <c r="L101" s="6"/>
      <c r="M101" s="6" t="s">
        <v>114</v>
      </c>
      <c r="N101" s="6" t="s">
        <v>65</v>
      </c>
      <c r="O101" s="6" t="s">
        <v>114</v>
      </c>
      <c r="P101" s="6" t="s">
        <v>514</v>
      </c>
      <c r="Q101" s="6"/>
      <c r="R101" s="6"/>
      <c r="S101" s="6"/>
      <c r="T101" s="6"/>
    </row>
    <row r="102" customFormat="false" ht="91" hidden="false" customHeight="false" outlineLevel="0" collapsed="false">
      <c r="A102" s="6" t="n">
        <v>101</v>
      </c>
      <c r="B102" s="6" t="s">
        <v>9</v>
      </c>
      <c r="C102" s="7" t="n">
        <v>0.670138888888889</v>
      </c>
      <c r="D102" s="7"/>
      <c r="E102" s="6" t="s">
        <v>38</v>
      </c>
      <c r="F102" s="6" t="s">
        <v>134</v>
      </c>
      <c r="G102" s="6" t="s">
        <v>515</v>
      </c>
      <c r="H102" s="6" t="s">
        <v>516</v>
      </c>
      <c r="I102" s="6" t="s">
        <v>517</v>
      </c>
      <c r="J102" s="6" t="s">
        <v>518</v>
      </c>
      <c r="K102" s="6" t="n">
        <v>5</v>
      </c>
      <c r="L102" s="6"/>
      <c r="M102" s="6" t="s">
        <v>97</v>
      </c>
      <c r="N102" s="6" t="s">
        <v>65</v>
      </c>
      <c r="O102" s="6" t="s">
        <v>97</v>
      </c>
      <c r="P102" s="6" t="s">
        <v>519</v>
      </c>
      <c r="Q102" s="6"/>
      <c r="R102" s="6"/>
      <c r="S102" s="6"/>
      <c r="T102" s="6"/>
    </row>
    <row r="103" customFormat="false" ht="57.45" hidden="false" customHeight="false" outlineLevel="0" collapsed="false">
      <c r="A103" s="6" t="n">
        <v>102</v>
      </c>
      <c r="B103" s="6" t="s">
        <v>9</v>
      </c>
      <c r="C103" s="7" t="n">
        <v>0.670138888888889</v>
      </c>
      <c r="D103" s="7"/>
      <c r="E103" s="6" t="s">
        <v>26</v>
      </c>
      <c r="F103" s="6" t="s">
        <v>215</v>
      </c>
      <c r="G103" s="6" t="s">
        <v>520</v>
      </c>
      <c r="H103" s="6" t="s">
        <v>521</v>
      </c>
      <c r="I103" s="6" t="s">
        <v>522</v>
      </c>
      <c r="J103" s="6" t="s">
        <v>523</v>
      </c>
      <c r="K103" s="6" t="n">
        <v>5</v>
      </c>
      <c r="L103" s="6"/>
      <c r="M103" s="6" t="s">
        <v>255</v>
      </c>
      <c r="N103" s="6" t="s">
        <v>87</v>
      </c>
      <c r="O103" s="6" t="s">
        <v>255</v>
      </c>
      <c r="P103" s="6"/>
      <c r="Q103" s="6"/>
      <c r="R103" s="6"/>
      <c r="S103" s="6"/>
      <c r="T103" s="6"/>
    </row>
    <row r="104" customFormat="false" ht="57.45" hidden="false" customHeight="false" outlineLevel="0" collapsed="false">
      <c r="A104" s="6" t="n">
        <v>103</v>
      </c>
      <c r="B104" s="6" t="s">
        <v>9</v>
      </c>
      <c r="C104" s="7" t="n">
        <v>0.670138888888889</v>
      </c>
      <c r="D104" s="7"/>
      <c r="E104" s="6" t="s">
        <v>32</v>
      </c>
      <c r="F104" s="6" t="s">
        <v>215</v>
      </c>
      <c r="G104" s="6" t="s">
        <v>524</v>
      </c>
      <c r="H104" s="6" t="s">
        <v>525</v>
      </c>
      <c r="I104" s="6" t="s">
        <v>526</v>
      </c>
      <c r="J104" s="6" t="s">
        <v>527</v>
      </c>
      <c r="K104" s="6" t="n">
        <v>3</v>
      </c>
      <c r="L104" s="6"/>
      <c r="M104" s="6" t="s">
        <v>108</v>
      </c>
      <c r="N104" s="6" t="s">
        <v>87</v>
      </c>
      <c r="O104" s="6" t="s">
        <v>109</v>
      </c>
      <c r="P104" s="6" t="s">
        <v>528</v>
      </c>
      <c r="Q104" s="6"/>
      <c r="R104" s="6"/>
      <c r="S104" s="6"/>
      <c r="T104" s="6"/>
    </row>
    <row r="105" customFormat="false" ht="23.85" hidden="false" customHeight="false" outlineLevel="0" collapsed="false">
      <c r="A105" s="6" t="n">
        <v>104</v>
      </c>
      <c r="B105" s="6" t="s">
        <v>9</v>
      </c>
      <c r="C105" s="7" t="n">
        <v>0.670138888888889</v>
      </c>
      <c r="D105" s="7"/>
      <c r="E105" s="6" t="s">
        <v>21</v>
      </c>
      <c r="F105" s="6" t="s">
        <v>81</v>
      </c>
      <c r="G105" s="6" t="s">
        <v>529</v>
      </c>
      <c r="H105" s="6" t="s">
        <v>530</v>
      </c>
      <c r="I105" s="6" t="s">
        <v>531</v>
      </c>
      <c r="J105" s="6" t="s">
        <v>532</v>
      </c>
      <c r="K105" s="6" t="n">
        <v>1</v>
      </c>
      <c r="L105" s="6"/>
      <c r="M105" s="6" t="s">
        <v>64</v>
      </c>
      <c r="N105" s="6" t="s">
        <v>65</v>
      </c>
      <c r="O105" s="6" t="s">
        <v>533</v>
      </c>
      <c r="P105" s="6"/>
      <c r="Q105" s="6"/>
      <c r="R105" s="6"/>
      <c r="S105" s="6"/>
      <c r="T105" s="6"/>
    </row>
    <row r="106" customFormat="false" ht="46.25" hidden="false" customHeight="false" outlineLevel="0" collapsed="false">
      <c r="A106" s="6" t="n">
        <v>105</v>
      </c>
      <c r="B106" s="6" t="s">
        <v>9</v>
      </c>
      <c r="C106" s="7" t="n">
        <v>0.670138888888889</v>
      </c>
      <c r="D106" s="7"/>
      <c r="E106" s="6" t="s">
        <v>34</v>
      </c>
      <c r="F106" s="6" t="s">
        <v>67</v>
      </c>
      <c r="G106" s="6" t="s">
        <v>534</v>
      </c>
      <c r="H106" s="6" t="s">
        <v>535</v>
      </c>
      <c r="I106" s="6" t="s">
        <v>536</v>
      </c>
      <c r="J106" s="6" t="s">
        <v>537</v>
      </c>
      <c r="K106" s="6" t="n">
        <v>3</v>
      </c>
      <c r="L106" s="6"/>
      <c r="M106" s="6" t="s">
        <v>103</v>
      </c>
      <c r="N106" s="6" t="s">
        <v>87</v>
      </c>
      <c r="O106" s="6" t="s">
        <v>151</v>
      </c>
      <c r="P106" s="6"/>
      <c r="Q106" s="6"/>
      <c r="R106" s="6"/>
      <c r="S106" s="6"/>
      <c r="T106" s="6"/>
    </row>
    <row r="107" customFormat="false" ht="23.85" hidden="false" customHeight="false" outlineLevel="0" collapsed="false">
      <c r="A107" s="6" t="n">
        <v>106</v>
      </c>
      <c r="B107" s="6" t="s">
        <v>9</v>
      </c>
      <c r="C107" s="7" t="n">
        <v>0.670138888888889</v>
      </c>
      <c r="D107" s="7"/>
      <c r="E107" s="6" t="s">
        <v>27</v>
      </c>
      <c r="F107" s="6" t="s">
        <v>81</v>
      </c>
      <c r="G107" s="6" t="s">
        <v>538</v>
      </c>
      <c r="H107" s="6" t="s">
        <v>539</v>
      </c>
      <c r="I107" s="6" t="s">
        <v>540</v>
      </c>
      <c r="J107" s="6" t="s">
        <v>541</v>
      </c>
      <c r="K107" s="6" t="n">
        <v>1</v>
      </c>
      <c r="L107" s="6"/>
      <c r="M107" s="6" t="s">
        <v>86</v>
      </c>
      <c r="N107" s="6" t="s">
        <v>87</v>
      </c>
      <c r="O107" s="6" t="s">
        <v>501</v>
      </c>
      <c r="P107" s="6"/>
      <c r="Q107" s="6"/>
      <c r="R107" s="6"/>
      <c r="S107" s="6"/>
      <c r="T107" s="6"/>
    </row>
    <row r="108" customFormat="false" ht="23.85" hidden="false" customHeight="false" outlineLevel="0" collapsed="false">
      <c r="A108" s="6" t="n">
        <v>107</v>
      </c>
      <c r="B108" s="6" t="s">
        <v>9</v>
      </c>
      <c r="C108" s="7" t="n">
        <v>0.670138888888889</v>
      </c>
      <c r="D108" s="7"/>
      <c r="E108" s="6" t="s">
        <v>24</v>
      </c>
      <c r="F108" s="6" t="s">
        <v>81</v>
      </c>
      <c r="G108" s="6" t="s">
        <v>542</v>
      </c>
      <c r="H108" s="6" t="s">
        <v>543</v>
      </c>
      <c r="I108" s="6" t="s">
        <v>544</v>
      </c>
      <c r="J108" s="6" t="s">
        <v>545</v>
      </c>
      <c r="K108" s="6" t="n">
        <v>1</v>
      </c>
      <c r="L108" s="6"/>
      <c r="M108" s="6" t="s">
        <v>80</v>
      </c>
      <c r="N108" s="6" t="s">
        <v>65</v>
      </c>
      <c r="O108" s="6" t="s">
        <v>80</v>
      </c>
      <c r="P108" s="6"/>
      <c r="Q108" s="6"/>
      <c r="R108" s="6"/>
      <c r="S108" s="6"/>
      <c r="T108" s="6"/>
    </row>
    <row r="109" customFormat="false" ht="102.2" hidden="false" customHeight="false" outlineLevel="0" collapsed="false">
      <c r="A109" s="6" t="n">
        <v>108</v>
      </c>
      <c r="B109" s="6" t="s">
        <v>9</v>
      </c>
      <c r="C109" s="7" t="n">
        <v>0.680555555555556</v>
      </c>
      <c r="D109" s="7"/>
      <c r="E109" s="6" t="s">
        <v>24</v>
      </c>
      <c r="F109" s="6" t="s">
        <v>134</v>
      </c>
      <c r="G109" s="6" t="s">
        <v>546</v>
      </c>
      <c r="H109" s="6" t="s">
        <v>547</v>
      </c>
      <c r="I109" s="6" t="s">
        <v>548</v>
      </c>
      <c r="J109" s="6" t="s">
        <v>549</v>
      </c>
      <c r="K109" s="6" t="n">
        <v>6</v>
      </c>
      <c r="L109" s="6"/>
      <c r="M109" s="6" t="s">
        <v>80</v>
      </c>
      <c r="N109" s="6" t="s">
        <v>65</v>
      </c>
      <c r="O109" s="6" t="s">
        <v>80</v>
      </c>
      <c r="P109" s="6"/>
      <c r="Q109" s="6"/>
      <c r="R109" s="6"/>
      <c r="S109" s="6"/>
      <c r="T109" s="6"/>
    </row>
    <row r="110" customFormat="false" ht="102.2" hidden="false" customHeight="false" outlineLevel="0" collapsed="false">
      <c r="A110" s="6" t="n">
        <v>109</v>
      </c>
      <c r="B110" s="6" t="s">
        <v>9</v>
      </c>
      <c r="C110" s="7" t="n">
        <v>0.680555555555556</v>
      </c>
      <c r="D110" s="7"/>
      <c r="E110" s="6" t="s">
        <v>27</v>
      </c>
      <c r="F110" s="6" t="s">
        <v>134</v>
      </c>
      <c r="G110" s="6" t="s">
        <v>550</v>
      </c>
      <c r="H110" s="6" t="s">
        <v>551</v>
      </c>
      <c r="I110" s="6" t="s">
        <v>552</v>
      </c>
      <c r="J110" s="6" t="s">
        <v>553</v>
      </c>
      <c r="K110" s="6" t="n">
        <v>7</v>
      </c>
      <c r="L110" s="6"/>
      <c r="M110" s="6" t="s">
        <v>86</v>
      </c>
      <c r="N110" s="6" t="s">
        <v>87</v>
      </c>
      <c r="O110" s="6" t="s">
        <v>86</v>
      </c>
      <c r="P110" s="6"/>
      <c r="Q110" s="6"/>
      <c r="R110" s="6"/>
      <c r="S110" s="6"/>
      <c r="T110" s="6"/>
    </row>
    <row r="111" customFormat="false" ht="91" hidden="false" customHeight="false" outlineLevel="0" collapsed="false">
      <c r="A111" s="6" t="n">
        <v>110</v>
      </c>
      <c r="B111" s="6" t="s">
        <v>9</v>
      </c>
      <c r="C111" s="7" t="n">
        <v>0.680555555555556</v>
      </c>
      <c r="D111" s="7"/>
      <c r="E111" s="6" t="s">
        <v>28</v>
      </c>
      <c r="F111" s="6" t="s">
        <v>554</v>
      </c>
      <c r="G111" s="6" t="s">
        <v>555</v>
      </c>
      <c r="H111" s="6" t="s">
        <v>556</v>
      </c>
      <c r="I111" s="6" t="s">
        <v>557</v>
      </c>
      <c r="J111" s="6" t="s">
        <v>558</v>
      </c>
      <c r="K111" s="6" t="n">
        <v>6</v>
      </c>
      <c r="L111" s="6"/>
      <c r="M111" s="6" t="s">
        <v>114</v>
      </c>
      <c r="N111" s="6" t="s">
        <v>65</v>
      </c>
      <c r="O111" s="6" t="s">
        <v>114</v>
      </c>
      <c r="P111" s="6" t="s">
        <v>559</v>
      </c>
      <c r="Q111" s="6"/>
      <c r="R111" s="6"/>
      <c r="S111" s="6"/>
      <c r="T111" s="6"/>
    </row>
    <row r="112" customFormat="false" ht="102.2" hidden="false" customHeight="false" outlineLevel="0" collapsed="false">
      <c r="A112" s="6" t="n">
        <v>111</v>
      </c>
      <c r="B112" s="6" t="s">
        <v>9</v>
      </c>
      <c r="C112" s="7" t="n">
        <v>0.680555555555556</v>
      </c>
      <c r="D112" s="7"/>
      <c r="E112" s="6" t="s">
        <v>34</v>
      </c>
      <c r="F112" s="6" t="s">
        <v>215</v>
      </c>
      <c r="G112" s="6" t="s">
        <v>560</v>
      </c>
      <c r="H112" s="6" t="s">
        <v>561</v>
      </c>
      <c r="I112" s="6" t="s">
        <v>562</v>
      </c>
      <c r="J112" s="6" t="s">
        <v>563</v>
      </c>
      <c r="K112" s="6" t="n">
        <v>6</v>
      </c>
      <c r="L112" s="6"/>
      <c r="M112" s="6" t="s">
        <v>103</v>
      </c>
      <c r="N112" s="6" t="s">
        <v>87</v>
      </c>
      <c r="O112" s="6" t="s">
        <v>103</v>
      </c>
      <c r="P112" s="6" t="s">
        <v>564</v>
      </c>
      <c r="Q112" s="6"/>
      <c r="R112" s="6"/>
      <c r="S112" s="6"/>
      <c r="T112" s="6"/>
    </row>
    <row r="113" customFormat="false" ht="23.85" hidden="false" customHeight="false" outlineLevel="0" collapsed="false">
      <c r="A113" s="6" t="n">
        <v>112</v>
      </c>
      <c r="B113" s="6" t="s">
        <v>9</v>
      </c>
      <c r="C113" s="7" t="n">
        <v>0.680555555555556</v>
      </c>
      <c r="D113" s="7"/>
      <c r="E113" s="6" t="s">
        <v>21</v>
      </c>
      <c r="F113" s="6" t="s">
        <v>81</v>
      </c>
      <c r="G113" s="6" t="s">
        <v>565</v>
      </c>
      <c r="H113" s="6" t="s">
        <v>566</v>
      </c>
      <c r="I113" s="6" t="s">
        <v>567</v>
      </c>
      <c r="J113" s="6" t="s">
        <v>568</v>
      </c>
      <c r="K113" s="6" t="n">
        <v>1</v>
      </c>
      <c r="L113" s="6"/>
      <c r="M113" s="6" t="s">
        <v>64</v>
      </c>
      <c r="N113" s="6" t="s">
        <v>65</v>
      </c>
      <c r="O113" s="6" t="s">
        <v>64</v>
      </c>
      <c r="P113" s="6"/>
      <c r="Q113" s="6"/>
      <c r="R113" s="6"/>
      <c r="S113" s="6"/>
      <c r="T113" s="6"/>
    </row>
    <row r="114" customFormat="false" ht="113.4" hidden="false" customHeight="false" outlineLevel="0" collapsed="false">
      <c r="A114" s="6" t="n">
        <v>113</v>
      </c>
      <c r="B114" s="6" t="s">
        <v>9</v>
      </c>
      <c r="C114" s="7" t="n">
        <v>0.680555555555556</v>
      </c>
      <c r="D114" s="7"/>
      <c r="E114" s="6" t="s">
        <v>32</v>
      </c>
      <c r="F114" s="6" t="s">
        <v>134</v>
      </c>
      <c r="G114" s="6" t="s">
        <v>569</v>
      </c>
      <c r="H114" s="6" t="s">
        <v>570</v>
      </c>
      <c r="I114" s="6" t="s">
        <v>571</v>
      </c>
      <c r="J114" s="6" t="s">
        <v>572</v>
      </c>
      <c r="K114" s="6" t="n">
        <v>4</v>
      </c>
      <c r="L114" s="6"/>
      <c r="M114" s="6" t="s">
        <v>108</v>
      </c>
      <c r="N114" s="6" t="s">
        <v>87</v>
      </c>
      <c r="O114" s="6" t="s">
        <v>109</v>
      </c>
      <c r="P114" s="6" t="s">
        <v>573</v>
      </c>
      <c r="Q114" s="6"/>
      <c r="R114" s="6"/>
      <c r="S114" s="6"/>
      <c r="T114" s="6"/>
    </row>
    <row r="115" customFormat="false" ht="68.65" hidden="false" customHeight="false" outlineLevel="0" collapsed="false">
      <c r="A115" s="6" t="n">
        <v>114</v>
      </c>
      <c r="B115" s="6" t="s">
        <v>9</v>
      </c>
      <c r="C115" s="7" t="n">
        <v>0.690972222222222</v>
      </c>
      <c r="D115" s="7"/>
      <c r="E115" s="6" t="s">
        <v>21</v>
      </c>
      <c r="F115" s="6" t="s">
        <v>134</v>
      </c>
      <c r="G115" s="6" t="s">
        <v>574</v>
      </c>
      <c r="H115" s="6" t="s">
        <v>575</v>
      </c>
      <c r="I115" s="6" t="s">
        <v>576</v>
      </c>
      <c r="J115" s="6" t="s">
        <v>577</v>
      </c>
      <c r="K115" s="6" t="n">
        <v>5</v>
      </c>
      <c r="L115" s="6"/>
      <c r="M115" s="6" t="s">
        <v>64</v>
      </c>
      <c r="N115" s="6" t="s">
        <v>65</v>
      </c>
      <c r="O115" s="6" t="s">
        <v>64</v>
      </c>
      <c r="P115" s="6" t="s">
        <v>578</v>
      </c>
      <c r="Q115" s="6"/>
      <c r="R115" s="6"/>
      <c r="S115" s="6"/>
      <c r="T115" s="6"/>
    </row>
    <row r="116" customFormat="false" ht="15" hidden="false" customHeight="false" outlineLevel="0" collapsed="false">
      <c r="A116" s="6" t="n">
        <v>115</v>
      </c>
      <c r="B116" s="6" t="s">
        <v>9</v>
      </c>
      <c r="C116" s="7" t="n">
        <v>0.71875</v>
      </c>
      <c r="D116" s="7"/>
      <c r="E116" s="6" t="s">
        <v>31</v>
      </c>
      <c r="F116" s="6" t="s">
        <v>59</v>
      </c>
      <c r="G116" s="6" t="s">
        <v>579</v>
      </c>
      <c r="H116" s="6" t="s">
        <v>209</v>
      </c>
      <c r="I116" s="6" t="s">
        <v>210</v>
      </c>
      <c r="J116" s="6" t="s">
        <v>211</v>
      </c>
      <c r="K116" s="6" t="n">
        <v>1</v>
      </c>
      <c r="L116" s="6"/>
      <c r="M116" s="6" t="s">
        <v>580</v>
      </c>
      <c r="N116" s="6" t="s">
        <v>65</v>
      </c>
      <c r="O116" s="6" t="s">
        <v>581</v>
      </c>
      <c r="P116" s="6"/>
      <c r="Q116" s="6"/>
      <c r="R116" s="6"/>
      <c r="S116" s="6"/>
      <c r="T116" s="6"/>
    </row>
    <row r="117" customFormat="false" ht="23.85" hidden="false" customHeight="false" outlineLevel="0" collapsed="false">
      <c r="A117" s="6" t="n">
        <v>116</v>
      </c>
      <c r="B117" s="6" t="s">
        <v>10</v>
      </c>
      <c r="C117" s="7" t="n">
        <v>0.34375</v>
      </c>
      <c r="D117" s="7"/>
      <c r="E117" s="6" t="s">
        <v>31</v>
      </c>
      <c r="F117" s="6" t="s">
        <v>31</v>
      </c>
      <c r="G117" s="6" t="s">
        <v>582</v>
      </c>
      <c r="H117" s="6" t="s">
        <v>209</v>
      </c>
      <c r="I117" s="6" t="s">
        <v>210</v>
      </c>
      <c r="J117" s="6" t="s">
        <v>211</v>
      </c>
      <c r="K117" s="6" t="n">
        <v>1</v>
      </c>
      <c r="L117" s="6"/>
      <c r="M117" s="6" t="s">
        <v>212</v>
      </c>
      <c r="N117" s="6" t="s">
        <v>65</v>
      </c>
      <c r="O117" s="6" t="s">
        <v>583</v>
      </c>
      <c r="P117" s="6"/>
      <c r="Q117" s="6"/>
      <c r="R117" s="6"/>
      <c r="S117" s="6"/>
      <c r="T117" s="6"/>
    </row>
    <row r="118" customFormat="false" ht="15" hidden="false" customHeight="false" outlineLevel="0" collapsed="false">
      <c r="A118" s="6" t="n">
        <v>117</v>
      </c>
      <c r="B118" s="6" t="s">
        <v>10</v>
      </c>
      <c r="C118" s="7" t="n">
        <v>0.381944444444444</v>
      </c>
      <c r="D118" s="7"/>
      <c r="E118" s="6" t="s">
        <v>14</v>
      </c>
      <c r="F118" s="6" t="s">
        <v>59</v>
      </c>
      <c r="G118" s="6" t="s">
        <v>584</v>
      </c>
      <c r="H118" s="6" t="s">
        <v>585</v>
      </c>
      <c r="I118" s="6" t="s">
        <v>586</v>
      </c>
      <c r="J118" s="6" t="s">
        <v>587</v>
      </c>
      <c r="K118" s="6" t="n">
        <v>1</v>
      </c>
      <c r="L118" s="6"/>
      <c r="M118" s="6" t="s">
        <v>588</v>
      </c>
      <c r="N118" s="6" t="s">
        <v>87</v>
      </c>
      <c r="O118" s="6" t="s">
        <v>589</v>
      </c>
      <c r="P118" s="6"/>
      <c r="Q118" s="6"/>
      <c r="R118" s="6"/>
      <c r="S118" s="6"/>
      <c r="T118" s="6"/>
    </row>
    <row r="119" customFormat="false" ht="23.85" hidden="false" customHeight="false" outlineLevel="0" collapsed="false">
      <c r="A119" s="6" t="n">
        <v>118</v>
      </c>
      <c r="B119" s="6" t="s">
        <v>10</v>
      </c>
      <c r="C119" s="7" t="n">
        <v>0.385416666666667</v>
      </c>
      <c r="D119" s="7"/>
      <c r="E119" s="6" t="s">
        <v>18</v>
      </c>
      <c r="F119" s="6" t="s">
        <v>59</v>
      </c>
      <c r="G119" s="6" t="s">
        <v>590</v>
      </c>
      <c r="H119" s="6" t="s">
        <v>591</v>
      </c>
      <c r="I119" s="6" t="s">
        <v>592</v>
      </c>
      <c r="J119" s="6" t="s">
        <v>593</v>
      </c>
      <c r="K119" s="6" t="n">
        <v>1</v>
      </c>
      <c r="L119" s="6"/>
      <c r="M119" s="6" t="s">
        <v>64</v>
      </c>
      <c r="N119" s="6" t="s">
        <v>65</v>
      </c>
      <c r="O119" s="6" t="s">
        <v>64</v>
      </c>
      <c r="P119" s="6"/>
      <c r="Q119" s="6"/>
      <c r="R119" s="6"/>
      <c r="S119" s="6"/>
      <c r="T119" s="6"/>
    </row>
    <row r="120" customFormat="false" ht="23.85" hidden="false" customHeight="false" outlineLevel="0" collapsed="false">
      <c r="A120" s="6" t="n">
        <v>119</v>
      </c>
      <c r="B120" s="6" t="s">
        <v>10</v>
      </c>
      <c r="C120" s="7" t="n">
        <v>0.388888888888889</v>
      </c>
      <c r="D120" s="7"/>
      <c r="E120" s="6" t="s">
        <v>18</v>
      </c>
      <c r="F120" s="6" t="s">
        <v>594</v>
      </c>
      <c r="G120" s="6" t="s">
        <v>595</v>
      </c>
      <c r="H120" s="6" t="s">
        <v>596</v>
      </c>
      <c r="I120" s="6" t="s">
        <v>597</v>
      </c>
      <c r="J120" s="6" t="s">
        <v>598</v>
      </c>
      <c r="K120" s="6" t="n">
        <v>2</v>
      </c>
      <c r="L120" s="6"/>
      <c r="M120" s="6" t="s">
        <v>64</v>
      </c>
      <c r="N120" s="6" t="s">
        <v>65</v>
      </c>
      <c r="O120" s="6" t="s">
        <v>64</v>
      </c>
      <c r="P120" s="6"/>
      <c r="Q120" s="6"/>
      <c r="R120" s="6"/>
      <c r="S120" s="6"/>
      <c r="T120" s="6"/>
    </row>
    <row r="121" customFormat="false" ht="23.85" hidden="false" customHeight="false" outlineLevel="0" collapsed="false">
      <c r="A121" s="6" t="n">
        <v>120</v>
      </c>
      <c r="B121" s="6" t="s">
        <v>10</v>
      </c>
      <c r="C121" s="7" t="n">
        <v>0.388888888888889</v>
      </c>
      <c r="D121" s="7"/>
      <c r="E121" s="6" t="s">
        <v>14</v>
      </c>
      <c r="F121" s="6" t="s">
        <v>594</v>
      </c>
      <c r="G121" s="6" t="s">
        <v>599</v>
      </c>
      <c r="H121" s="6" t="s">
        <v>600</v>
      </c>
      <c r="I121" s="6" t="s">
        <v>601</v>
      </c>
      <c r="J121" s="6" t="s">
        <v>602</v>
      </c>
      <c r="K121" s="6" t="n">
        <v>2</v>
      </c>
      <c r="L121" s="6"/>
      <c r="M121" s="6" t="s">
        <v>588</v>
      </c>
      <c r="N121" s="6" t="s">
        <v>87</v>
      </c>
      <c r="O121" s="6" t="s">
        <v>588</v>
      </c>
      <c r="P121" s="6"/>
      <c r="Q121" s="6"/>
      <c r="R121" s="6"/>
      <c r="S121" s="6"/>
      <c r="T121" s="6"/>
    </row>
    <row r="122" customFormat="false" ht="23.85" hidden="false" customHeight="false" outlineLevel="0" collapsed="false">
      <c r="A122" s="6" t="n">
        <v>121</v>
      </c>
      <c r="B122" s="6" t="s">
        <v>10</v>
      </c>
      <c r="C122" s="7" t="n">
        <v>0.395833333333333</v>
      </c>
      <c r="D122" s="7"/>
      <c r="E122" s="6" t="s">
        <v>14</v>
      </c>
      <c r="F122" s="6" t="s">
        <v>594</v>
      </c>
      <c r="G122" s="6" t="s">
        <v>603</v>
      </c>
      <c r="H122" s="6" t="s">
        <v>604</v>
      </c>
      <c r="I122" s="6" t="s">
        <v>605</v>
      </c>
      <c r="J122" s="6" t="s">
        <v>606</v>
      </c>
      <c r="K122" s="6" t="n">
        <v>2</v>
      </c>
      <c r="L122" s="6"/>
      <c r="M122" s="6" t="s">
        <v>588</v>
      </c>
      <c r="N122" s="6" t="s">
        <v>87</v>
      </c>
      <c r="O122" s="6" t="s">
        <v>588</v>
      </c>
      <c r="P122" s="6"/>
      <c r="Q122" s="6"/>
      <c r="R122" s="6"/>
      <c r="S122" s="6"/>
      <c r="T122" s="6"/>
    </row>
    <row r="123" customFormat="false" ht="35.05" hidden="false" customHeight="false" outlineLevel="0" collapsed="false">
      <c r="A123" s="6" t="n">
        <v>122</v>
      </c>
      <c r="B123" s="6" t="s">
        <v>10</v>
      </c>
      <c r="C123" s="7" t="n">
        <v>0.395833333333333</v>
      </c>
      <c r="D123" s="7"/>
      <c r="E123" s="6" t="s">
        <v>18</v>
      </c>
      <c r="F123" s="6" t="s">
        <v>594</v>
      </c>
      <c r="G123" s="6" t="s">
        <v>607</v>
      </c>
      <c r="H123" s="6" t="s">
        <v>608</v>
      </c>
      <c r="I123" s="6" t="s">
        <v>609</v>
      </c>
      <c r="J123" s="6" t="s">
        <v>610</v>
      </c>
      <c r="K123" s="6" t="n">
        <v>2</v>
      </c>
      <c r="L123" s="6"/>
      <c r="M123" s="6" t="s">
        <v>64</v>
      </c>
      <c r="N123" s="6" t="s">
        <v>65</v>
      </c>
      <c r="O123" s="6" t="s">
        <v>64</v>
      </c>
      <c r="P123" s="6"/>
      <c r="Q123" s="6"/>
      <c r="R123" s="6"/>
      <c r="S123" s="6"/>
      <c r="T123" s="6"/>
    </row>
    <row r="124" customFormat="false" ht="35.05" hidden="false" customHeight="false" outlineLevel="0" collapsed="false">
      <c r="A124" s="6" t="n">
        <v>123</v>
      </c>
      <c r="B124" s="6" t="s">
        <v>10</v>
      </c>
      <c r="C124" s="7" t="n">
        <v>0.402777777777778</v>
      </c>
      <c r="D124" s="7"/>
      <c r="E124" s="6" t="s">
        <v>18</v>
      </c>
      <c r="F124" s="6" t="s">
        <v>594</v>
      </c>
      <c r="G124" s="6" t="s">
        <v>611</v>
      </c>
      <c r="H124" s="6" t="s">
        <v>612</v>
      </c>
      <c r="I124" s="6" t="s">
        <v>613</v>
      </c>
      <c r="J124" s="6" t="s">
        <v>614</v>
      </c>
      <c r="K124" s="6" t="n">
        <v>2</v>
      </c>
      <c r="L124" s="6"/>
      <c r="M124" s="6" t="s">
        <v>64</v>
      </c>
      <c r="N124" s="6" t="s">
        <v>65</v>
      </c>
      <c r="O124" s="6" t="s">
        <v>64</v>
      </c>
      <c r="P124" s="6"/>
      <c r="Q124" s="6"/>
      <c r="R124" s="6"/>
      <c r="S124" s="6"/>
      <c r="T124" s="6"/>
    </row>
    <row r="125" customFormat="false" ht="23.85" hidden="false" customHeight="false" outlineLevel="0" collapsed="false">
      <c r="A125" s="6" t="n">
        <v>124</v>
      </c>
      <c r="B125" s="6" t="s">
        <v>10</v>
      </c>
      <c r="C125" s="7" t="n">
        <v>0.402777777777778</v>
      </c>
      <c r="D125" s="7"/>
      <c r="E125" s="6" t="s">
        <v>14</v>
      </c>
      <c r="F125" s="6" t="s">
        <v>594</v>
      </c>
      <c r="G125" s="6" t="s">
        <v>615</v>
      </c>
      <c r="H125" s="6" t="s">
        <v>616</v>
      </c>
      <c r="I125" s="6" t="s">
        <v>617</v>
      </c>
      <c r="J125" s="6" t="s">
        <v>618</v>
      </c>
      <c r="K125" s="6" t="n">
        <v>2</v>
      </c>
      <c r="L125" s="6"/>
      <c r="M125" s="6" t="s">
        <v>588</v>
      </c>
      <c r="N125" s="6" t="s">
        <v>87</v>
      </c>
      <c r="O125" s="6" t="s">
        <v>588</v>
      </c>
      <c r="P125" s="6"/>
      <c r="Q125" s="6"/>
      <c r="R125" s="6"/>
      <c r="S125" s="6"/>
      <c r="T125" s="6"/>
    </row>
    <row r="126" customFormat="false" ht="68.65" hidden="false" customHeight="false" outlineLevel="0" collapsed="false">
      <c r="A126" s="6" t="n">
        <v>125</v>
      </c>
      <c r="B126" s="6" t="s">
        <v>10</v>
      </c>
      <c r="C126" s="7" t="n">
        <v>0.409722222222222</v>
      </c>
      <c r="D126" s="7"/>
      <c r="E126" s="6" t="s">
        <v>14</v>
      </c>
      <c r="F126" s="6" t="s">
        <v>134</v>
      </c>
      <c r="G126" s="6" t="s">
        <v>619</v>
      </c>
      <c r="H126" s="6" t="s">
        <v>620</v>
      </c>
      <c r="I126" s="6" t="s">
        <v>621</v>
      </c>
      <c r="J126" s="6" t="s">
        <v>622</v>
      </c>
      <c r="K126" s="6" t="n">
        <v>3</v>
      </c>
      <c r="L126" s="6" t="n">
        <v>1</v>
      </c>
      <c r="M126" s="6" t="s">
        <v>588</v>
      </c>
      <c r="N126" s="6" t="s">
        <v>87</v>
      </c>
      <c r="O126" s="6" t="s">
        <v>588</v>
      </c>
      <c r="P126" s="6" t="s">
        <v>623</v>
      </c>
      <c r="Q126" s="6"/>
      <c r="R126" s="6"/>
      <c r="S126" s="6"/>
      <c r="T126" s="6"/>
    </row>
    <row r="127" customFormat="false" ht="23.85" hidden="false" customHeight="false" outlineLevel="0" collapsed="false">
      <c r="A127" s="6" t="n">
        <v>126</v>
      </c>
      <c r="B127" s="6" t="s">
        <v>10</v>
      </c>
      <c r="C127" s="7" t="n">
        <v>0.409722222222222</v>
      </c>
      <c r="D127" s="7"/>
      <c r="E127" s="6" t="s">
        <v>18</v>
      </c>
      <c r="F127" s="6" t="s">
        <v>594</v>
      </c>
      <c r="G127" s="6" t="s">
        <v>624</v>
      </c>
      <c r="H127" s="6" t="s">
        <v>625</v>
      </c>
      <c r="I127" s="6" t="s">
        <v>626</v>
      </c>
      <c r="J127" s="6" t="s">
        <v>627</v>
      </c>
      <c r="K127" s="6" t="n">
        <v>2</v>
      </c>
      <c r="L127" s="6"/>
      <c r="M127" s="6" t="s">
        <v>64</v>
      </c>
      <c r="N127" s="6" t="s">
        <v>65</v>
      </c>
      <c r="O127" s="6" t="s">
        <v>64</v>
      </c>
      <c r="P127" s="6"/>
      <c r="Q127" s="6"/>
      <c r="R127" s="6"/>
      <c r="S127" s="6"/>
      <c r="T127" s="6"/>
    </row>
    <row r="128" customFormat="false" ht="113.4" hidden="false" customHeight="false" outlineLevel="0" collapsed="false">
      <c r="A128" s="6" t="n">
        <v>127</v>
      </c>
      <c r="B128" s="6" t="s">
        <v>10</v>
      </c>
      <c r="C128" s="7" t="n">
        <v>0.416666666666667</v>
      </c>
      <c r="D128" s="7"/>
      <c r="E128" s="6" t="s">
        <v>18</v>
      </c>
      <c r="F128" s="6" t="s">
        <v>134</v>
      </c>
      <c r="G128" s="6" t="s">
        <v>628</v>
      </c>
      <c r="H128" s="6" t="s">
        <v>629</v>
      </c>
      <c r="I128" s="6" t="s">
        <v>630</v>
      </c>
      <c r="J128" s="6" t="s">
        <v>631</v>
      </c>
      <c r="K128" s="6" t="n">
        <v>3</v>
      </c>
      <c r="L128" s="6" t="n">
        <v>2</v>
      </c>
      <c r="M128" s="6" t="s">
        <v>64</v>
      </c>
      <c r="N128" s="6" t="s">
        <v>65</v>
      </c>
      <c r="O128" s="6" t="s">
        <v>64</v>
      </c>
      <c r="P128" s="6" t="s">
        <v>632</v>
      </c>
      <c r="Q128" s="6"/>
      <c r="R128" s="6"/>
      <c r="S128" s="6"/>
      <c r="T128" s="6"/>
    </row>
    <row r="129" customFormat="false" ht="23.85" hidden="false" customHeight="false" outlineLevel="0" collapsed="false">
      <c r="A129" s="6" t="n">
        <v>128</v>
      </c>
      <c r="B129" s="6" t="s">
        <v>10</v>
      </c>
      <c r="C129" s="7" t="n">
        <v>0.447916666666667</v>
      </c>
      <c r="D129" s="7" t="n">
        <v>0.479166666666667</v>
      </c>
      <c r="E129" s="6" t="s">
        <v>35</v>
      </c>
      <c r="F129" s="6" t="s">
        <v>35</v>
      </c>
      <c r="G129" s="6" t="s">
        <v>633</v>
      </c>
      <c r="H129" s="6" t="s">
        <v>634</v>
      </c>
      <c r="I129" s="6" t="s">
        <v>635</v>
      </c>
      <c r="J129" s="6"/>
      <c r="K129" s="6" t="n">
        <v>2</v>
      </c>
      <c r="L129" s="6"/>
      <c r="M129" s="6" t="s">
        <v>580</v>
      </c>
      <c r="N129" s="6" t="s">
        <v>65</v>
      </c>
      <c r="O129" s="6" t="s">
        <v>636</v>
      </c>
      <c r="P129" s="6"/>
      <c r="Q129" s="6" t="n">
        <v>36</v>
      </c>
      <c r="R129" s="6" t="n">
        <v>40</v>
      </c>
      <c r="S129" s="6" t="n">
        <f aca="false">R129-Q129</f>
        <v>4</v>
      </c>
      <c r="T129" s="6" t="s">
        <v>637</v>
      </c>
    </row>
    <row r="130" customFormat="false" ht="23.85" hidden="false" customHeight="false" outlineLevel="0" collapsed="false">
      <c r="A130" s="6" t="n">
        <v>129</v>
      </c>
      <c r="B130" s="6" t="s">
        <v>10</v>
      </c>
      <c r="C130" s="7" t="n">
        <v>0.447916666666667</v>
      </c>
      <c r="D130" s="7" t="n">
        <v>0.479166666666667</v>
      </c>
      <c r="E130" s="6" t="s">
        <v>35</v>
      </c>
      <c r="F130" s="6" t="s">
        <v>35</v>
      </c>
      <c r="G130" s="6" t="s">
        <v>638</v>
      </c>
      <c r="H130" s="6" t="s">
        <v>639</v>
      </c>
      <c r="I130" s="6" t="s">
        <v>640</v>
      </c>
      <c r="J130" s="6"/>
      <c r="K130" s="6" t="n">
        <v>2</v>
      </c>
      <c r="L130" s="6"/>
      <c r="M130" s="6" t="s">
        <v>580</v>
      </c>
      <c r="N130" s="6" t="s">
        <v>65</v>
      </c>
      <c r="O130" s="6" t="s">
        <v>636</v>
      </c>
      <c r="P130" s="6"/>
      <c r="Q130" s="6" t="n">
        <v>12</v>
      </c>
      <c r="R130" s="6" t="n">
        <v>40</v>
      </c>
      <c r="S130" s="6" t="n">
        <f aca="false">R130-Q130</f>
        <v>28</v>
      </c>
      <c r="T130" s="6" t="s">
        <v>637</v>
      </c>
    </row>
    <row r="131" customFormat="false" ht="23.85" hidden="false" customHeight="false" outlineLevel="0" collapsed="false">
      <c r="A131" s="6" t="n">
        <v>130</v>
      </c>
      <c r="B131" s="6" t="s">
        <v>10</v>
      </c>
      <c r="C131" s="7" t="n">
        <v>0.447916666666667</v>
      </c>
      <c r="D131" s="7" t="n">
        <v>0.479166666666667</v>
      </c>
      <c r="E131" s="6" t="s">
        <v>35</v>
      </c>
      <c r="F131" s="6" t="s">
        <v>35</v>
      </c>
      <c r="G131" s="6" t="s">
        <v>641</v>
      </c>
      <c r="H131" s="6" t="s">
        <v>642</v>
      </c>
      <c r="I131" s="6" t="s">
        <v>643</v>
      </c>
      <c r="J131" s="6"/>
      <c r="K131" s="6" t="n">
        <v>2</v>
      </c>
      <c r="L131" s="6"/>
      <c r="M131" s="6" t="s">
        <v>580</v>
      </c>
      <c r="N131" s="6" t="s">
        <v>65</v>
      </c>
      <c r="O131" s="6" t="s">
        <v>636</v>
      </c>
      <c r="P131" s="6"/>
      <c r="Q131" s="6" t="n">
        <v>50</v>
      </c>
      <c r="R131" s="6" t="n">
        <v>50</v>
      </c>
      <c r="S131" s="6" t="n">
        <f aca="false">R131-Q131</f>
        <v>0</v>
      </c>
      <c r="T131" s="6" t="s">
        <v>644</v>
      </c>
    </row>
    <row r="132" customFormat="false" ht="23.85" hidden="false" customHeight="false" outlineLevel="0" collapsed="false">
      <c r="A132" s="6" t="n">
        <v>131</v>
      </c>
      <c r="B132" s="6" t="s">
        <v>10</v>
      </c>
      <c r="C132" s="7" t="n">
        <v>0.447916666666667</v>
      </c>
      <c r="D132" s="7" t="n">
        <v>0.479166666666667</v>
      </c>
      <c r="E132" s="6" t="s">
        <v>35</v>
      </c>
      <c r="F132" s="6" t="s">
        <v>35</v>
      </c>
      <c r="G132" s="6" t="s">
        <v>645</v>
      </c>
      <c r="H132" s="6" t="s">
        <v>646</v>
      </c>
      <c r="I132" s="6" t="s">
        <v>647</v>
      </c>
      <c r="J132" s="6"/>
      <c r="K132" s="6" t="n">
        <v>2</v>
      </c>
      <c r="L132" s="6"/>
      <c r="M132" s="6" t="s">
        <v>580</v>
      </c>
      <c r="N132" s="6" t="s">
        <v>65</v>
      </c>
      <c r="O132" s="6" t="s">
        <v>636</v>
      </c>
      <c r="P132" s="6"/>
      <c r="Q132" s="6" t="n">
        <v>7</v>
      </c>
      <c r="R132" s="6" t="n">
        <v>40</v>
      </c>
      <c r="S132" s="6" t="n">
        <f aca="false">R132-Q132</f>
        <v>33</v>
      </c>
      <c r="T132" s="6" t="s">
        <v>637</v>
      </c>
    </row>
    <row r="133" customFormat="false" ht="35.05" hidden="false" customHeight="false" outlineLevel="0" collapsed="false">
      <c r="A133" s="6" t="n">
        <v>132</v>
      </c>
      <c r="B133" s="6" t="s">
        <v>10</v>
      </c>
      <c r="C133" s="7" t="n">
        <v>0.447916666666667</v>
      </c>
      <c r="D133" s="7" t="n">
        <v>0.479166666666667</v>
      </c>
      <c r="E133" s="6" t="s">
        <v>35</v>
      </c>
      <c r="F133" s="6" t="s">
        <v>35</v>
      </c>
      <c r="G133" s="6" t="s">
        <v>648</v>
      </c>
      <c r="H133" s="6" t="s">
        <v>649</v>
      </c>
      <c r="I133" s="6" t="s">
        <v>649</v>
      </c>
      <c r="J133" s="6"/>
      <c r="K133" s="6" t="n">
        <v>1</v>
      </c>
      <c r="L133" s="6"/>
      <c r="M133" s="6" t="s">
        <v>580</v>
      </c>
      <c r="N133" s="6" t="s">
        <v>65</v>
      </c>
      <c r="O133" s="6" t="s">
        <v>636</v>
      </c>
      <c r="P133" s="6"/>
      <c r="Q133" s="6" t="n">
        <v>18</v>
      </c>
      <c r="R133" s="6" t="n">
        <v>40</v>
      </c>
      <c r="S133" s="6" t="n">
        <f aca="false">R133-Q133</f>
        <v>22</v>
      </c>
      <c r="T133" s="6" t="s">
        <v>637</v>
      </c>
    </row>
    <row r="134" customFormat="false" ht="23.85" hidden="false" customHeight="false" outlineLevel="0" collapsed="false">
      <c r="A134" s="6" t="n">
        <v>133</v>
      </c>
      <c r="B134" s="6" t="s">
        <v>10</v>
      </c>
      <c r="C134" s="7" t="n">
        <v>0.447916666666667</v>
      </c>
      <c r="D134" s="7" t="n">
        <v>0.479166666666667</v>
      </c>
      <c r="E134" s="6" t="s">
        <v>35</v>
      </c>
      <c r="F134" s="6" t="s">
        <v>35</v>
      </c>
      <c r="G134" s="6" t="s">
        <v>650</v>
      </c>
      <c r="H134" s="6" t="s">
        <v>651</v>
      </c>
      <c r="I134" s="6" t="s">
        <v>652</v>
      </c>
      <c r="J134" s="6"/>
      <c r="K134" s="6" t="n">
        <v>2</v>
      </c>
      <c r="L134" s="6"/>
      <c r="M134" s="6" t="s">
        <v>580</v>
      </c>
      <c r="N134" s="6" t="s">
        <v>65</v>
      </c>
      <c r="O134" s="6" t="s">
        <v>636</v>
      </c>
      <c r="P134" s="6"/>
      <c r="Q134" s="6" t="n">
        <v>1</v>
      </c>
      <c r="R134" s="6" t="n">
        <v>40</v>
      </c>
      <c r="S134" s="6" t="n">
        <f aca="false">R134-Q134</f>
        <v>39</v>
      </c>
      <c r="T134" s="6" t="s">
        <v>637</v>
      </c>
    </row>
    <row r="135" customFormat="false" ht="23.85" hidden="false" customHeight="false" outlineLevel="0" collapsed="false">
      <c r="A135" s="6" t="n">
        <v>134</v>
      </c>
      <c r="B135" s="6" t="s">
        <v>10</v>
      </c>
      <c r="C135" s="7" t="n">
        <v>0.447916666666667</v>
      </c>
      <c r="D135" s="7" t="n">
        <v>0.479166666666667</v>
      </c>
      <c r="E135" s="6" t="s">
        <v>35</v>
      </c>
      <c r="F135" s="6" t="s">
        <v>35</v>
      </c>
      <c r="G135" s="6" t="s">
        <v>653</v>
      </c>
      <c r="H135" s="6" t="s">
        <v>654</v>
      </c>
      <c r="I135" s="6" t="s">
        <v>655</v>
      </c>
      <c r="J135" s="6"/>
      <c r="K135" s="6" t="n">
        <v>2</v>
      </c>
      <c r="L135" s="6"/>
      <c r="M135" s="6" t="s">
        <v>580</v>
      </c>
      <c r="N135" s="6" t="s">
        <v>65</v>
      </c>
      <c r="O135" s="6" t="s">
        <v>636</v>
      </c>
      <c r="P135" s="6"/>
      <c r="Q135" s="6" t="n">
        <v>31</v>
      </c>
      <c r="R135" s="6" t="n">
        <v>40</v>
      </c>
      <c r="S135" s="6" t="n">
        <f aca="false">R135-Q135</f>
        <v>9</v>
      </c>
      <c r="T135" s="6" t="s">
        <v>637</v>
      </c>
    </row>
    <row r="136" customFormat="false" ht="35.05" hidden="false" customHeight="false" outlineLevel="0" collapsed="false">
      <c r="A136" s="6" t="n">
        <v>135</v>
      </c>
      <c r="B136" s="6" t="s">
        <v>10</v>
      </c>
      <c r="C136" s="7" t="n">
        <v>0.447916666666667</v>
      </c>
      <c r="D136" s="7" t="n">
        <v>0.479166666666667</v>
      </c>
      <c r="E136" s="6" t="s">
        <v>35</v>
      </c>
      <c r="F136" s="6" t="s">
        <v>35</v>
      </c>
      <c r="G136" s="6" t="s">
        <v>656</v>
      </c>
      <c r="H136" s="6" t="s">
        <v>657</v>
      </c>
      <c r="I136" s="6" t="s">
        <v>658</v>
      </c>
      <c r="J136" s="6"/>
      <c r="K136" s="6" t="n">
        <v>2</v>
      </c>
      <c r="L136" s="6"/>
      <c r="M136" s="6" t="s">
        <v>580</v>
      </c>
      <c r="N136" s="6" t="s">
        <v>65</v>
      </c>
      <c r="O136" s="6" t="s">
        <v>636</v>
      </c>
      <c r="P136" s="6"/>
      <c r="Q136" s="6" t="n">
        <v>40</v>
      </c>
      <c r="R136" s="6" t="n">
        <v>40</v>
      </c>
      <c r="S136" s="6" t="n">
        <f aca="false">R136-Q136</f>
        <v>0</v>
      </c>
      <c r="T136" s="6" t="s">
        <v>644</v>
      </c>
    </row>
    <row r="137" customFormat="false" ht="35.05" hidden="false" customHeight="false" outlineLevel="0" collapsed="false">
      <c r="A137" s="6" t="n">
        <v>136</v>
      </c>
      <c r="B137" s="6" t="s">
        <v>10</v>
      </c>
      <c r="C137" s="7" t="n">
        <v>0.447916666666667</v>
      </c>
      <c r="D137" s="7" t="n">
        <v>0.479166666666667</v>
      </c>
      <c r="E137" s="6" t="s">
        <v>35</v>
      </c>
      <c r="F137" s="6" t="s">
        <v>35</v>
      </c>
      <c r="G137" s="6" t="s">
        <v>659</v>
      </c>
      <c r="H137" s="6" t="s">
        <v>660</v>
      </c>
      <c r="I137" s="6" t="s">
        <v>660</v>
      </c>
      <c r="J137" s="6"/>
      <c r="K137" s="6" t="n">
        <v>1</v>
      </c>
      <c r="L137" s="6"/>
      <c r="M137" s="6" t="s">
        <v>580</v>
      </c>
      <c r="N137" s="6" t="s">
        <v>65</v>
      </c>
      <c r="O137" s="6" t="s">
        <v>636</v>
      </c>
      <c r="P137" s="6"/>
      <c r="Q137" s="6" t="n">
        <v>9</v>
      </c>
      <c r="R137" s="6" t="n">
        <v>40</v>
      </c>
      <c r="S137" s="6" t="n">
        <f aca="false">R137-Q137</f>
        <v>31</v>
      </c>
      <c r="T137" s="6" t="s">
        <v>637</v>
      </c>
    </row>
    <row r="138" customFormat="false" ht="23.85" hidden="false" customHeight="false" outlineLevel="0" collapsed="false">
      <c r="A138" s="6" t="n">
        <v>137</v>
      </c>
      <c r="B138" s="6" t="s">
        <v>10</v>
      </c>
      <c r="C138" s="7" t="n">
        <v>0.447916666666667</v>
      </c>
      <c r="D138" s="7" t="n">
        <v>0.479166666666667</v>
      </c>
      <c r="E138" s="6" t="s">
        <v>35</v>
      </c>
      <c r="F138" s="6" t="s">
        <v>35</v>
      </c>
      <c r="G138" s="6" t="s">
        <v>661</v>
      </c>
      <c r="H138" s="6" t="s">
        <v>662</v>
      </c>
      <c r="I138" s="6" t="s">
        <v>663</v>
      </c>
      <c r="J138" s="6"/>
      <c r="K138" s="6" t="n">
        <v>2</v>
      </c>
      <c r="L138" s="6"/>
      <c r="M138" s="6" t="s">
        <v>580</v>
      </c>
      <c r="N138" s="6" t="s">
        <v>65</v>
      </c>
      <c r="O138" s="6" t="s">
        <v>636</v>
      </c>
      <c r="P138" s="6"/>
      <c r="Q138" s="6" t="n">
        <v>26</v>
      </c>
      <c r="R138" s="6" t="n">
        <v>40</v>
      </c>
      <c r="S138" s="6" t="n">
        <f aca="false">R138-Q138</f>
        <v>14</v>
      </c>
      <c r="T138" s="6" t="s">
        <v>637</v>
      </c>
    </row>
    <row r="139" customFormat="false" ht="23.85" hidden="false" customHeight="false" outlineLevel="0" collapsed="false">
      <c r="A139" s="6" t="n">
        <v>138</v>
      </c>
      <c r="B139" s="6" t="s">
        <v>10</v>
      </c>
      <c r="C139" s="7" t="n">
        <v>0.447916666666667</v>
      </c>
      <c r="D139" s="7" t="n">
        <v>0.479166666666667</v>
      </c>
      <c r="E139" s="6" t="s">
        <v>35</v>
      </c>
      <c r="F139" s="6" t="s">
        <v>35</v>
      </c>
      <c r="G139" s="6" t="s">
        <v>664</v>
      </c>
      <c r="H139" s="6" t="s">
        <v>665</v>
      </c>
      <c r="I139" s="6" t="s">
        <v>666</v>
      </c>
      <c r="J139" s="6"/>
      <c r="K139" s="6" t="n">
        <v>2</v>
      </c>
      <c r="L139" s="6"/>
      <c r="M139" s="6" t="s">
        <v>580</v>
      </c>
      <c r="N139" s="6" t="s">
        <v>65</v>
      </c>
      <c r="O139" s="6" t="s">
        <v>636</v>
      </c>
      <c r="P139" s="6"/>
      <c r="Q139" s="6" t="n">
        <v>23</v>
      </c>
      <c r="R139" s="6" t="n">
        <v>40</v>
      </c>
      <c r="S139" s="6" t="n">
        <f aca="false">R139-Q139</f>
        <v>17</v>
      </c>
      <c r="T139" s="6" t="s">
        <v>667</v>
      </c>
    </row>
    <row r="140" customFormat="false" ht="35.05" hidden="false" customHeight="false" outlineLevel="0" collapsed="false">
      <c r="A140" s="6" t="n">
        <v>139</v>
      </c>
      <c r="B140" s="6" t="s">
        <v>10</v>
      </c>
      <c r="C140" s="7" t="n">
        <v>0.447916666666667</v>
      </c>
      <c r="D140" s="7" t="n">
        <v>0.479166666666667</v>
      </c>
      <c r="E140" s="6" t="s">
        <v>35</v>
      </c>
      <c r="F140" s="6" t="s">
        <v>35</v>
      </c>
      <c r="G140" s="6" t="s">
        <v>668</v>
      </c>
      <c r="H140" s="6" t="s">
        <v>669</v>
      </c>
      <c r="I140" s="6" t="s">
        <v>670</v>
      </c>
      <c r="J140" s="6"/>
      <c r="K140" s="6" t="n">
        <v>2</v>
      </c>
      <c r="L140" s="6"/>
      <c r="M140" s="6" t="s">
        <v>580</v>
      </c>
      <c r="N140" s="6" t="s">
        <v>65</v>
      </c>
      <c r="O140" s="6" t="s">
        <v>636</v>
      </c>
      <c r="P140" s="6"/>
      <c r="Q140" s="6" t="n">
        <v>13</v>
      </c>
      <c r="R140" s="6" t="n">
        <v>40</v>
      </c>
      <c r="S140" s="6" t="n">
        <f aca="false">R140-Q140</f>
        <v>27</v>
      </c>
      <c r="T140" s="6" t="s">
        <v>637</v>
      </c>
    </row>
    <row r="141" customFormat="false" ht="23.85" hidden="false" customHeight="false" outlineLevel="0" collapsed="false">
      <c r="A141" s="6" t="n">
        <v>140</v>
      </c>
      <c r="B141" s="6" t="s">
        <v>10</v>
      </c>
      <c r="C141" s="7" t="n">
        <v>0.447916666666667</v>
      </c>
      <c r="D141" s="7" t="n">
        <v>0.479166666666667</v>
      </c>
      <c r="E141" s="6" t="s">
        <v>35</v>
      </c>
      <c r="F141" s="6" t="s">
        <v>35</v>
      </c>
      <c r="G141" s="6" t="s">
        <v>671</v>
      </c>
      <c r="H141" s="6" t="s">
        <v>672</v>
      </c>
      <c r="I141" s="6" t="s">
        <v>673</v>
      </c>
      <c r="J141" s="6"/>
      <c r="K141" s="6" t="n">
        <v>2</v>
      </c>
      <c r="L141" s="6"/>
      <c r="M141" s="6" t="s">
        <v>580</v>
      </c>
      <c r="N141" s="6" t="s">
        <v>65</v>
      </c>
      <c r="O141" s="6" t="s">
        <v>636</v>
      </c>
      <c r="P141" s="6"/>
      <c r="Q141" s="6" t="n">
        <v>3</v>
      </c>
      <c r="R141" s="6" t="n">
        <v>40</v>
      </c>
      <c r="S141" s="6" t="n">
        <f aca="false">R141-Q141</f>
        <v>37</v>
      </c>
      <c r="T141" s="6" t="s">
        <v>637</v>
      </c>
    </row>
    <row r="142" customFormat="false" ht="35.05" hidden="false" customHeight="false" outlineLevel="0" collapsed="false">
      <c r="A142" s="6" t="n">
        <v>141</v>
      </c>
      <c r="B142" s="6" t="s">
        <v>10</v>
      </c>
      <c r="C142" s="7" t="n">
        <v>0.447916666666667</v>
      </c>
      <c r="D142" s="7" t="n">
        <v>0.479166666666667</v>
      </c>
      <c r="E142" s="6" t="s">
        <v>35</v>
      </c>
      <c r="F142" s="6" t="s">
        <v>35</v>
      </c>
      <c r="G142" s="6" t="s">
        <v>674</v>
      </c>
      <c r="H142" s="6" t="s">
        <v>675</v>
      </c>
      <c r="I142" s="6" t="s">
        <v>676</v>
      </c>
      <c r="J142" s="6"/>
      <c r="K142" s="6" t="n">
        <v>2</v>
      </c>
      <c r="L142" s="6"/>
      <c r="M142" s="6" t="s">
        <v>580</v>
      </c>
      <c r="N142" s="6" t="s">
        <v>65</v>
      </c>
      <c r="O142" s="6" t="s">
        <v>636</v>
      </c>
      <c r="P142" s="6"/>
      <c r="Q142" s="6" t="n">
        <v>4</v>
      </c>
      <c r="R142" s="6" t="n">
        <v>40</v>
      </c>
      <c r="S142" s="6" t="n">
        <f aca="false">R142-Q142</f>
        <v>36</v>
      </c>
      <c r="T142" s="6" t="s">
        <v>637</v>
      </c>
    </row>
    <row r="143" customFormat="false" ht="23.85" hidden="false" customHeight="false" outlineLevel="0" collapsed="false">
      <c r="A143" s="6" t="n">
        <v>142</v>
      </c>
      <c r="B143" s="6" t="s">
        <v>10</v>
      </c>
      <c r="C143" s="7" t="n">
        <v>0.447916666666667</v>
      </c>
      <c r="D143" s="7" t="n">
        <v>0.479166666666667</v>
      </c>
      <c r="E143" s="6" t="s">
        <v>35</v>
      </c>
      <c r="F143" s="6" t="s">
        <v>35</v>
      </c>
      <c r="G143" s="6" t="s">
        <v>677</v>
      </c>
      <c r="H143" s="6" t="s">
        <v>678</v>
      </c>
      <c r="I143" s="6" t="s">
        <v>679</v>
      </c>
      <c r="J143" s="6"/>
      <c r="K143" s="6" t="n">
        <v>2</v>
      </c>
      <c r="L143" s="6"/>
      <c r="M143" s="6" t="s">
        <v>580</v>
      </c>
      <c r="N143" s="6" t="s">
        <v>65</v>
      </c>
      <c r="O143" s="6" t="s">
        <v>636</v>
      </c>
      <c r="P143" s="6"/>
      <c r="Q143" s="6" t="n">
        <v>10</v>
      </c>
      <c r="R143" s="6" t="n">
        <v>40</v>
      </c>
      <c r="S143" s="6" t="n">
        <f aca="false">R143-Q143</f>
        <v>30</v>
      </c>
      <c r="T143" s="6" t="s">
        <v>637</v>
      </c>
    </row>
    <row r="144" customFormat="false" ht="23.85" hidden="false" customHeight="false" outlineLevel="0" collapsed="false">
      <c r="A144" s="6" t="n">
        <v>143</v>
      </c>
      <c r="B144" s="6" t="s">
        <v>10</v>
      </c>
      <c r="C144" s="7" t="n">
        <v>0.447916666666667</v>
      </c>
      <c r="D144" s="7" t="n">
        <v>0.479166666666667</v>
      </c>
      <c r="E144" s="6" t="s">
        <v>35</v>
      </c>
      <c r="F144" s="6" t="s">
        <v>35</v>
      </c>
      <c r="G144" s="6" t="s">
        <v>680</v>
      </c>
      <c r="H144" s="6" t="s">
        <v>681</v>
      </c>
      <c r="I144" s="6" t="s">
        <v>682</v>
      </c>
      <c r="J144" s="6"/>
      <c r="K144" s="6" t="n">
        <v>2</v>
      </c>
      <c r="L144" s="6"/>
      <c r="M144" s="6" t="s">
        <v>580</v>
      </c>
      <c r="N144" s="6" t="s">
        <v>65</v>
      </c>
      <c r="O144" s="6" t="s">
        <v>636</v>
      </c>
      <c r="P144" s="6"/>
      <c r="Q144" s="6" t="n">
        <v>9</v>
      </c>
      <c r="R144" s="6" t="n">
        <v>40</v>
      </c>
      <c r="S144" s="6" t="n">
        <f aca="false">R144-Q144</f>
        <v>31</v>
      </c>
      <c r="T144" s="6" t="s">
        <v>637</v>
      </c>
    </row>
    <row r="145" customFormat="false" ht="23.85" hidden="false" customHeight="false" outlineLevel="0" collapsed="false">
      <c r="A145" s="6" t="n">
        <v>144</v>
      </c>
      <c r="B145" s="6" t="s">
        <v>10</v>
      </c>
      <c r="C145" s="7" t="n">
        <v>0.447916666666667</v>
      </c>
      <c r="D145" s="7" t="n">
        <v>0.479166666666667</v>
      </c>
      <c r="E145" s="6" t="s">
        <v>35</v>
      </c>
      <c r="F145" s="6" t="s">
        <v>35</v>
      </c>
      <c r="G145" s="6" t="s">
        <v>683</v>
      </c>
      <c r="H145" s="6" t="s">
        <v>684</v>
      </c>
      <c r="I145" s="6" t="s">
        <v>685</v>
      </c>
      <c r="J145" s="6"/>
      <c r="K145" s="6" t="n">
        <v>2</v>
      </c>
      <c r="L145" s="6"/>
      <c r="M145" s="6" t="s">
        <v>580</v>
      </c>
      <c r="N145" s="6" t="s">
        <v>65</v>
      </c>
      <c r="O145" s="6" t="s">
        <v>636</v>
      </c>
      <c r="P145" s="6"/>
      <c r="Q145" s="6" t="n">
        <v>18</v>
      </c>
      <c r="R145" s="6" t="n">
        <v>40</v>
      </c>
      <c r="S145" s="6" t="n">
        <f aca="false">R145-Q145</f>
        <v>22</v>
      </c>
      <c r="T145" s="6" t="s">
        <v>637</v>
      </c>
    </row>
    <row r="146" customFormat="false" ht="23.85" hidden="false" customHeight="false" outlineLevel="0" collapsed="false">
      <c r="A146" s="6" t="n">
        <v>145</v>
      </c>
      <c r="B146" s="6" t="s">
        <v>10</v>
      </c>
      <c r="C146" s="7" t="n">
        <v>0.447916666666667</v>
      </c>
      <c r="D146" s="7" t="n">
        <v>0.479166666666667</v>
      </c>
      <c r="E146" s="6" t="s">
        <v>35</v>
      </c>
      <c r="F146" s="6" t="s">
        <v>35</v>
      </c>
      <c r="G146" s="6" t="s">
        <v>686</v>
      </c>
      <c r="H146" s="6" t="s">
        <v>687</v>
      </c>
      <c r="I146" s="6" t="s">
        <v>688</v>
      </c>
      <c r="J146" s="6"/>
      <c r="K146" s="6" t="n">
        <v>2</v>
      </c>
      <c r="L146" s="6"/>
      <c r="M146" s="6" t="s">
        <v>580</v>
      </c>
      <c r="N146" s="6" t="s">
        <v>65</v>
      </c>
      <c r="O146" s="6" t="s">
        <v>636</v>
      </c>
      <c r="P146" s="6"/>
      <c r="Q146" s="6" t="n">
        <v>4</v>
      </c>
      <c r="R146" s="6" t="n">
        <v>40</v>
      </c>
      <c r="S146" s="6" t="n">
        <f aca="false">R146-Q146</f>
        <v>36</v>
      </c>
      <c r="T146" s="6" t="s">
        <v>637</v>
      </c>
    </row>
    <row r="147" customFormat="false" ht="23.85" hidden="false" customHeight="false" outlineLevel="0" collapsed="false">
      <c r="A147" s="6" t="n">
        <v>146</v>
      </c>
      <c r="B147" s="6" t="s">
        <v>10</v>
      </c>
      <c r="C147" s="7" t="n">
        <v>0.447916666666667</v>
      </c>
      <c r="D147" s="7" t="n">
        <v>0.479166666666667</v>
      </c>
      <c r="E147" s="6" t="s">
        <v>35</v>
      </c>
      <c r="F147" s="6" t="s">
        <v>35</v>
      </c>
      <c r="G147" s="6" t="s">
        <v>689</v>
      </c>
      <c r="H147" s="6" t="s">
        <v>690</v>
      </c>
      <c r="I147" s="6" t="s">
        <v>691</v>
      </c>
      <c r="J147" s="6"/>
      <c r="K147" s="6" t="n">
        <v>2</v>
      </c>
      <c r="L147" s="6"/>
      <c r="M147" s="6" t="s">
        <v>580</v>
      </c>
      <c r="N147" s="6" t="s">
        <v>65</v>
      </c>
      <c r="O147" s="6" t="s">
        <v>636</v>
      </c>
      <c r="P147" s="6"/>
      <c r="Q147" s="6" t="n">
        <v>40</v>
      </c>
      <c r="R147" s="6" t="n">
        <v>40</v>
      </c>
      <c r="S147" s="6" t="n">
        <f aca="false">R147-Q147</f>
        <v>0</v>
      </c>
      <c r="T147" s="6" t="s">
        <v>644</v>
      </c>
    </row>
    <row r="148" customFormat="false" ht="35.05" hidden="false" customHeight="false" outlineLevel="0" collapsed="false">
      <c r="A148" s="6" t="n">
        <v>147</v>
      </c>
      <c r="B148" s="6" t="s">
        <v>10</v>
      </c>
      <c r="C148" s="7" t="n">
        <v>0.447916666666667</v>
      </c>
      <c r="D148" s="7" t="n">
        <v>0.479166666666667</v>
      </c>
      <c r="E148" s="6" t="s">
        <v>35</v>
      </c>
      <c r="F148" s="6" t="s">
        <v>35</v>
      </c>
      <c r="G148" s="6" t="s">
        <v>692</v>
      </c>
      <c r="H148" s="6" t="s">
        <v>693</v>
      </c>
      <c r="I148" s="6" t="s">
        <v>265</v>
      </c>
      <c r="J148" s="6"/>
      <c r="K148" s="6" t="n">
        <v>2</v>
      </c>
      <c r="L148" s="6"/>
      <c r="M148" s="6" t="s">
        <v>580</v>
      </c>
      <c r="N148" s="6" t="s">
        <v>65</v>
      </c>
      <c r="O148" s="6" t="s">
        <v>636</v>
      </c>
      <c r="P148" s="6"/>
      <c r="Q148" s="6" t="n">
        <v>10</v>
      </c>
      <c r="R148" s="6" t="n">
        <v>40</v>
      </c>
      <c r="S148" s="6" t="n">
        <f aca="false">R148-Q148</f>
        <v>30</v>
      </c>
      <c r="T148" s="6" t="s">
        <v>637</v>
      </c>
    </row>
    <row r="149" customFormat="false" ht="35.05" hidden="false" customHeight="false" outlineLevel="0" collapsed="false">
      <c r="A149" s="6" t="n">
        <v>148</v>
      </c>
      <c r="B149" s="6" t="s">
        <v>10</v>
      </c>
      <c r="C149" s="7" t="n">
        <v>0.479166666666667</v>
      </c>
      <c r="D149" s="7"/>
      <c r="E149" s="6" t="s">
        <v>31</v>
      </c>
      <c r="F149" s="6" t="s">
        <v>31</v>
      </c>
      <c r="G149" s="6" t="s">
        <v>694</v>
      </c>
      <c r="H149" s="6" t="s">
        <v>209</v>
      </c>
      <c r="I149" s="6" t="s">
        <v>210</v>
      </c>
      <c r="J149" s="6" t="s">
        <v>211</v>
      </c>
      <c r="K149" s="6" t="n">
        <v>1</v>
      </c>
      <c r="L149" s="6"/>
      <c r="M149" s="6" t="s">
        <v>212</v>
      </c>
      <c r="N149" s="6" t="s">
        <v>65</v>
      </c>
      <c r="O149" s="6" t="s">
        <v>583</v>
      </c>
      <c r="P149" s="6" t="s">
        <v>214</v>
      </c>
      <c r="Q149" s="6"/>
      <c r="R149" s="6"/>
      <c r="S149" s="6"/>
      <c r="T149" s="6"/>
    </row>
    <row r="150" customFormat="false" ht="15" hidden="false" customHeight="false" outlineLevel="0" collapsed="false">
      <c r="A150" s="6" t="n">
        <v>149</v>
      </c>
      <c r="B150" s="6" t="s">
        <v>10</v>
      </c>
      <c r="C150" s="7" t="n">
        <v>0.517361111111111</v>
      </c>
      <c r="D150" s="7"/>
      <c r="E150" s="6" t="s">
        <v>29</v>
      </c>
      <c r="F150" s="6" t="s">
        <v>695</v>
      </c>
      <c r="G150" s="6" t="s">
        <v>696</v>
      </c>
      <c r="H150" s="6" t="s">
        <v>697</v>
      </c>
      <c r="I150" s="6" t="s">
        <v>698</v>
      </c>
      <c r="J150" s="6" t="s">
        <v>699</v>
      </c>
      <c r="K150" s="6" t="n">
        <v>1</v>
      </c>
      <c r="L150" s="6"/>
      <c r="M150" s="6" t="s">
        <v>255</v>
      </c>
      <c r="N150" s="6" t="s">
        <v>87</v>
      </c>
      <c r="O150" s="6" t="s">
        <v>255</v>
      </c>
      <c r="P150" s="6"/>
      <c r="Q150" s="6"/>
      <c r="R150" s="6"/>
      <c r="S150" s="6"/>
      <c r="T150" s="6"/>
    </row>
    <row r="151" customFormat="false" ht="35.05" hidden="false" customHeight="false" outlineLevel="0" collapsed="false">
      <c r="A151" s="6" t="n">
        <v>150</v>
      </c>
      <c r="B151" s="6" t="s">
        <v>10</v>
      </c>
      <c r="C151" s="7" t="n">
        <v>0.520833333333333</v>
      </c>
      <c r="D151" s="7"/>
      <c r="E151" s="6" t="s">
        <v>37</v>
      </c>
      <c r="F151" s="6" t="s">
        <v>67</v>
      </c>
      <c r="G151" s="6" t="s">
        <v>700</v>
      </c>
      <c r="H151" s="6" t="s">
        <v>701</v>
      </c>
      <c r="I151" s="6" t="s">
        <v>702</v>
      </c>
      <c r="J151" s="6" t="s">
        <v>703</v>
      </c>
      <c r="K151" s="6" t="n">
        <v>2</v>
      </c>
      <c r="L151" s="6"/>
      <c r="M151" s="6" t="s">
        <v>97</v>
      </c>
      <c r="N151" s="6" t="s">
        <v>65</v>
      </c>
      <c r="O151" s="6" t="s">
        <v>97</v>
      </c>
      <c r="P151" s="6"/>
      <c r="Q151" s="6"/>
      <c r="R151" s="6"/>
      <c r="S151" s="6"/>
      <c r="T151" s="6"/>
    </row>
    <row r="152" customFormat="false" ht="15" hidden="false" customHeight="false" outlineLevel="0" collapsed="false">
      <c r="A152" s="6" t="n">
        <v>151</v>
      </c>
      <c r="B152" s="6" t="s">
        <v>10</v>
      </c>
      <c r="C152" s="7" t="n">
        <v>0.520833333333333</v>
      </c>
      <c r="D152" s="7"/>
      <c r="E152" s="6" t="s">
        <v>29</v>
      </c>
      <c r="F152" s="6" t="s">
        <v>59</v>
      </c>
      <c r="G152" s="6" t="s">
        <v>704</v>
      </c>
      <c r="H152" s="6" t="s">
        <v>705</v>
      </c>
      <c r="I152" s="6" t="s">
        <v>706</v>
      </c>
      <c r="J152" s="6" t="s">
        <v>707</v>
      </c>
      <c r="K152" s="6" t="n">
        <v>1</v>
      </c>
      <c r="L152" s="6"/>
      <c r="M152" s="6" t="s">
        <v>255</v>
      </c>
      <c r="N152" s="6" t="s">
        <v>87</v>
      </c>
      <c r="O152" s="6" t="s">
        <v>708</v>
      </c>
      <c r="P152" s="6"/>
      <c r="Q152" s="6"/>
      <c r="R152" s="6"/>
      <c r="S152" s="6"/>
      <c r="T152" s="6"/>
    </row>
    <row r="153" customFormat="false" ht="23.85" hidden="false" customHeight="false" outlineLevel="0" collapsed="false">
      <c r="A153" s="6" t="n">
        <v>152</v>
      </c>
      <c r="B153" s="6" t="s">
        <v>10</v>
      </c>
      <c r="C153" s="7" t="n">
        <v>0.524305555555556</v>
      </c>
      <c r="D153" s="7"/>
      <c r="E153" s="6" t="s">
        <v>13</v>
      </c>
      <c r="F153" s="6" t="s">
        <v>81</v>
      </c>
      <c r="G153" s="6" t="s">
        <v>709</v>
      </c>
      <c r="H153" s="6" t="s">
        <v>710</v>
      </c>
      <c r="I153" s="6" t="s">
        <v>711</v>
      </c>
      <c r="J153" s="6" t="s">
        <v>712</v>
      </c>
      <c r="K153" s="6" t="n">
        <v>1</v>
      </c>
      <c r="L153" s="6"/>
      <c r="M153" s="6" t="s">
        <v>114</v>
      </c>
      <c r="N153" s="6" t="s">
        <v>65</v>
      </c>
      <c r="O153" s="6" t="s">
        <v>713</v>
      </c>
      <c r="P153" s="6"/>
      <c r="Q153" s="6"/>
      <c r="R153" s="6"/>
      <c r="S153" s="6"/>
      <c r="T153" s="6"/>
    </row>
    <row r="154" customFormat="false" ht="202.95" hidden="false" customHeight="false" outlineLevel="0" collapsed="false">
      <c r="A154" s="6" t="n">
        <v>153</v>
      </c>
      <c r="B154" s="6" t="s">
        <v>10</v>
      </c>
      <c r="C154" s="7" t="n">
        <v>0.524305555555556</v>
      </c>
      <c r="D154" s="7"/>
      <c r="E154" s="6" t="s">
        <v>21</v>
      </c>
      <c r="F154" s="6" t="s">
        <v>215</v>
      </c>
      <c r="G154" s="6" t="s">
        <v>714</v>
      </c>
      <c r="H154" s="6" t="s">
        <v>715</v>
      </c>
      <c r="I154" s="6" t="s">
        <v>716</v>
      </c>
      <c r="J154" s="6" t="s">
        <v>717</v>
      </c>
      <c r="K154" s="6" t="n">
        <v>2</v>
      </c>
      <c r="L154" s="6"/>
      <c r="M154" s="6" t="s">
        <v>119</v>
      </c>
      <c r="N154" s="6" t="s">
        <v>87</v>
      </c>
      <c r="O154" s="6" t="s">
        <v>119</v>
      </c>
      <c r="P154" s="6" t="s">
        <v>718</v>
      </c>
      <c r="Q154" s="6"/>
      <c r="R154" s="6"/>
      <c r="S154" s="6"/>
      <c r="T154" s="6"/>
    </row>
    <row r="155" customFormat="false" ht="23.85" hidden="false" customHeight="false" outlineLevel="0" collapsed="false">
      <c r="A155" s="6" t="n">
        <v>154</v>
      </c>
      <c r="B155" s="6" t="s">
        <v>10</v>
      </c>
      <c r="C155" s="7" t="n">
        <v>0.524305555555556</v>
      </c>
      <c r="D155" s="7"/>
      <c r="E155" s="6" t="s">
        <v>29</v>
      </c>
      <c r="F155" s="6" t="s">
        <v>67</v>
      </c>
      <c r="G155" s="6" t="s">
        <v>719</v>
      </c>
      <c r="H155" s="6" t="s">
        <v>720</v>
      </c>
      <c r="I155" s="6" t="s">
        <v>721</v>
      </c>
      <c r="J155" s="6" t="s">
        <v>722</v>
      </c>
      <c r="K155" s="6" t="n">
        <v>2</v>
      </c>
      <c r="L155" s="6"/>
      <c r="M155" s="6" t="s">
        <v>255</v>
      </c>
      <c r="N155" s="6" t="s">
        <v>87</v>
      </c>
      <c r="O155" s="6" t="s">
        <v>723</v>
      </c>
      <c r="P155" s="6"/>
      <c r="Q155" s="6"/>
      <c r="R155" s="6"/>
      <c r="S155" s="6"/>
      <c r="T155" s="6"/>
    </row>
    <row r="156" customFormat="false" ht="35.05" hidden="false" customHeight="false" outlineLevel="0" collapsed="false">
      <c r="A156" s="6" t="n">
        <v>155</v>
      </c>
      <c r="B156" s="6" t="s">
        <v>10</v>
      </c>
      <c r="C156" s="7" t="n">
        <v>0.524305555555556</v>
      </c>
      <c r="D156" s="7"/>
      <c r="E156" s="6" t="s">
        <v>27</v>
      </c>
      <c r="F156" s="6" t="s">
        <v>81</v>
      </c>
      <c r="G156" s="6" t="s">
        <v>724</v>
      </c>
      <c r="H156" s="6" t="s">
        <v>725</v>
      </c>
      <c r="I156" s="6" t="s">
        <v>726</v>
      </c>
      <c r="J156" s="6" t="s">
        <v>727</v>
      </c>
      <c r="K156" s="6" t="n">
        <v>1</v>
      </c>
      <c r="L156" s="6"/>
      <c r="M156" s="6" t="s">
        <v>86</v>
      </c>
      <c r="N156" s="6" t="s">
        <v>87</v>
      </c>
      <c r="O156" s="6" t="s">
        <v>86</v>
      </c>
      <c r="P156" s="6"/>
      <c r="Q156" s="6"/>
      <c r="R156" s="6"/>
      <c r="S156" s="6"/>
      <c r="T156" s="6"/>
    </row>
    <row r="157" customFormat="false" ht="23.85" hidden="false" customHeight="false" outlineLevel="0" collapsed="false">
      <c r="A157" s="6" t="n">
        <v>156</v>
      </c>
      <c r="B157" s="6" t="s">
        <v>10</v>
      </c>
      <c r="C157" s="7" t="n">
        <v>0.524305555555556</v>
      </c>
      <c r="D157" s="7"/>
      <c r="E157" s="6" t="s">
        <v>23</v>
      </c>
      <c r="F157" s="6" t="s">
        <v>67</v>
      </c>
      <c r="G157" s="6" t="s">
        <v>728</v>
      </c>
      <c r="H157" s="6" t="s">
        <v>729</v>
      </c>
      <c r="I157" s="6" t="s">
        <v>730</v>
      </c>
      <c r="J157" s="6" t="s">
        <v>731</v>
      </c>
      <c r="K157" s="6" t="n">
        <v>2</v>
      </c>
      <c r="L157" s="6"/>
      <c r="M157" s="6" t="s">
        <v>732</v>
      </c>
      <c r="N157" s="6" t="s">
        <v>87</v>
      </c>
      <c r="O157" s="6" t="s">
        <v>733</v>
      </c>
      <c r="P157" s="6"/>
      <c r="Q157" s="6"/>
      <c r="R157" s="6"/>
      <c r="S157" s="6"/>
      <c r="T157" s="6"/>
    </row>
    <row r="158" customFormat="false" ht="23.85" hidden="false" customHeight="false" outlineLevel="0" collapsed="false">
      <c r="A158" s="6" t="n">
        <v>157</v>
      </c>
      <c r="B158" s="6" t="s">
        <v>10</v>
      </c>
      <c r="C158" s="7" t="n">
        <v>0.524305555555556</v>
      </c>
      <c r="D158" s="7"/>
      <c r="E158" s="6" t="s">
        <v>16</v>
      </c>
      <c r="F158" s="6" t="s">
        <v>81</v>
      </c>
      <c r="G158" s="6" t="s">
        <v>734</v>
      </c>
      <c r="H158" s="6" t="s">
        <v>735</v>
      </c>
      <c r="I158" s="6" t="s">
        <v>736</v>
      </c>
      <c r="J158" s="6" t="s">
        <v>737</v>
      </c>
      <c r="K158" s="6" t="n">
        <v>2</v>
      </c>
      <c r="L158" s="6"/>
      <c r="M158" s="6" t="s">
        <v>92</v>
      </c>
      <c r="N158" s="6" t="s">
        <v>65</v>
      </c>
      <c r="O158" s="6" t="s">
        <v>92</v>
      </c>
      <c r="P158" s="6"/>
      <c r="Q158" s="6"/>
      <c r="R158" s="6"/>
      <c r="S158" s="6"/>
      <c r="T158" s="6"/>
    </row>
    <row r="159" customFormat="false" ht="35.05" hidden="false" customHeight="false" outlineLevel="0" collapsed="false">
      <c r="A159" s="6" t="n">
        <v>158</v>
      </c>
      <c r="B159" s="6" t="s">
        <v>10</v>
      </c>
      <c r="C159" s="7" t="n">
        <v>0.524305555555556</v>
      </c>
      <c r="D159" s="7"/>
      <c r="E159" s="6" t="s">
        <v>15</v>
      </c>
      <c r="F159" s="6" t="s">
        <v>81</v>
      </c>
      <c r="G159" s="6" t="s">
        <v>738</v>
      </c>
      <c r="H159" s="6" t="s">
        <v>739</v>
      </c>
      <c r="I159" s="6" t="s">
        <v>740</v>
      </c>
      <c r="J159" s="6" t="s">
        <v>741</v>
      </c>
      <c r="K159" s="6" t="n">
        <v>1</v>
      </c>
      <c r="L159" s="6"/>
      <c r="M159" s="6" t="s">
        <v>64</v>
      </c>
      <c r="N159" s="6" t="s">
        <v>65</v>
      </c>
      <c r="O159" s="6" t="s">
        <v>64</v>
      </c>
      <c r="P159" s="6"/>
      <c r="Q159" s="6"/>
      <c r="R159" s="6"/>
      <c r="S159" s="6"/>
      <c r="T159" s="6"/>
    </row>
    <row r="160" customFormat="false" ht="35.05" hidden="false" customHeight="false" outlineLevel="0" collapsed="false">
      <c r="A160" s="6" t="n">
        <v>159</v>
      </c>
      <c r="B160" s="6" t="s">
        <v>10</v>
      </c>
      <c r="C160" s="7" t="n">
        <v>0.524305555555556</v>
      </c>
      <c r="D160" s="7"/>
      <c r="E160" s="6" t="s">
        <v>17</v>
      </c>
      <c r="F160" s="6" t="s">
        <v>81</v>
      </c>
      <c r="G160" s="6" t="s">
        <v>742</v>
      </c>
      <c r="H160" s="6" t="s">
        <v>743</v>
      </c>
      <c r="I160" s="6" t="s">
        <v>744</v>
      </c>
      <c r="J160" s="6" t="s">
        <v>745</v>
      </c>
      <c r="K160" s="6" t="n">
        <v>1</v>
      </c>
      <c r="L160" s="6"/>
      <c r="M160" s="6" t="s">
        <v>80</v>
      </c>
      <c r="N160" s="6" t="s">
        <v>65</v>
      </c>
      <c r="O160" s="6" t="s">
        <v>80</v>
      </c>
      <c r="P160" s="6"/>
      <c r="Q160" s="6"/>
      <c r="R160" s="6"/>
      <c r="S160" s="6"/>
      <c r="T160" s="6"/>
    </row>
    <row r="161" customFormat="false" ht="23.85" hidden="false" customHeight="false" outlineLevel="0" collapsed="false">
      <c r="A161" s="6" t="n">
        <v>160</v>
      </c>
      <c r="B161" s="6" t="s">
        <v>10</v>
      </c>
      <c r="C161" s="7" t="n">
        <v>0.524305555555556</v>
      </c>
      <c r="D161" s="7"/>
      <c r="E161" s="6" t="s">
        <v>33</v>
      </c>
      <c r="F161" s="6" t="s">
        <v>67</v>
      </c>
      <c r="G161" s="6" t="s">
        <v>746</v>
      </c>
      <c r="H161" s="6" t="s">
        <v>747</v>
      </c>
      <c r="I161" s="6" t="s">
        <v>748</v>
      </c>
      <c r="J161" s="6" t="s">
        <v>749</v>
      </c>
      <c r="K161" s="6" t="n">
        <v>2</v>
      </c>
      <c r="L161" s="6"/>
      <c r="M161" s="6" t="s">
        <v>103</v>
      </c>
      <c r="N161" s="6" t="s">
        <v>87</v>
      </c>
      <c r="O161" s="6" t="s">
        <v>103</v>
      </c>
      <c r="P161" s="6"/>
      <c r="Q161" s="6"/>
      <c r="R161" s="6"/>
      <c r="S161" s="6"/>
      <c r="T161" s="6"/>
    </row>
    <row r="162" customFormat="false" ht="23.85" hidden="false" customHeight="false" outlineLevel="0" collapsed="false">
      <c r="A162" s="6" t="n">
        <v>161</v>
      </c>
      <c r="B162" s="6" t="s">
        <v>10</v>
      </c>
      <c r="C162" s="7" t="n">
        <v>0.524305555555556</v>
      </c>
      <c r="D162" s="7"/>
      <c r="E162" s="6" t="s">
        <v>32</v>
      </c>
      <c r="F162" s="6" t="s">
        <v>81</v>
      </c>
      <c r="G162" s="6" t="s">
        <v>750</v>
      </c>
      <c r="H162" s="6" t="s">
        <v>751</v>
      </c>
      <c r="I162" s="6" t="s">
        <v>752</v>
      </c>
      <c r="J162" s="6" t="s">
        <v>388</v>
      </c>
      <c r="K162" s="6" t="n">
        <v>1</v>
      </c>
      <c r="L162" s="6"/>
      <c r="M162" s="6" t="s">
        <v>108</v>
      </c>
      <c r="N162" s="6" t="s">
        <v>87</v>
      </c>
      <c r="O162" s="6" t="s">
        <v>109</v>
      </c>
      <c r="P162" s="6"/>
      <c r="Q162" s="6"/>
      <c r="R162" s="6"/>
      <c r="S162" s="6"/>
      <c r="T162" s="6"/>
    </row>
    <row r="163" customFormat="false" ht="23.85" hidden="false" customHeight="false" outlineLevel="0" collapsed="false">
      <c r="A163" s="6" t="n">
        <v>162</v>
      </c>
      <c r="B163" s="6" t="s">
        <v>10</v>
      </c>
      <c r="C163" s="7" t="n">
        <v>0.527777777777778</v>
      </c>
      <c r="D163" s="7"/>
      <c r="E163" s="6" t="s">
        <v>14</v>
      </c>
      <c r="F163" s="6" t="s">
        <v>594</v>
      </c>
      <c r="G163" s="6" t="s">
        <v>753</v>
      </c>
      <c r="H163" s="6" t="s">
        <v>754</v>
      </c>
      <c r="I163" s="6" t="s">
        <v>755</v>
      </c>
      <c r="J163" s="6" t="s">
        <v>756</v>
      </c>
      <c r="K163" s="6" t="n">
        <v>2</v>
      </c>
      <c r="L163" s="6"/>
      <c r="M163" s="6" t="s">
        <v>588</v>
      </c>
      <c r="N163" s="6" t="s">
        <v>87</v>
      </c>
      <c r="O163" s="6" t="s">
        <v>588</v>
      </c>
      <c r="P163" s="6"/>
      <c r="Q163" s="6"/>
      <c r="R163" s="6"/>
      <c r="S163" s="6"/>
      <c r="T163" s="6"/>
    </row>
    <row r="164" customFormat="false" ht="23.85" hidden="false" customHeight="false" outlineLevel="0" collapsed="false">
      <c r="A164" s="6" t="n">
        <v>163</v>
      </c>
      <c r="B164" s="6" t="s">
        <v>10</v>
      </c>
      <c r="C164" s="7" t="n">
        <v>0.527777777777778</v>
      </c>
      <c r="D164" s="7"/>
      <c r="E164" s="6" t="s">
        <v>36</v>
      </c>
      <c r="F164" s="6" t="s">
        <v>156</v>
      </c>
      <c r="G164" s="6" t="s">
        <v>757</v>
      </c>
      <c r="H164" s="6" t="s">
        <v>758</v>
      </c>
      <c r="I164" s="6" t="s">
        <v>759</v>
      </c>
      <c r="J164" s="6" t="s">
        <v>760</v>
      </c>
      <c r="K164" s="6" t="n">
        <v>1</v>
      </c>
      <c r="L164" s="6"/>
      <c r="M164" s="6" t="s">
        <v>36</v>
      </c>
      <c r="N164" s="6"/>
      <c r="O164" s="6" t="s">
        <v>36</v>
      </c>
      <c r="P164" s="6"/>
      <c r="Q164" s="6"/>
      <c r="R164" s="6"/>
      <c r="S164" s="6"/>
      <c r="T164" s="6"/>
    </row>
    <row r="165" customFormat="false" ht="23.85" hidden="false" customHeight="false" outlineLevel="0" collapsed="false">
      <c r="A165" s="6" t="n">
        <v>164</v>
      </c>
      <c r="B165" s="6" t="s">
        <v>10</v>
      </c>
      <c r="C165" s="7" t="n">
        <v>0.53125</v>
      </c>
      <c r="D165" s="7"/>
      <c r="E165" s="6" t="s">
        <v>37</v>
      </c>
      <c r="F165" s="6" t="s">
        <v>81</v>
      </c>
      <c r="G165" s="6" t="s">
        <v>761</v>
      </c>
      <c r="H165" s="6" t="s">
        <v>762</v>
      </c>
      <c r="I165" s="6" t="s">
        <v>763</v>
      </c>
      <c r="J165" s="6" t="s">
        <v>764</v>
      </c>
      <c r="K165" s="6" t="n">
        <v>1</v>
      </c>
      <c r="L165" s="6"/>
      <c r="M165" s="6" t="s">
        <v>97</v>
      </c>
      <c r="N165" s="6" t="s">
        <v>65</v>
      </c>
      <c r="O165" s="6" t="s">
        <v>97</v>
      </c>
      <c r="P165" s="6"/>
      <c r="Q165" s="6"/>
      <c r="R165" s="6"/>
      <c r="S165" s="6"/>
      <c r="T165" s="6"/>
    </row>
    <row r="166" customFormat="false" ht="23.85" hidden="false" customHeight="false" outlineLevel="0" collapsed="false">
      <c r="A166" s="6" t="n">
        <v>165</v>
      </c>
      <c r="B166" s="6" t="s">
        <v>10</v>
      </c>
      <c r="C166" s="7" t="n">
        <v>0.534722222222222</v>
      </c>
      <c r="D166" s="7"/>
      <c r="E166" s="6" t="s">
        <v>13</v>
      </c>
      <c r="F166" s="6" t="s">
        <v>215</v>
      </c>
      <c r="G166" s="6" t="s">
        <v>765</v>
      </c>
      <c r="H166" s="6" t="s">
        <v>766</v>
      </c>
      <c r="I166" s="6" t="s">
        <v>767</v>
      </c>
      <c r="J166" s="6" t="s">
        <v>768</v>
      </c>
      <c r="K166" s="6" t="n">
        <v>1</v>
      </c>
      <c r="L166" s="6"/>
      <c r="M166" s="6" t="s">
        <v>114</v>
      </c>
      <c r="N166" s="6" t="s">
        <v>65</v>
      </c>
      <c r="O166" s="6" t="s">
        <v>114</v>
      </c>
      <c r="P166" s="6"/>
      <c r="Q166" s="6"/>
      <c r="R166" s="6"/>
      <c r="S166" s="6"/>
      <c r="T166" s="6"/>
    </row>
    <row r="167" customFormat="false" ht="35.05" hidden="false" customHeight="false" outlineLevel="0" collapsed="false">
      <c r="A167" s="6" t="n">
        <v>166</v>
      </c>
      <c r="B167" s="6" t="s">
        <v>10</v>
      </c>
      <c r="C167" s="7" t="n">
        <v>0.534722222222222</v>
      </c>
      <c r="D167" s="7"/>
      <c r="E167" s="6" t="s">
        <v>21</v>
      </c>
      <c r="F167" s="6" t="s">
        <v>81</v>
      </c>
      <c r="G167" s="6" t="s">
        <v>769</v>
      </c>
      <c r="H167" s="6" t="s">
        <v>770</v>
      </c>
      <c r="I167" s="6" t="s">
        <v>771</v>
      </c>
      <c r="J167" s="6" t="s">
        <v>772</v>
      </c>
      <c r="K167" s="6" t="n">
        <v>2</v>
      </c>
      <c r="L167" s="6"/>
      <c r="M167" s="6" t="s">
        <v>119</v>
      </c>
      <c r="N167" s="6" t="s">
        <v>87</v>
      </c>
      <c r="O167" s="6" t="s">
        <v>773</v>
      </c>
      <c r="P167" s="6"/>
      <c r="Q167" s="6"/>
      <c r="R167" s="6"/>
      <c r="S167" s="6"/>
      <c r="T167" s="6"/>
    </row>
    <row r="168" customFormat="false" ht="23.85" hidden="false" customHeight="false" outlineLevel="0" collapsed="false">
      <c r="A168" s="6" t="n">
        <v>167</v>
      </c>
      <c r="B168" s="6" t="s">
        <v>10</v>
      </c>
      <c r="C168" s="7" t="n">
        <v>0.534722222222222</v>
      </c>
      <c r="D168" s="7"/>
      <c r="E168" s="6" t="s">
        <v>14</v>
      </c>
      <c r="F168" s="6" t="s">
        <v>81</v>
      </c>
      <c r="G168" s="6" t="s">
        <v>774</v>
      </c>
      <c r="H168" s="6" t="s">
        <v>775</v>
      </c>
      <c r="I168" s="6" t="s">
        <v>776</v>
      </c>
      <c r="J168" s="6" t="s">
        <v>777</v>
      </c>
      <c r="K168" s="6" t="n">
        <v>2</v>
      </c>
      <c r="L168" s="6"/>
      <c r="M168" s="6" t="s">
        <v>588</v>
      </c>
      <c r="N168" s="6" t="s">
        <v>87</v>
      </c>
      <c r="O168" s="6" t="s">
        <v>588</v>
      </c>
      <c r="P168" s="6"/>
      <c r="Q168" s="6"/>
      <c r="R168" s="6"/>
      <c r="S168" s="6"/>
      <c r="T168" s="6"/>
    </row>
    <row r="169" customFormat="false" ht="23.85" hidden="false" customHeight="false" outlineLevel="0" collapsed="false">
      <c r="A169" s="6" t="n">
        <v>168</v>
      </c>
      <c r="B169" s="6" t="s">
        <v>10</v>
      </c>
      <c r="C169" s="7" t="n">
        <v>0.534722222222222</v>
      </c>
      <c r="D169" s="7"/>
      <c r="E169" s="6" t="s">
        <v>23</v>
      </c>
      <c r="F169" s="6" t="s">
        <v>81</v>
      </c>
      <c r="G169" s="6" t="s">
        <v>778</v>
      </c>
      <c r="H169" s="6" t="s">
        <v>779</v>
      </c>
      <c r="I169" s="6" t="s">
        <v>780</v>
      </c>
      <c r="J169" s="6" t="s">
        <v>781</v>
      </c>
      <c r="K169" s="6" t="n">
        <v>2</v>
      </c>
      <c r="L169" s="6"/>
      <c r="M169" s="6" t="s">
        <v>732</v>
      </c>
      <c r="N169" s="6" t="s">
        <v>87</v>
      </c>
      <c r="O169" s="6" t="s">
        <v>733</v>
      </c>
      <c r="P169" s="6" t="s">
        <v>782</v>
      </c>
      <c r="Q169" s="6"/>
      <c r="R169" s="6"/>
      <c r="S169" s="6"/>
      <c r="T169" s="6"/>
    </row>
    <row r="170" customFormat="false" ht="23.85" hidden="false" customHeight="false" outlineLevel="0" collapsed="false">
      <c r="A170" s="6" t="n">
        <v>169</v>
      </c>
      <c r="B170" s="6" t="s">
        <v>10</v>
      </c>
      <c r="C170" s="7" t="n">
        <v>0.534722222222222</v>
      </c>
      <c r="D170" s="7"/>
      <c r="E170" s="6" t="s">
        <v>33</v>
      </c>
      <c r="F170" s="6" t="s">
        <v>81</v>
      </c>
      <c r="G170" s="6" t="s">
        <v>783</v>
      </c>
      <c r="H170" s="6" t="s">
        <v>784</v>
      </c>
      <c r="I170" s="6" t="s">
        <v>785</v>
      </c>
      <c r="J170" s="6" t="s">
        <v>786</v>
      </c>
      <c r="K170" s="6" t="n">
        <v>1</v>
      </c>
      <c r="L170" s="6"/>
      <c r="M170" s="6" t="s">
        <v>103</v>
      </c>
      <c r="N170" s="6" t="s">
        <v>87</v>
      </c>
      <c r="O170" s="6" t="s">
        <v>103</v>
      </c>
      <c r="P170" s="6"/>
      <c r="Q170" s="6"/>
      <c r="R170" s="6"/>
      <c r="S170" s="6"/>
      <c r="T170" s="6"/>
    </row>
    <row r="171" customFormat="false" ht="23.85" hidden="false" customHeight="false" outlineLevel="0" collapsed="false">
      <c r="A171" s="6" t="n">
        <v>170</v>
      </c>
      <c r="B171" s="6" t="s">
        <v>10</v>
      </c>
      <c r="C171" s="7" t="n">
        <v>0.534722222222222</v>
      </c>
      <c r="D171" s="7"/>
      <c r="E171" s="6" t="s">
        <v>16</v>
      </c>
      <c r="F171" s="6" t="s">
        <v>215</v>
      </c>
      <c r="G171" s="6" t="s">
        <v>787</v>
      </c>
      <c r="H171" s="6" t="s">
        <v>788</v>
      </c>
      <c r="I171" s="6" t="s">
        <v>789</v>
      </c>
      <c r="J171" s="6" t="s">
        <v>790</v>
      </c>
      <c r="K171" s="6" t="n">
        <v>1</v>
      </c>
      <c r="L171" s="6"/>
      <c r="M171" s="6" t="s">
        <v>92</v>
      </c>
      <c r="N171" s="6" t="s">
        <v>65</v>
      </c>
      <c r="O171" s="6" t="s">
        <v>92</v>
      </c>
      <c r="P171" s="6"/>
      <c r="Q171" s="6"/>
      <c r="R171" s="6"/>
      <c r="S171" s="6"/>
      <c r="T171" s="6"/>
    </row>
    <row r="172" customFormat="false" ht="79.85" hidden="false" customHeight="false" outlineLevel="0" collapsed="false">
      <c r="A172" s="6" t="n">
        <v>171</v>
      </c>
      <c r="B172" s="6" t="s">
        <v>10</v>
      </c>
      <c r="C172" s="7" t="n">
        <v>0.534722222222222</v>
      </c>
      <c r="D172" s="7"/>
      <c r="E172" s="6" t="s">
        <v>29</v>
      </c>
      <c r="F172" s="6" t="s">
        <v>134</v>
      </c>
      <c r="G172" s="6" t="s">
        <v>791</v>
      </c>
      <c r="H172" s="6" t="s">
        <v>792</v>
      </c>
      <c r="I172" s="6" t="s">
        <v>793</v>
      </c>
      <c r="J172" s="6" t="s">
        <v>794</v>
      </c>
      <c r="K172" s="6" t="n">
        <v>3</v>
      </c>
      <c r="L172" s="6" t="n">
        <v>4</v>
      </c>
      <c r="M172" s="6" t="s">
        <v>255</v>
      </c>
      <c r="N172" s="6" t="s">
        <v>87</v>
      </c>
      <c r="O172" s="6" t="s">
        <v>795</v>
      </c>
      <c r="P172" s="6" t="s">
        <v>796</v>
      </c>
      <c r="Q172" s="6"/>
      <c r="R172" s="6"/>
      <c r="S172" s="6"/>
      <c r="T172" s="6"/>
    </row>
    <row r="173" customFormat="false" ht="124.6" hidden="false" customHeight="false" outlineLevel="0" collapsed="false">
      <c r="A173" s="6" t="n">
        <v>172</v>
      </c>
      <c r="B173" s="6" t="s">
        <v>10</v>
      </c>
      <c r="C173" s="7" t="n">
        <v>0.534722222222222</v>
      </c>
      <c r="D173" s="7"/>
      <c r="E173" s="6" t="s">
        <v>17</v>
      </c>
      <c r="F173" s="6" t="s">
        <v>134</v>
      </c>
      <c r="G173" s="6" t="s">
        <v>797</v>
      </c>
      <c r="H173" s="6" t="s">
        <v>798</v>
      </c>
      <c r="I173" s="6" t="s">
        <v>799</v>
      </c>
      <c r="J173" s="6" t="s">
        <v>800</v>
      </c>
      <c r="K173" s="6" t="n">
        <v>3</v>
      </c>
      <c r="L173" s="6" t="n">
        <v>3</v>
      </c>
      <c r="M173" s="6" t="s">
        <v>80</v>
      </c>
      <c r="N173" s="6" t="s">
        <v>65</v>
      </c>
      <c r="O173" s="6" t="s">
        <v>80</v>
      </c>
      <c r="P173" s="6" t="s">
        <v>801</v>
      </c>
      <c r="Q173" s="6"/>
      <c r="R173" s="6"/>
      <c r="S173" s="6"/>
      <c r="T173" s="6"/>
    </row>
    <row r="174" customFormat="false" ht="15" hidden="false" customHeight="false" outlineLevel="0" collapsed="false">
      <c r="A174" s="6" t="n">
        <v>173</v>
      </c>
      <c r="B174" s="6" t="s">
        <v>10</v>
      </c>
      <c r="C174" s="7" t="n">
        <v>0.534722222222222</v>
      </c>
      <c r="D174" s="7"/>
      <c r="E174" s="6" t="s">
        <v>32</v>
      </c>
      <c r="F174" s="6" t="s">
        <v>81</v>
      </c>
      <c r="G174" s="6" t="s">
        <v>802</v>
      </c>
      <c r="H174" s="6" t="s">
        <v>803</v>
      </c>
      <c r="I174" s="6" t="s">
        <v>804</v>
      </c>
      <c r="J174" s="6" t="s">
        <v>805</v>
      </c>
      <c r="K174" s="6" t="n">
        <v>1</v>
      </c>
      <c r="L174" s="6"/>
      <c r="M174" s="6" t="s">
        <v>108</v>
      </c>
      <c r="N174" s="6" t="s">
        <v>87</v>
      </c>
      <c r="O174" s="6" t="s">
        <v>109</v>
      </c>
      <c r="P174" s="6"/>
      <c r="Q174" s="6"/>
      <c r="R174" s="6"/>
      <c r="S174" s="6"/>
      <c r="T174" s="6"/>
    </row>
    <row r="175" customFormat="false" ht="158.2" hidden="false" customHeight="false" outlineLevel="0" collapsed="false">
      <c r="A175" s="6" t="n">
        <v>174</v>
      </c>
      <c r="B175" s="6" t="s">
        <v>10</v>
      </c>
      <c r="C175" s="7" t="n">
        <v>0.534722222222222</v>
      </c>
      <c r="D175" s="7"/>
      <c r="E175" s="6" t="s">
        <v>15</v>
      </c>
      <c r="F175" s="6" t="s">
        <v>81</v>
      </c>
      <c r="G175" s="6" t="s">
        <v>806</v>
      </c>
      <c r="H175" s="6" t="s">
        <v>807</v>
      </c>
      <c r="I175" s="6" t="s">
        <v>808</v>
      </c>
      <c r="J175" s="6" t="s">
        <v>809</v>
      </c>
      <c r="K175" s="6" t="n">
        <v>2</v>
      </c>
      <c r="L175" s="6"/>
      <c r="M175" s="6" t="s">
        <v>64</v>
      </c>
      <c r="N175" s="6" t="s">
        <v>65</v>
      </c>
      <c r="O175" s="6" t="s">
        <v>64</v>
      </c>
      <c r="P175" s="6" t="s">
        <v>810</v>
      </c>
      <c r="Q175" s="6"/>
      <c r="R175" s="6"/>
      <c r="S175" s="6"/>
      <c r="T175" s="6"/>
    </row>
    <row r="176" customFormat="false" ht="23.85" hidden="false" customHeight="false" outlineLevel="0" collapsed="false">
      <c r="A176" s="6" t="n">
        <v>175</v>
      </c>
      <c r="B176" s="6" t="s">
        <v>10</v>
      </c>
      <c r="C176" s="7" t="n">
        <v>0.534722222222222</v>
      </c>
      <c r="D176" s="7"/>
      <c r="E176" s="6" t="s">
        <v>36</v>
      </c>
      <c r="F176" s="6" t="s">
        <v>156</v>
      </c>
      <c r="G176" s="6" t="s">
        <v>811</v>
      </c>
      <c r="H176" s="6" t="s">
        <v>812</v>
      </c>
      <c r="I176" s="6" t="s">
        <v>813</v>
      </c>
      <c r="J176" s="6" t="s">
        <v>814</v>
      </c>
      <c r="K176" s="6" t="n">
        <v>1</v>
      </c>
      <c r="L176" s="6"/>
      <c r="M176" s="6" t="s">
        <v>36</v>
      </c>
      <c r="N176" s="6"/>
      <c r="O176" s="6" t="s">
        <v>36</v>
      </c>
      <c r="P176" s="6"/>
      <c r="Q176" s="6"/>
      <c r="R176" s="6"/>
      <c r="S176" s="6"/>
      <c r="T176" s="6"/>
    </row>
    <row r="177" customFormat="false" ht="23.85" hidden="false" customHeight="false" outlineLevel="0" collapsed="false">
      <c r="A177" s="6" t="n">
        <v>176</v>
      </c>
      <c r="B177" s="6" t="s">
        <v>10</v>
      </c>
      <c r="C177" s="7" t="n">
        <v>0.534722222222222</v>
      </c>
      <c r="D177" s="7"/>
      <c r="E177" s="6" t="s">
        <v>27</v>
      </c>
      <c r="F177" s="6" t="s">
        <v>81</v>
      </c>
      <c r="G177" s="6" t="s">
        <v>815</v>
      </c>
      <c r="H177" s="6" t="s">
        <v>816</v>
      </c>
      <c r="I177" s="6" t="s">
        <v>817</v>
      </c>
      <c r="J177" s="6" t="s">
        <v>818</v>
      </c>
      <c r="K177" s="6" t="n">
        <v>1</v>
      </c>
      <c r="L177" s="6"/>
      <c r="M177" s="6" t="s">
        <v>86</v>
      </c>
      <c r="N177" s="6" t="s">
        <v>87</v>
      </c>
      <c r="O177" s="6" t="s">
        <v>86</v>
      </c>
      <c r="P177" s="6"/>
      <c r="Q177" s="6"/>
      <c r="R177" s="6"/>
      <c r="S177" s="6"/>
      <c r="T177" s="6"/>
    </row>
    <row r="178" customFormat="false" ht="23.85" hidden="false" customHeight="false" outlineLevel="0" collapsed="false">
      <c r="A178" s="6" t="n">
        <v>177</v>
      </c>
      <c r="B178" s="6" t="s">
        <v>10</v>
      </c>
      <c r="C178" s="7" t="n">
        <v>0.541666666666667</v>
      </c>
      <c r="D178" s="7"/>
      <c r="E178" s="6" t="s">
        <v>37</v>
      </c>
      <c r="F178" s="6" t="s">
        <v>67</v>
      </c>
      <c r="G178" s="6" t="s">
        <v>819</v>
      </c>
      <c r="H178" s="6" t="s">
        <v>820</v>
      </c>
      <c r="I178" s="6" t="s">
        <v>821</v>
      </c>
      <c r="J178" s="6" t="s">
        <v>822</v>
      </c>
      <c r="K178" s="6" t="n">
        <v>2</v>
      </c>
      <c r="L178" s="6"/>
      <c r="M178" s="6" t="s">
        <v>97</v>
      </c>
      <c r="N178" s="6" t="s">
        <v>65</v>
      </c>
      <c r="O178" s="6" t="s">
        <v>97</v>
      </c>
      <c r="P178" s="6"/>
      <c r="Q178" s="6"/>
      <c r="R178" s="6"/>
      <c r="S178" s="6"/>
      <c r="T178" s="6"/>
    </row>
    <row r="179" customFormat="false" ht="23.85" hidden="false" customHeight="false" outlineLevel="0" collapsed="false">
      <c r="A179" s="6" t="n">
        <v>178</v>
      </c>
      <c r="B179" s="6" t="s">
        <v>10</v>
      </c>
      <c r="C179" s="7" t="n">
        <v>0.541666666666667</v>
      </c>
      <c r="D179" s="7"/>
      <c r="E179" s="6" t="s">
        <v>36</v>
      </c>
      <c r="F179" s="6" t="s">
        <v>156</v>
      </c>
      <c r="G179" s="6" t="s">
        <v>823</v>
      </c>
      <c r="H179" s="6" t="s">
        <v>824</v>
      </c>
      <c r="I179" s="6" t="s">
        <v>825</v>
      </c>
      <c r="J179" s="6" t="s">
        <v>826</v>
      </c>
      <c r="K179" s="6" t="n">
        <v>1</v>
      </c>
      <c r="L179" s="6"/>
      <c r="M179" s="6" t="s">
        <v>36</v>
      </c>
      <c r="N179" s="6"/>
      <c r="O179" s="6" t="s">
        <v>36</v>
      </c>
      <c r="P179" s="6"/>
      <c r="Q179" s="6"/>
      <c r="R179" s="6"/>
      <c r="S179" s="6"/>
      <c r="T179" s="6"/>
    </row>
    <row r="180" customFormat="false" ht="23.85" hidden="false" customHeight="false" outlineLevel="0" collapsed="false">
      <c r="A180" s="6" t="n">
        <v>179</v>
      </c>
      <c r="B180" s="6" t="s">
        <v>10</v>
      </c>
      <c r="C180" s="7" t="n">
        <v>0.545138888888889</v>
      </c>
      <c r="D180" s="7"/>
      <c r="E180" s="6" t="s">
        <v>13</v>
      </c>
      <c r="F180" s="6" t="s">
        <v>81</v>
      </c>
      <c r="G180" s="6" t="s">
        <v>827</v>
      </c>
      <c r="H180" s="6" t="s">
        <v>828</v>
      </c>
      <c r="I180" s="6" t="s">
        <v>829</v>
      </c>
      <c r="J180" s="6" t="s">
        <v>830</v>
      </c>
      <c r="K180" s="6" t="n">
        <v>1</v>
      </c>
      <c r="L180" s="6"/>
      <c r="M180" s="6" t="s">
        <v>114</v>
      </c>
      <c r="N180" s="6" t="s">
        <v>65</v>
      </c>
      <c r="O180" s="6" t="s">
        <v>713</v>
      </c>
      <c r="P180" s="6"/>
      <c r="Q180" s="6"/>
      <c r="R180" s="6"/>
      <c r="S180" s="6"/>
      <c r="T180" s="6"/>
    </row>
    <row r="181" customFormat="false" ht="57.45" hidden="false" customHeight="false" outlineLevel="0" collapsed="false">
      <c r="A181" s="6" t="n">
        <v>180</v>
      </c>
      <c r="B181" s="6" t="s">
        <v>10</v>
      </c>
      <c r="C181" s="7" t="n">
        <v>0.545138888888889</v>
      </c>
      <c r="D181" s="7"/>
      <c r="E181" s="6" t="s">
        <v>27</v>
      </c>
      <c r="F181" s="6" t="s">
        <v>134</v>
      </c>
      <c r="G181" s="6" t="s">
        <v>831</v>
      </c>
      <c r="H181" s="6" t="s">
        <v>832</v>
      </c>
      <c r="I181" s="6" t="s">
        <v>833</v>
      </c>
      <c r="J181" s="6" t="s">
        <v>834</v>
      </c>
      <c r="K181" s="6" t="n">
        <v>3</v>
      </c>
      <c r="L181" s="6" t="n">
        <v>2</v>
      </c>
      <c r="M181" s="6" t="s">
        <v>86</v>
      </c>
      <c r="N181" s="6" t="s">
        <v>87</v>
      </c>
      <c r="O181" s="6" t="s">
        <v>86</v>
      </c>
      <c r="P181" s="6" t="s">
        <v>835</v>
      </c>
      <c r="Q181" s="6"/>
      <c r="R181" s="6"/>
      <c r="S181" s="6"/>
      <c r="T181" s="6"/>
    </row>
    <row r="182" customFormat="false" ht="23.85" hidden="false" customHeight="false" outlineLevel="0" collapsed="false">
      <c r="A182" s="6" t="n">
        <v>181</v>
      </c>
      <c r="B182" s="6" t="s">
        <v>10</v>
      </c>
      <c r="C182" s="7" t="n">
        <v>0.545138888888889</v>
      </c>
      <c r="D182" s="7"/>
      <c r="E182" s="6" t="s">
        <v>14</v>
      </c>
      <c r="F182" s="6" t="s">
        <v>594</v>
      </c>
      <c r="G182" s="6" t="s">
        <v>836</v>
      </c>
      <c r="H182" s="6" t="s">
        <v>837</v>
      </c>
      <c r="I182" s="6" t="s">
        <v>838</v>
      </c>
      <c r="J182" s="6" t="s">
        <v>839</v>
      </c>
      <c r="K182" s="6" t="n">
        <v>2</v>
      </c>
      <c r="L182" s="6"/>
      <c r="M182" s="6" t="s">
        <v>588</v>
      </c>
      <c r="N182" s="6" t="s">
        <v>87</v>
      </c>
      <c r="O182" s="6" t="s">
        <v>588</v>
      </c>
      <c r="P182" s="6"/>
      <c r="Q182" s="6"/>
      <c r="R182" s="6"/>
      <c r="S182" s="6"/>
      <c r="T182" s="6"/>
    </row>
    <row r="183" customFormat="false" ht="102.2" hidden="false" customHeight="false" outlineLevel="0" collapsed="false">
      <c r="A183" s="6" t="n">
        <v>182</v>
      </c>
      <c r="B183" s="6" t="s">
        <v>10</v>
      </c>
      <c r="C183" s="7" t="n">
        <v>0.545138888888889</v>
      </c>
      <c r="D183" s="7"/>
      <c r="E183" s="6" t="s">
        <v>15</v>
      </c>
      <c r="F183" s="6" t="s">
        <v>134</v>
      </c>
      <c r="G183" s="6" t="s">
        <v>840</v>
      </c>
      <c r="H183" s="6" t="s">
        <v>841</v>
      </c>
      <c r="I183" s="6" t="s">
        <v>842</v>
      </c>
      <c r="J183" s="6" t="s">
        <v>843</v>
      </c>
      <c r="K183" s="6" t="n">
        <v>3</v>
      </c>
      <c r="L183" s="6" t="n">
        <v>2</v>
      </c>
      <c r="M183" s="6" t="s">
        <v>64</v>
      </c>
      <c r="N183" s="6" t="s">
        <v>65</v>
      </c>
      <c r="O183" s="6" t="s">
        <v>64</v>
      </c>
      <c r="P183" s="6" t="s">
        <v>844</v>
      </c>
      <c r="Q183" s="6"/>
      <c r="R183" s="6"/>
      <c r="S183" s="6"/>
      <c r="T183" s="6"/>
    </row>
    <row r="184" customFormat="false" ht="35.05" hidden="false" customHeight="false" outlineLevel="0" collapsed="false">
      <c r="A184" s="6" t="n">
        <v>183</v>
      </c>
      <c r="B184" s="6" t="s">
        <v>10</v>
      </c>
      <c r="C184" s="7" t="n">
        <v>0.545138888888889</v>
      </c>
      <c r="D184" s="7"/>
      <c r="E184" s="6" t="s">
        <v>32</v>
      </c>
      <c r="F184" s="6" t="s">
        <v>81</v>
      </c>
      <c r="G184" s="6" t="s">
        <v>845</v>
      </c>
      <c r="H184" s="6" t="s">
        <v>846</v>
      </c>
      <c r="I184" s="6" t="s">
        <v>847</v>
      </c>
      <c r="J184" s="6" t="s">
        <v>848</v>
      </c>
      <c r="K184" s="6" t="n">
        <v>2</v>
      </c>
      <c r="L184" s="6"/>
      <c r="M184" s="6" t="s">
        <v>108</v>
      </c>
      <c r="N184" s="6" t="s">
        <v>87</v>
      </c>
      <c r="O184" s="6" t="s">
        <v>109</v>
      </c>
      <c r="P184" s="6" t="s">
        <v>849</v>
      </c>
      <c r="Q184" s="6"/>
      <c r="R184" s="6"/>
      <c r="S184" s="6"/>
      <c r="T184" s="6"/>
    </row>
    <row r="185" customFormat="false" ht="79.85" hidden="false" customHeight="false" outlineLevel="0" collapsed="false">
      <c r="A185" s="6" t="n">
        <v>184</v>
      </c>
      <c r="B185" s="6" t="s">
        <v>10</v>
      </c>
      <c r="C185" s="7" t="n">
        <v>0.545138888888889</v>
      </c>
      <c r="D185" s="7"/>
      <c r="E185" s="6" t="s">
        <v>33</v>
      </c>
      <c r="F185" s="6" t="s">
        <v>215</v>
      </c>
      <c r="G185" s="6" t="s">
        <v>850</v>
      </c>
      <c r="H185" s="6" t="s">
        <v>851</v>
      </c>
      <c r="I185" s="6" t="s">
        <v>852</v>
      </c>
      <c r="J185" s="6" t="s">
        <v>853</v>
      </c>
      <c r="K185" s="6" t="n">
        <v>3</v>
      </c>
      <c r="L185" s="6" t="n">
        <v>2</v>
      </c>
      <c r="M185" s="6" t="s">
        <v>103</v>
      </c>
      <c r="N185" s="6" t="s">
        <v>87</v>
      </c>
      <c r="O185" s="6" t="s">
        <v>103</v>
      </c>
      <c r="P185" s="6" t="s">
        <v>854</v>
      </c>
      <c r="Q185" s="6"/>
      <c r="R185" s="6"/>
      <c r="S185" s="6"/>
      <c r="T185" s="6"/>
    </row>
    <row r="186" customFormat="false" ht="68.65" hidden="false" customHeight="false" outlineLevel="0" collapsed="false">
      <c r="A186" s="6" t="n">
        <v>185</v>
      </c>
      <c r="B186" s="6" t="s">
        <v>10</v>
      </c>
      <c r="C186" s="7" t="n">
        <v>0.545138888888889</v>
      </c>
      <c r="D186" s="7"/>
      <c r="E186" s="6" t="s">
        <v>23</v>
      </c>
      <c r="F186" s="6" t="s">
        <v>215</v>
      </c>
      <c r="G186" s="6" t="s">
        <v>855</v>
      </c>
      <c r="H186" s="6" t="s">
        <v>856</v>
      </c>
      <c r="I186" s="6" t="s">
        <v>857</v>
      </c>
      <c r="J186" s="6" t="s">
        <v>858</v>
      </c>
      <c r="K186" s="6" t="n">
        <v>1</v>
      </c>
      <c r="L186" s="6"/>
      <c r="M186" s="6" t="s">
        <v>732</v>
      </c>
      <c r="N186" s="6" t="s">
        <v>87</v>
      </c>
      <c r="O186" s="6" t="s">
        <v>733</v>
      </c>
      <c r="P186" s="6" t="s">
        <v>859</v>
      </c>
      <c r="Q186" s="6"/>
      <c r="R186" s="6"/>
      <c r="S186" s="6"/>
      <c r="T186" s="6"/>
    </row>
    <row r="187" customFormat="false" ht="15" hidden="false" customHeight="false" outlineLevel="0" collapsed="false">
      <c r="A187" s="6" t="n">
        <v>186</v>
      </c>
      <c r="B187" s="6" t="s">
        <v>10</v>
      </c>
      <c r="C187" s="7" t="n">
        <v>0.545138888888889</v>
      </c>
      <c r="D187" s="7"/>
      <c r="E187" s="6" t="s">
        <v>21</v>
      </c>
      <c r="F187" s="6" t="s">
        <v>81</v>
      </c>
      <c r="G187" s="6" t="s">
        <v>860</v>
      </c>
      <c r="H187" s="6" t="s">
        <v>861</v>
      </c>
      <c r="I187" s="6" t="s">
        <v>862</v>
      </c>
      <c r="J187" s="6" t="s">
        <v>863</v>
      </c>
      <c r="K187" s="6" t="n">
        <v>1</v>
      </c>
      <c r="L187" s="6"/>
      <c r="M187" s="6" t="s">
        <v>119</v>
      </c>
      <c r="N187" s="6" t="s">
        <v>87</v>
      </c>
      <c r="O187" s="6" t="s">
        <v>119</v>
      </c>
      <c r="P187" s="6" t="s">
        <v>864</v>
      </c>
      <c r="Q187" s="6"/>
      <c r="R187" s="6"/>
      <c r="S187" s="6"/>
      <c r="T187" s="6"/>
    </row>
    <row r="188" customFormat="false" ht="102.2" hidden="false" customHeight="false" outlineLevel="0" collapsed="false">
      <c r="A188" s="6" t="n">
        <v>187</v>
      </c>
      <c r="B188" s="6" t="s">
        <v>10</v>
      </c>
      <c r="C188" s="7" t="n">
        <v>0.545138888888889</v>
      </c>
      <c r="D188" s="7"/>
      <c r="E188" s="6" t="s">
        <v>16</v>
      </c>
      <c r="F188" s="6" t="s">
        <v>134</v>
      </c>
      <c r="G188" s="6" t="s">
        <v>865</v>
      </c>
      <c r="H188" s="6" t="s">
        <v>866</v>
      </c>
      <c r="I188" s="6" t="s">
        <v>867</v>
      </c>
      <c r="J188" s="6" t="s">
        <v>868</v>
      </c>
      <c r="K188" s="6" t="n">
        <v>3</v>
      </c>
      <c r="L188" s="6" t="n">
        <v>4</v>
      </c>
      <c r="M188" s="6" t="s">
        <v>92</v>
      </c>
      <c r="N188" s="6" t="s">
        <v>65</v>
      </c>
      <c r="O188" s="6" t="s">
        <v>92</v>
      </c>
      <c r="P188" s="6" t="s">
        <v>869</v>
      </c>
      <c r="Q188" s="6"/>
      <c r="R188" s="6"/>
      <c r="S188" s="6"/>
      <c r="T188" s="6"/>
    </row>
    <row r="189" customFormat="false" ht="15" hidden="false" customHeight="false" outlineLevel="0" collapsed="false">
      <c r="A189" s="6" t="n">
        <v>188</v>
      </c>
      <c r="B189" s="6" t="s">
        <v>10</v>
      </c>
      <c r="C189" s="7" t="n">
        <v>0.548611111111111</v>
      </c>
      <c r="D189" s="7"/>
      <c r="E189" s="6" t="s">
        <v>36</v>
      </c>
      <c r="F189" s="6" t="s">
        <v>156</v>
      </c>
      <c r="G189" s="6" t="s">
        <v>870</v>
      </c>
      <c r="H189" s="6" t="s">
        <v>871</v>
      </c>
      <c r="I189" s="6" t="s">
        <v>872</v>
      </c>
      <c r="J189" s="6" t="s">
        <v>873</v>
      </c>
      <c r="K189" s="6" t="n">
        <v>1</v>
      </c>
      <c r="L189" s="6"/>
      <c r="M189" s="6" t="s">
        <v>36</v>
      </c>
      <c r="N189" s="6"/>
      <c r="O189" s="6" t="s">
        <v>36</v>
      </c>
      <c r="P189" s="6"/>
      <c r="Q189" s="6"/>
      <c r="R189" s="6"/>
      <c r="S189" s="6"/>
      <c r="T189" s="6"/>
    </row>
    <row r="190" customFormat="false" ht="113.4" hidden="false" customHeight="false" outlineLevel="0" collapsed="false">
      <c r="A190" s="6" t="n">
        <v>189</v>
      </c>
      <c r="B190" s="6" t="s">
        <v>10</v>
      </c>
      <c r="C190" s="7" t="n">
        <v>0.552083333333333</v>
      </c>
      <c r="D190" s="7"/>
      <c r="E190" s="6" t="s">
        <v>37</v>
      </c>
      <c r="F190" s="6" t="s">
        <v>134</v>
      </c>
      <c r="G190" s="6" t="s">
        <v>874</v>
      </c>
      <c r="H190" s="6" t="s">
        <v>875</v>
      </c>
      <c r="I190" s="6" t="s">
        <v>876</v>
      </c>
      <c r="J190" s="6" t="s">
        <v>877</v>
      </c>
      <c r="K190" s="6" t="n">
        <v>3</v>
      </c>
      <c r="L190" s="6" t="n">
        <v>3</v>
      </c>
      <c r="M190" s="6" t="s">
        <v>97</v>
      </c>
      <c r="N190" s="6" t="s">
        <v>65</v>
      </c>
      <c r="O190" s="6" t="s">
        <v>97</v>
      </c>
      <c r="P190" s="6" t="s">
        <v>878</v>
      </c>
      <c r="Q190" s="6"/>
      <c r="R190" s="6"/>
      <c r="S190" s="6"/>
      <c r="T190" s="6"/>
    </row>
    <row r="191" customFormat="false" ht="46.25" hidden="false" customHeight="false" outlineLevel="0" collapsed="false">
      <c r="A191" s="6" t="n">
        <v>190</v>
      </c>
      <c r="B191" s="6" t="s">
        <v>10</v>
      </c>
      <c r="C191" s="7" t="n">
        <v>0.552083333333333</v>
      </c>
      <c r="D191" s="7"/>
      <c r="E191" s="6" t="s">
        <v>14</v>
      </c>
      <c r="F191" s="6" t="s">
        <v>134</v>
      </c>
      <c r="G191" s="6" t="s">
        <v>879</v>
      </c>
      <c r="H191" s="6" t="s">
        <v>880</v>
      </c>
      <c r="I191" s="6" t="s">
        <v>881</v>
      </c>
      <c r="J191" s="6" t="s">
        <v>882</v>
      </c>
      <c r="K191" s="6" t="n">
        <v>3</v>
      </c>
      <c r="L191" s="6" t="n">
        <v>1</v>
      </c>
      <c r="M191" s="6" t="s">
        <v>588</v>
      </c>
      <c r="N191" s="6" t="s">
        <v>87</v>
      </c>
      <c r="O191" s="6" t="s">
        <v>588</v>
      </c>
      <c r="P191" s="6" t="s">
        <v>883</v>
      </c>
      <c r="Q191" s="6"/>
      <c r="R191" s="6"/>
      <c r="S191" s="6"/>
      <c r="T191" s="6"/>
    </row>
    <row r="192" customFormat="false" ht="57.45" hidden="false" customHeight="false" outlineLevel="0" collapsed="false">
      <c r="A192" s="6" t="n">
        <v>191</v>
      </c>
      <c r="B192" s="6" t="s">
        <v>10</v>
      </c>
      <c r="C192" s="7" t="n">
        <v>0.555555555555556</v>
      </c>
      <c r="D192" s="7"/>
      <c r="E192" s="6" t="s">
        <v>13</v>
      </c>
      <c r="F192" s="6" t="s">
        <v>134</v>
      </c>
      <c r="G192" s="6" t="s">
        <v>884</v>
      </c>
      <c r="H192" s="6" t="s">
        <v>885</v>
      </c>
      <c r="I192" s="6" t="s">
        <v>886</v>
      </c>
      <c r="J192" s="6" t="s">
        <v>887</v>
      </c>
      <c r="K192" s="6" t="n">
        <v>3</v>
      </c>
      <c r="L192" s="6" t="n">
        <v>4</v>
      </c>
      <c r="M192" s="6" t="s">
        <v>114</v>
      </c>
      <c r="N192" s="6" t="s">
        <v>65</v>
      </c>
      <c r="O192" s="6" t="s">
        <v>114</v>
      </c>
      <c r="P192" s="6" t="s">
        <v>888</v>
      </c>
      <c r="Q192" s="6"/>
      <c r="R192" s="6"/>
      <c r="S192" s="6"/>
      <c r="T192" s="6"/>
    </row>
    <row r="193" customFormat="false" ht="113.4" hidden="false" customHeight="false" outlineLevel="0" collapsed="false">
      <c r="A193" s="6" t="n">
        <v>192</v>
      </c>
      <c r="B193" s="6" t="s">
        <v>10</v>
      </c>
      <c r="C193" s="7" t="n">
        <v>0.555555555555556</v>
      </c>
      <c r="D193" s="7"/>
      <c r="E193" s="6" t="s">
        <v>32</v>
      </c>
      <c r="F193" s="6" t="s">
        <v>134</v>
      </c>
      <c r="G193" s="6" t="s">
        <v>889</v>
      </c>
      <c r="H193" s="6" t="s">
        <v>890</v>
      </c>
      <c r="I193" s="6" t="s">
        <v>891</v>
      </c>
      <c r="J193" s="6" t="s">
        <v>892</v>
      </c>
      <c r="K193" s="6" t="n">
        <v>3</v>
      </c>
      <c r="L193" s="6" t="n">
        <v>2</v>
      </c>
      <c r="M193" s="6" t="s">
        <v>108</v>
      </c>
      <c r="N193" s="6" t="s">
        <v>87</v>
      </c>
      <c r="O193" s="6" t="s">
        <v>109</v>
      </c>
      <c r="P193" s="6" t="s">
        <v>893</v>
      </c>
      <c r="Q193" s="6"/>
      <c r="R193" s="6"/>
      <c r="S193" s="6"/>
      <c r="T193" s="6"/>
    </row>
    <row r="194" customFormat="false" ht="91" hidden="false" customHeight="false" outlineLevel="0" collapsed="false">
      <c r="A194" s="6" t="n">
        <v>193</v>
      </c>
      <c r="B194" s="6" t="s">
        <v>10</v>
      </c>
      <c r="C194" s="7" t="n">
        <v>0.555555555555556</v>
      </c>
      <c r="D194" s="7"/>
      <c r="E194" s="6" t="s">
        <v>23</v>
      </c>
      <c r="F194" s="6" t="s">
        <v>134</v>
      </c>
      <c r="G194" s="6" t="s">
        <v>894</v>
      </c>
      <c r="H194" s="6" t="s">
        <v>895</v>
      </c>
      <c r="I194" s="6" t="s">
        <v>896</v>
      </c>
      <c r="J194" s="6" t="s">
        <v>897</v>
      </c>
      <c r="K194" s="6" t="n">
        <v>3</v>
      </c>
      <c r="L194" s="6" t="n">
        <v>3</v>
      </c>
      <c r="M194" s="6" t="s">
        <v>732</v>
      </c>
      <c r="N194" s="6" t="s">
        <v>87</v>
      </c>
      <c r="O194" s="6" t="s">
        <v>733</v>
      </c>
      <c r="P194" s="6" t="s">
        <v>898</v>
      </c>
      <c r="Q194" s="6"/>
      <c r="R194" s="6"/>
      <c r="S194" s="6"/>
      <c r="T194" s="6"/>
    </row>
    <row r="195" customFormat="false" ht="68.65" hidden="false" customHeight="false" outlineLevel="0" collapsed="false">
      <c r="A195" s="6" t="n">
        <v>194</v>
      </c>
      <c r="B195" s="6" t="s">
        <v>10</v>
      </c>
      <c r="C195" s="7" t="n">
        <v>0.555555555555556</v>
      </c>
      <c r="D195" s="7"/>
      <c r="E195" s="6" t="s">
        <v>21</v>
      </c>
      <c r="F195" s="6" t="s">
        <v>134</v>
      </c>
      <c r="G195" s="6" t="s">
        <v>899</v>
      </c>
      <c r="H195" s="6" t="s">
        <v>900</v>
      </c>
      <c r="I195" s="6" t="s">
        <v>901</v>
      </c>
      <c r="J195" s="6" t="s">
        <v>902</v>
      </c>
      <c r="K195" s="6" t="n">
        <v>3</v>
      </c>
      <c r="L195" s="6" t="n">
        <v>3</v>
      </c>
      <c r="M195" s="6" t="s">
        <v>119</v>
      </c>
      <c r="N195" s="6" t="s">
        <v>87</v>
      </c>
      <c r="O195" s="6" t="s">
        <v>119</v>
      </c>
      <c r="P195" s="6" t="s">
        <v>903</v>
      </c>
      <c r="Q195" s="6"/>
      <c r="R195" s="6"/>
      <c r="S195" s="6"/>
      <c r="T195" s="6"/>
    </row>
    <row r="196" customFormat="false" ht="23.85" hidden="false" customHeight="false" outlineLevel="0" collapsed="false">
      <c r="A196" s="6" t="n">
        <v>195</v>
      </c>
      <c r="B196" s="6" t="s">
        <v>10</v>
      </c>
      <c r="C196" s="7" t="n">
        <v>0.5625</v>
      </c>
      <c r="D196" s="7"/>
      <c r="E196" s="6" t="s">
        <v>36</v>
      </c>
      <c r="F196" s="6" t="s">
        <v>156</v>
      </c>
      <c r="G196" s="6" t="s">
        <v>904</v>
      </c>
      <c r="H196" s="6" t="s">
        <v>905</v>
      </c>
      <c r="I196" s="6" t="s">
        <v>906</v>
      </c>
      <c r="J196" s="6" t="s">
        <v>907</v>
      </c>
      <c r="K196" s="6" t="n">
        <v>2</v>
      </c>
      <c r="L196" s="6"/>
      <c r="M196" s="6" t="s">
        <v>36</v>
      </c>
      <c r="N196" s="6"/>
      <c r="O196" s="6" t="s">
        <v>36</v>
      </c>
      <c r="P196" s="6"/>
      <c r="Q196" s="6"/>
      <c r="R196" s="6"/>
      <c r="S196" s="6"/>
      <c r="T196" s="6"/>
    </row>
    <row r="197" customFormat="false" ht="23.85" hidden="false" customHeight="false" outlineLevel="0" collapsed="false">
      <c r="A197" s="6" t="n">
        <v>196</v>
      </c>
      <c r="B197" s="6" t="s">
        <v>10</v>
      </c>
      <c r="C197" s="7" t="n">
        <v>0.569444444444444</v>
      </c>
      <c r="D197" s="7"/>
      <c r="E197" s="6" t="s">
        <v>36</v>
      </c>
      <c r="F197" s="6" t="s">
        <v>156</v>
      </c>
      <c r="G197" s="6" t="s">
        <v>908</v>
      </c>
      <c r="H197" s="6" t="s">
        <v>909</v>
      </c>
      <c r="I197" s="6" t="s">
        <v>910</v>
      </c>
      <c r="J197" s="6" t="s">
        <v>911</v>
      </c>
      <c r="K197" s="6" t="n">
        <v>1</v>
      </c>
      <c r="L197" s="6"/>
      <c r="M197" s="6" t="s">
        <v>36</v>
      </c>
      <c r="N197" s="6"/>
      <c r="O197" s="6" t="s">
        <v>36</v>
      </c>
      <c r="P197" s="6"/>
      <c r="Q197" s="6"/>
      <c r="R197" s="6"/>
      <c r="S197" s="6"/>
      <c r="T197" s="6"/>
    </row>
    <row r="198" customFormat="false" ht="46.25" hidden="false" customHeight="false" outlineLevel="0" collapsed="false">
      <c r="A198" s="6" t="n">
        <v>197</v>
      </c>
      <c r="B198" s="6" t="s">
        <v>10</v>
      </c>
      <c r="C198" s="7" t="n">
        <v>0.575694444444444</v>
      </c>
      <c r="D198" s="7" t="n">
        <v>0.607638888888889</v>
      </c>
      <c r="E198" s="6" t="s">
        <v>39</v>
      </c>
      <c r="F198" s="6" t="s">
        <v>39</v>
      </c>
      <c r="G198" s="6" t="s">
        <v>912</v>
      </c>
      <c r="H198" s="6" t="s">
        <v>913</v>
      </c>
      <c r="I198" s="6" t="s">
        <v>913</v>
      </c>
      <c r="J198" s="6"/>
      <c r="K198" s="6" t="n">
        <v>1</v>
      </c>
      <c r="L198" s="6"/>
      <c r="M198" s="6" t="s">
        <v>255</v>
      </c>
      <c r="N198" s="6" t="s">
        <v>87</v>
      </c>
      <c r="O198" s="6" t="s">
        <v>914</v>
      </c>
      <c r="P198" s="6"/>
      <c r="Q198" s="6" t="n">
        <v>2</v>
      </c>
      <c r="R198" s="6" t="n">
        <v>120</v>
      </c>
      <c r="S198" s="6" t="n">
        <f aca="false">R198-Q198</f>
        <v>118</v>
      </c>
      <c r="T198" s="6" t="s">
        <v>637</v>
      </c>
    </row>
    <row r="199" customFormat="false" ht="23.85" hidden="false" customHeight="false" outlineLevel="0" collapsed="false">
      <c r="A199" s="6" t="n">
        <v>198</v>
      </c>
      <c r="B199" s="6" t="s">
        <v>10</v>
      </c>
      <c r="C199" s="7" t="n">
        <v>0.576388888888889</v>
      </c>
      <c r="D199" s="7"/>
      <c r="E199" s="6" t="s">
        <v>36</v>
      </c>
      <c r="F199" s="6" t="s">
        <v>156</v>
      </c>
      <c r="G199" s="6" t="s">
        <v>915</v>
      </c>
      <c r="H199" s="6" t="s">
        <v>916</v>
      </c>
      <c r="I199" s="6" t="s">
        <v>917</v>
      </c>
      <c r="J199" s="6" t="s">
        <v>918</v>
      </c>
      <c r="K199" s="6" t="n">
        <v>1</v>
      </c>
      <c r="L199" s="6"/>
      <c r="M199" s="6" t="s">
        <v>36</v>
      </c>
      <c r="N199" s="6"/>
      <c r="O199" s="6" t="s">
        <v>36</v>
      </c>
      <c r="P199" s="6"/>
      <c r="Q199" s="6"/>
      <c r="R199" s="6"/>
      <c r="S199" s="6"/>
      <c r="T199" s="6"/>
    </row>
    <row r="200" customFormat="false" ht="23.85" hidden="false" customHeight="false" outlineLevel="0" collapsed="false">
      <c r="A200" s="6" t="n">
        <v>199</v>
      </c>
      <c r="B200" s="6" t="s">
        <v>10</v>
      </c>
      <c r="C200" s="7" t="n">
        <v>0.576388888888889</v>
      </c>
      <c r="D200" s="7" t="n">
        <v>0.607638888888889</v>
      </c>
      <c r="E200" s="6" t="s">
        <v>39</v>
      </c>
      <c r="F200" s="6" t="s">
        <v>39</v>
      </c>
      <c r="G200" s="6" t="s">
        <v>919</v>
      </c>
      <c r="H200" s="6" t="s">
        <v>920</v>
      </c>
      <c r="I200" s="6" t="s">
        <v>921</v>
      </c>
      <c r="J200" s="6"/>
      <c r="K200" s="6" t="n">
        <v>2</v>
      </c>
      <c r="L200" s="6"/>
      <c r="M200" s="6" t="s">
        <v>922</v>
      </c>
      <c r="N200" s="6" t="s">
        <v>65</v>
      </c>
      <c r="O200" s="6" t="s">
        <v>923</v>
      </c>
      <c r="P200" s="6"/>
      <c r="Q200" s="6" t="n">
        <v>5</v>
      </c>
      <c r="R200" s="6" t="n">
        <v>120</v>
      </c>
      <c r="S200" s="6" t="n">
        <f aca="false">R200-Q200</f>
        <v>115</v>
      </c>
      <c r="T200" s="6" t="s">
        <v>637</v>
      </c>
    </row>
    <row r="201" customFormat="false" ht="35.05" hidden="false" customHeight="false" outlineLevel="0" collapsed="false">
      <c r="A201" s="6" t="n">
        <v>200</v>
      </c>
      <c r="B201" s="6" t="s">
        <v>10</v>
      </c>
      <c r="C201" s="7" t="n">
        <v>0.577083333333333</v>
      </c>
      <c r="D201" s="7" t="n">
        <v>0.607638888888889</v>
      </c>
      <c r="E201" s="6" t="s">
        <v>39</v>
      </c>
      <c r="F201" s="6" t="s">
        <v>39</v>
      </c>
      <c r="G201" s="6" t="s">
        <v>924</v>
      </c>
      <c r="H201" s="6" t="s">
        <v>925</v>
      </c>
      <c r="I201" s="6" t="s">
        <v>926</v>
      </c>
      <c r="J201" s="6"/>
      <c r="K201" s="6" t="n">
        <v>3</v>
      </c>
      <c r="L201" s="6"/>
      <c r="M201" s="6" t="s">
        <v>103</v>
      </c>
      <c r="N201" s="6" t="s">
        <v>87</v>
      </c>
      <c r="O201" s="6" t="s">
        <v>103</v>
      </c>
      <c r="P201" s="6"/>
      <c r="Q201" s="6" t="n">
        <v>80</v>
      </c>
      <c r="R201" s="6" t="n">
        <v>120</v>
      </c>
      <c r="S201" s="6" t="n">
        <f aca="false">R201-Q201</f>
        <v>40</v>
      </c>
      <c r="T201" s="6" t="s">
        <v>637</v>
      </c>
    </row>
    <row r="202" customFormat="false" ht="15" hidden="false" customHeight="false" outlineLevel="0" collapsed="false">
      <c r="A202" s="6" t="n">
        <v>201</v>
      </c>
      <c r="B202" s="6" t="s">
        <v>10</v>
      </c>
      <c r="C202" s="7" t="n">
        <v>0.583333333333333</v>
      </c>
      <c r="D202" s="7"/>
      <c r="E202" s="6" t="s">
        <v>36</v>
      </c>
      <c r="F202" s="6" t="s">
        <v>156</v>
      </c>
      <c r="G202" s="6" t="s">
        <v>927</v>
      </c>
      <c r="H202" s="6" t="s">
        <v>928</v>
      </c>
      <c r="I202" s="6" t="s">
        <v>929</v>
      </c>
      <c r="J202" s="6" t="s">
        <v>930</v>
      </c>
      <c r="K202" s="6" t="n">
        <v>1</v>
      </c>
      <c r="L202" s="6"/>
      <c r="M202" s="6" t="s">
        <v>36</v>
      </c>
      <c r="N202" s="6"/>
      <c r="O202" s="6" t="s">
        <v>36</v>
      </c>
      <c r="P202" s="6"/>
      <c r="Q202" s="6"/>
      <c r="R202" s="6"/>
      <c r="S202" s="6"/>
      <c r="T202" s="6"/>
    </row>
    <row r="203" customFormat="false" ht="35.05" hidden="false" customHeight="false" outlineLevel="0" collapsed="false">
      <c r="A203" s="6" t="n">
        <v>202</v>
      </c>
      <c r="B203" s="6" t="s">
        <v>10</v>
      </c>
      <c r="C203" s="7" t="n">
        <v>0.583333333333333</v>
      </c>
      <c r="D203" s="7"/>
      <c r="E203" s="6" t="s">
        <v>14</v>
      </c>
      <c r="F203" s="6" t="s">
        <v>134</v>
      </c>
      <c r="G203" s="6" t="s">
        <v>931</v>
      </c>
      <c r="H203" s="6" t="s">
        <v>932</v>
      </c>
      <c r="I203" s="6" t="s">
        <v>933</v>
      </c>
      <c r="J203" s="6" t="s">
        <v>934</v>
      </c>
      <c r="K203" s="6" t="n">
        <v>3</v>
      </c>
      <c r="L203" s="6" t="n">
        <v>1</v>
      </c>
      <c r="M203" s="6" t="s">
        <v>588</v>
      </c>
      <c r="N203" s="6" t="s">
        <v>87</v>
      </c>
      <c r="O203" s="6" t="s">
        <v>588</v>
      </c>
      <c r="P203" s="6"/>
      <c r="Q203" s="6"/>
      <c r="R203" s="6"/>
      <c r="S203" s="6"/>
      <c r="T203" s="6"/>
    </row>
    <row r="204" customFormat="false" ht="15" hidden="false" customHeight="false" outlineLevel="0" collapsed="false">
      <c r="A204" s="6" t="n">
        <v>203</v>
      </c>
      <c r="B204" s="6" t="s">
        <v>10</v>
      </c>
      <c r="C204" s="7" t="n">
        <v>0.590277777777778</v>
      </c>
      <c r="D204" s="7"/>
      <c r="E204" s="6" t="s">
        <v>36</v>
      </c>
      <c r="F204" s="6" t="s">
        <v>156</v>
      </c>
      <c r="G204" s="6" t="s">
        <v>935</v>
      </c>
      <c r="H204" s="6" t="s">
        <v>936</v>
      </c>
      <c r="I204" s="6" t="s">
        <v>937</v>
      </c>
      <c r="J204" s="6" t="s">
        <v>938</v>
      </c>
      <c r="K204" s="6" t="n">
        <v>1</v>
      </c>
      <c r="L204" s="6"/>
      <c r="M204" s="6" t="s">
        <v>36</v>
      </c>
      <c r="N204" s="6"/>
      <c r="O204" s="6" t="s">
        <v>36</v>
      </c>
      <c r="P204" s="6"/>
      <c r="Q204" s="6"/>
      <c r="R204" s="6"/>
      <c r="S204" s="6"/>
      <c r="T204" s="6"/>
    </row>
    <row r="205" customFormat="false" ht="23.85" hidden="false" customHeight="false" outlineLevel="0" collapsed="false">
      <c r="A205" s="6" t="n">
        <v>204</v>
      </c>
      <c r="B205" s="6" t="s">
        <v>10</v>
      </c>
      <c r="C205" s="7" t="n">
        <v>0.597222222222222</v>
      </c>
      <c r="D205" s="7"/>
      <c r="E205" s="6" t="s">
        <v>36</v>
      </c>
      <c r="F205" s="6" t="s">
        <v>156</v>
      </c>
      <c r="G205" s="6" t="s">
        <v>939</v>
      </c>
      <c r="H205" s="6" t="s">
        <v>940</v>
      </c>
      <c r="I205" s="6" t="s">
        <v>941</v>
      </c>
      <c r="J205" s="6" t="s">
        <v>942</v>
      </c>
      <c r="K205" s="6" t="n">
        <v>1</v>
      </c>
      <c r="L205" s="6"/>
      <c r="M205" s="6" t="s">
        <v>36</v>
      </c>
      <c r="N205" s="6"/>
      <c r="O205" s="6" t="s">
        <v>36</v>
      </c>
      <c r="P205" s="6"/>
      <c r="Q205" s="6"/>
      <c r="R205" s="6"/>
      <c r="S205" s="6"/>
      <c r="T205" s="6"/>
    </row>
    <row r="206" customFormat="false" ht="35.05" hidden="false" customHeight="false" outlineLevel="0" collapsed="false">
      <c r="A206" s="6" t="n">
        <v>205</v>
      </c>
      <c r="B206" s="6" t="s">
        <v>10</v>
      </c>
      <c r="C206" s="7" t="n">
        <v>0.607638888888889</v>
      </c>
      <c r="D206" s="7"/>
      <c r="E206" s="6" t="s">
        <v>31</v>
      </c>
      <c r="F206" s="6" t="s">
        <v>31</v>
      </c>
      <c r="G206" s="6" t="s">
        <v>943</v>
      </c>
      <c r="H206" s="6" t="s">
        <v>209</v>
      </c>
      <c r="I206" s="6" t="s">
        <v>210</v>
      </c>
      <c r="J206" s="6" t="s">
        <v>211</v>
      </c>
      <c r="K206" s="6" t="n">
        <v>1</v>
      </c>
      <c r="L206" s="6"/>
      <c r="M206" s="6" t="s">
        <v>212</v>
      </c>
      <c r="N206" s="6" t="s">
        <v>65</v>
      </c>
      <c r="O206" s="6" t="s">
        <v>213</v>
      </c>
      <c r="P206" s="6" t="s">
        <v>214</v>
      </c>
      <c r="Q206" s="6"/>
      <c r="R206" s="6"/>
      <c r="S206" s="6"/>
      <c r="T206" s="6"/>
    </row>
    <row r="207" customFormat="false" ht="46.25" hidden="false" customHeight="false" outlineLevel="0" collapsed="false">
      <c r="A207" s="6" t="n">
        <v>206</v>
      </c>
      <c r="B207" s="6" t="s">
        <v>10</v>
      </c>
      <c r="C207" s="7" t="n">
        <v>0.649305555555556</v>
      </c>
      <c r="D207" s="7"/>
      <c r="E207" s="6" t="s">
        <v>14</v>
      </c>
      <c r="F207" s="6" t="s">
        <v>67</v>
      </c>
      <c r="G207" s="6" t="s">
        <v>944</v>
      </c>
      <c r="H207" s="6" t="s">
        <v>945</v>
      </c>
      <c r="I207" s="6" t="s">
        <v>946</v>
      </c>
      <c r="J207" s="6" t="s">
        <v>947</v>
      </c>
      <c r="K207" s="6" t="n">
        <v>2</v>
      </c>
      <c r="L207" s="6"/>
      <c r="M207" s="6" t="s">
        <v>588</v>
      </c>
      <c r="N207" s="6" t="s">
        <v>87</v>
      </c>
      <c r="O207" s="6" t="s">
        <v>948</v>
      </c>
      <c r="P207" s="6"/>
      <c r="Q207" s="6"/>
      <c r="R207" s="6"/>
      <c r="S207" s="6"/>
      <c r="T207" s="6"/>
    </row>
    <row r="208" customFormat="false" ht="23.85" hidden="false" customHeight="false" outlineLevel="0" collapsed="false">
      <c r="A208" s="6" t="n">
        <v>207</v>
      </c>
      <c r="B208" s="6" t="s">
        <v>10</v>
      </c>
      <c r="C208" s="7" t="n">
        <v>0.652777777777778</v>
      </c>
      <c r="D208" s="7"/>
      <c r="E208" s="6" t="s">
        <v>23</v>
      </c>
      <c r="F208" s="6" t="s">
        <v>67</v>
      </c>
      <c r="G208" s="6" t="s">
        <v>949</v>
      </c>
      <c r="H208" s="6" t="s">
        <v>950</v>
      </c>
      <c r="I208" s="6" t="s">
        <v>951</v>
      </c>
      <c r="J208" s="6" t="s">
        <v>952</v>
      </c>
      <c r="K208" s="6" t="n">
        <v>2</v>
      </c>
      <c r="L208" s="6"/>
      <c r="M208" s="6" t="s">
        <v>732</v>
      </c>
      <c r="N208" s="6" t="s">
        <v>87</v>
      </c>
      <c r="O208" s="6" t="s">
        <v>733</v>
      </c>
      <c r="P208" s="6"/>
      <c r="Q208" s="6"/>
      <c r="R208" s="6"/>
      <c r="S208" s="6"/>
      <c r="T208" s="6"/>
    </row>
    <row r="209" customFormat="false" ht="23.85" hidden="false" customHeight="false" outlineLevel="0" collapsed="false">
      <c r="A209" s="6" t="n">
        <v>208</v>
      </c>
      <c r="B209" s="6" t="s">
        <v>10</v>
      </c>
      <c r="C209" s="7" t="n">
        <v>0.652777777777778</v>
      </c>
      <c r="D209" s="7"/>
      <c r="E209" s="6" t="s">
        <v>21</v>
      </c>
      <c r="F209" s="6" t="s">
        <v>67</v>
      </c>
      <c r="G209" s="6" t="s">
        <v>953</v>
      </c>
      <c r="H209" s="6" t="s">
        <v>954</v>
      </c>
      <c r="I209" s="6" t="s">
        <v>955</v>
      </c>
      <c r="J209" s="6" t="s">
        <v>956</v>
      </c>
      <c r="K209" s="6" t="n">
        <v>2</v>
      </c>
      <c r="L209" s="6"/>
      <c r="M209" s="6" t="s">
        <v>119</v>
      </c>
      <c r="N209" s="6" t="s">
        <v>87</v>
      </c>
      <c r="O209" s="6" t="s">
        <v>119</v>
      </c>
      <c r="P209" s="6"/>
      <c r="Q209" s="6"/>
      <c r="R209" s="6"/>
      <c r="S209" s="6"/>
      <c r="T209" s="6"/>
    </row>
    <row r="210" customFormat="false" ht="23.85" hidden="false" customHeight="false" outlineLevel="0" collapsed="false">
      <c r="A210" s="6" t="n">
        <v>209</v>
      </c>
      <c r="B210" s="6" t="s">
        <v>10</v>
      </c>
      <c r="C210" s="7" t="n">
        <v>0.652777777777778</v>
      </c>
      <c r="D210" s="7"/>
      <c r="E210" s="6" t="s">
        <v>13</v>
      </c>
      <c r="F210" s="6" t="s">
        <v>81</v>
      </c>
      <c r="G210" s="6" t="s">
        <v>957</v>
      </c>
      <c r="H210" s="6" t="s">
        <v>958</v>
      </c>
      <c r="I210" s="6" t="s">
        <v>959</v>
      </c>
      <c r="J210" s="6" t="s">
        <v>960</v>
      </c>
      <c r="K210" s="6" t="n">
        <v>1</v>
      </c>
      <c r="L210" s="6"/>
      <c r="M210" s="6" t="s">
        <v>114</v>
      </c>
      <c r="N210" s="6" t="s">
        <v>65</v>
      </c>
      <c r="O210" s="6" t="s">
        <v>114</v>
      </c>
      <c r="P210" s="6"/>
      <c r="Q210" s="6"/>
      <c r="R210" s="6"/>
      <c r="S210" s="6"/>
      <c r="T210" s="6"/>
    </row>
    <row r="211" customFormat="false" ht="46.25" hidden="false" customHeight="false" outlineLevel="0" collapsed="false">
      <c r="A211" s="6" t="n">
        <v>210</v>
      </c>
      <c r="B211" s="6" t="s">
        <v>10</v>
      </c>
      <c r="C211" s="7" t="n">
        <v>0.652777777777778</v>
      </c>
      <c r="D211" s="7"/>
      <c r="E211" s="6" t="s">
        <v>33</v>
      </c>
      <c r="F211" s="6" t="s">
        <v>67</v>
      </c>
      <c r="G211" s="6" t="s">
        <v>961</v>
      </c>
      <c r="H211" s="6" t="s">
        <v>962</v>
      </c>
      <c r="I211" s="6" t="s">
        <v>963</v>
      </c>
      <c r="J211" s="6" t="s">
        <v>964</v>
      </c>
      <c r="K211" s="6" t="n">
        <v>3</v>
      </c>
      <c r="L211" s="6"/>
      <c r="M211" s="6" t="s">
        <v>103</v>
      </c>
      <c r="N211" s="6" t="s">
        <v>87</v>
      </c>
      <c r="O211" s="6" t="s">
        <v>103</v>
      </c>
      <c r="P211" s="6"/>
      <c r="Q211" s="6"/>
      <c r="R211" s="6"/>
      <c r="S211" s="6"/>
      <c r="T211" s="6"/>
    </row>
    <row r="212" customFormat="false" ht="35.05" hidden="false" customHeight="false" outlineLevel="0" collapsed="false">
      <c r="A212" s="6" t="n">
        <v>211</v>
      </c>
      <c r="B212" s="6" t="s">
        <v>10</v>
      </c>
      <c r="C212" s="7" t="n">
        <v>0.652777777777778</v>
      </c>
      <c r="D212" s="7"/>
      <c r="E212" s="6" t="s">
        <v>17</v>
      </c>
      <c r="F212" s="6" t="s">
        <v>67</v>
      </c>
      <c r="G212" s="6" t="s">
        <v>965</v>
      </c>
      <c r="H212" s="6" t="s">
        <v>966</v>
      </c>
      <c r="I212" s="6" t="s">
        <v>967</v>
      </c>
      <c r="J212" s="6" t="s">
        <v>968</v>
      </c>
      <c r="K212" s="6" t="n">
        <v>2</v>
      </c>
      <c r="L212" s="6"/>
      <c r="M212" s="6" t="s">
        <v>80</v>
      </c>
      <c r="N212" s="6" t="s">
        <v>65</v>
      </c>
      <c r="O212" s="6" t="s">
        <v>80</v>
      </c>
      <c r="P212" s="6"/>
      <c r="Q212" s="6"/>
      <c r="R212" s="6"/>
      <c r="S212" s="6"/>
      <c r="T212" s="6"/>
    </row>
    <row r="213" customFormat="false" ht="35.05" hidden="false" customHeight="false" outlineLevel="0" collapsed="false">
      <c r="A213" s="6" t="n">
        <v>212</v>
      </c>
      <c r="B213" s="6" t="s">
        <v>10</v>
      </c>
      <c r="C213" s="7" t="n">
        <v>0.652777777777778</v>
      </c>
      <c r="D213" s="7"/>
      <c r="E213" s="6" t="s">
        <v>37</v>
      </c>
      <c r="F213" s="6" t="s">
        <v>67</v>
      </c>
      <c r="G213" s="6" t="s">
        <v>969</v>
      </c>
      <c r="H213" s="6" t="s">
        <v>970</v>
      </c>
      <c r="I213" s="6" t="s">
        <v>971</v>
      </c>
      <c r="J213" s="6" t="s">
        <v>972</v>
      </c>
      <c r="K213" s="6" t="n">
        <v>2</v>
      </c>
      <c r="L213" s="6"/>
      <c r="M213" s="6" t="s">
        <v>97</v>
      </c>
      <c r="N213" s="6" t="s">
        <v>65</v>
      </c>
      <c r="O213" s="6" t="s">
        <v>97</v>
      </c>
      <c r="P213" s="6"/>
      <c r="Q213" s="6"/>
      <c r="R213" s="6"/>
      <c r="S213" s="6"/>
      <c r="T213" s="6"/>
    </row>
    <row r="214" customFormat="false" ht="23.85" hidden="false" customHeight="false" outlineLevel="0" collapsed="false">
      <c r="A214" s="6" t="n">
        <v>213</v>
      </c>
      <c r="B214" s="6" t="s">
        <v>10</v>
      </c>
      <c r="C214" s="7" t="n">
        <v>0.652777777777778</v>
      </c>
      <c r="D214" s="7"/>
      <c r="E214" s="6" t="s">
        <v>19</v>
      </c>
      <c r="F214" s="6" t="s">
        <v>81</v>
      </c>
      <c r="G214" s="6" t="s">
        <v>973</v>
      </c>
      <c r="H214" s="6" t="s">
        <v>974</v>
      </c>
      <c r="I214" s="6" t="s">
        <v>975</v>
      </c>
      <c r="J214" s="6" t="s">
        <v>976</v>
      </c>
      <c r="K214" s="6" t="n">
        <v>1</v>
      </c>
      <c r="L214" s="6"/>
      <c r="M214" s="6" t="s">
        <v>86</v>
      </c>
      <c r="N214" s="6" t="s">
        <v>87</v>
      </c>
      <c r="O214" s="6" t="s">
        <v>501</v>
      </c>
      <c r="P214" s="6"/>
      <c r="Q214" s="6"/>
      <c r="R214" s="6"/>
      <c r="S214" s="6"/>
      <c r="T214" s="6"/>
    </row>
    <row r="215" customFormat="false" ht="23.85" hidden="false" customHeight="false" outlineLevel="0" collapsed="false">
      <c r="A215" s="6" t="n">
        <v>214</v>
      </c>
      <c r="B215" s="6" t="s">
        <v>10</v>
      </c>
      <c r="C215" s="7" t="n">
        <v>0.652777777777778</v>
      </c>
      <c r="D215" s="7"/>
      <c r="E215" s="6" t="s">
        <v>36</v>
      </c>
      <c r="F215" s="6" t="s">
        <v>156</v>
      </c>
      <c r="G215" s="6" t="s">
        <v>977</v>
      </c>
      <c r="H215" s="6" t="s">
        <v>978</v>
      </c>
      <c r="I215" s="6" t="s">
        <v>979</v>
      </c>
      <c r="J215" s="6" t="s">
        <v>980</v>
      </c>
      <c r="K215" s="6" t="n">
        <v>1</v>
      </c>
      <c r="L215" s="6"/>
      <c r="M215" s="6" t="s">
        <v>36</v>
      </c>
      <c r="N215" s="6"/>
      <c r="O215" s="6" t="s">
        <v>36</v>
      </c>
      <c r="P215" s="6"/>
      <c r="Q215" s="6"/>
      <c r="R215" s="6"/>
      <c r="S215" s="6"/>
      <c r="T215" s="6"/>
    </row>
    <row r="216" customFormat="false" ht="35.05" hidden="false" customHeight="false" outlineLevel="0" collapsed="false">
      <c r="A216" s="6" t="n">
        <v>215</v>
      </c>
      <c r="B216" s="6" t="s">
        <v>10</v>
      </c>
      <c r="C216" s="7" t="n">
        <v>0.652777777777778</v>
      </c>
      <c r="D216" s="7"/>
      <c r="E216" s="6" t="s">
        <v>15</v>
      </c>
      <c r="F216" s="6" t="s">
        <v>67</v>
      </c>
      <c r="G216" s="6" t="s">
        <v>981</v>
      </c>
      <c r="H216" s="6" t="s">
        <v>982</v>
      </c>
      <c r="I216" s="6" t="s">
        <v>983</v>
      </c>
      <c r="J216" s="6" t="s">
        <v>984</v>
      </c>
      <c r="K216" s="6" t="n">
        <v>2</v>
      </c>
      <c r="L216" s="6"/>
      <c r="M216" s="6" t="s">
        <v>64</v>
      </c>
      <c r="N216" s="6" t="s">
        <v>65</v>
      </c>
      <c r="O216" s="6" t="s">
        <v>64</v>
      </c>
      <c r="P216" s="6"/>
      <c r="Q216" s="6"/>
      <c r="R216" s="6"/>
      <c r="S216" s="6"/>
      <c r="T216" s="6"/>
    </row>
    <row r="217" customFormat="false" ht="35.05" hidden="false" customHeight="false" outlineLevel="0" collapsed="false">
      <c r="A217" s="6" t="n">
        <v>216</v>
      </c>
      <c r="B217" s="6" t="s">
        <v>10</v>
      </c>
      <c r="C217" s="7" t="n">
        <v>0.652777777777778</v>
      </c>
      <c r="D217" s="7"/>
      <c r="E217" s="6" t="s">
        <v>32</v>
      </c>
      <c r="F217" s="6" t="s">
        <v>67</v>
      </c>
      <c r="G217" s="6" t="s">
        <v>985</v>
      </c>
      <c r="H217" s="6" t="s">
        <v>986</v>
      </c>
      <c r="I217" s="6" t="s">
        <v>987</v>
      </c>
      <c r="J217" s="6" t="s">
        <v>988</v>
      </c>
      <c r="K217" s="6" t="n">
        <v>2</v>
      </c>
      <c r="L217" s="6"/>
      <c r="M217" s="6" t="s">
        <v>108</v>
      </c>
      <c r="N217" s="6" t="s">
        <v>87</v>
      </c>
      <c r="O217" s="6" t="s">
        <v>109</v>
      </c>
      <c r="P217" s="6"/>
      <c r="Q217" s="6"/>
      <c r="R217" s="6"/>
      <c r="S217" s="6"/>
      <c r="T217" s="6"/>
    </row>
    <row r="218" customFormat="false" ht="35.05" hidden="false" customHeight="false" outlineLevel="0" collapsed="false">
      <c r="A218" s="6" t="n">
        <v>217</v>
      </c>
      <c r="B218" s="6" t="s">
        <v>10</v>
      </c>
      <c r="C218" s="7" t="n">
        <v>0.652777777777778</v>
      </c>
      <c r="D218" s="7"/>
      <c r="E218" s="6" t="s">
        <v>29</v>
      </c>
      <c r="F218" s="6" t="s">
        <v>67</v>
      </c>
      <c r="G218" s="6" t="s">
        <v>989</v>
      </c>
      <c r="H218" s="6" t="s">
        <v>990</v>
      </c>
      <c r="I218" s="6" t="s">
        <v>991</v>
      </c>
      <c r="J218" s="6" t="s">
        <v>992</v>
      </c>
      <c r="K218" s="6" t="n">
        <v>2</v>
      </c>
      <c r="L218" s="6"/>
      <c r="M218" s="6" t="s">
        <v>255</v>
      </c>
      <c r="N218" s="6" t="s">
        <v>87</v>
      </c>
      <c r="O218" s="6" t="s">
        <v>723</v>
      </c>
      <c r="P218" s="6"/>
      <c r="Q218" s="6"/>
      <c r="R218" s="6"/>
      <c r="S218" s="6"/>
      <c r="T218" s="6"/>
    </row>
    <row r="219" customFormat="false" ht="23.85" hidden="false" customHeight="false" outlineLevel="0" collapsed="false">
      <c r="A219" s="6" t="n">
        <v>218</v>
      </c>
      <c r="B219" s="6" t="s">
        <v>10</v>
      </c>
      <c r="C219" s="7" t="n">
        <v>0.659722222222222</v>
      </c>
      <c r="D219" s="7"/>
      <c r="E219" s="6" t="s">
        <v>37</v>
      </c>
      <c r="F219" s="6" t="s">
        <v>81</v>
      </c>
      <c r="G219" s="6" t="s">
        <v>993</v>
      </c>
      <c r="H219" s="6" t="s">
        <v>994</v>
      </c>
      <c r="I219" s="6" t="s">
        <v>995</v>
      </c>
      <c r="J219" s="6" t="s">
        <v>102</v>
      </c>
      <c r="K219" s="6" t="n">
        <v>1</v>
      </c>
      <c r="L219" s="6"/>
      <c r="M219" s="6" t="s">
        <v>97</v>
      </c>
      <c r="N219" s="6" t="s">
        <v>65</v>
      </c>
      <c r="O219" s="6" t="s">
        <v>97</v>
      </c>
      <c r="P219" s="6"/>
      <c r="Q219" s="6"/>
      <c r="R219" s="6"/>
      <c r="S219" s="6"/>
      <c r="T219" s="6"/>
    </row>
    <row r="220" customFormat="false" ht="23.85" hidden="false" customHeight="false" outlineLevel="0" collapsed="false">
      <c r="A220" s="6" t="n">
        <v>219</v>
      </c>
      <c r="B220" s="6" t="s">
        <v>10</v>
      </c>
      <c r="C220" s="7" t="n">
        <v>0.659722222222222</v>
      </c>
      <c r="D220" s="7"/>
      <c r="E220" s="6" t="s">
        <v>14</v>
      </c>
      <c r="F220" s="6" t="s">
        <v>81</v>
      </c>
      <c r="G220" s="6" t="s">
        <v>996</v>
      </c>
      <c r="H220" s="6" t="s">
        <v>997</v>
      </c>
      <c r="I220" s="6" t="s">
        <v>998</v>
      </c>
      <c r="J220" s="6" t="s">
        <v>999</v>
      </c>
      <c r="K220" s="6" t="n">
        <v>1</v>
      </c>
      <c r="L220" s="6"/>
      <c r="M220" s="6" t="s">
        <v>588</v>
      </c>
      <c r="N220" s="6" t="s">
        <v>87</v>
      </c>
      <c r="O220" s="6" t="s">
        <v>588</v>
      </c>
      <c r="P220" s="6"/>
      <c r="Q220" s="6"/>
      <c r="R220" s="6"/>
      <c r="S220" s="6"/>
      <c r="T220" s="6"/>
    </row>
    <row r="221" customFormat="false" ht="23.85" hidden="false" customHeight="false" outlineLevel="0" collapsed="false">
      <c r="A221" s="6" t="n">
        <v>220</v>
      </c>
      <c r="B221" s="6" t="s">
        <v>10</v>
      </c>
      <c r="C221" s="7" t="n">
        <v>0.659722222222222</v>
      </c>
      <c r="D221" s="7"/>
      <c r="E221" s="6" t="s">
        <v>36</v>
      </c>
      <c r="F221" s="6" t="s">
        <v>156</v>
      </c>
      <c r="G221" s="6" t="s">
        <v>1000</v>
      </c>
      <c r="H221" s="6" t="s">
        <v>1001</v>
      </c>
      <c r="I221" s="6" t="s">
        <v>1002</v>
      </c>
      <c r="J221" s="6" t="s">
        <v>1003</v>
      </c>
      <c r="K221" s="6" t="n">
        <v>1</v>
      </c>
      <c r="L221" s="6"/>
      <c r="M221" s="6" t="s">
        <v>36</v>
      </c>
      <c r="N221" s="6"/>
      <c r="O221" s="6" t="s">
        <v>36</v>
      </c>
      <c r="P221" s="6"/>
      <c r="Q221" s="6"/>
      <c r="R221" s="6"/>
      <c r="S221" s="6"/>
      <c r="T221" s="6"/>
    </row>
    <row r="222" customFormat="false" ht="46.25" hidden="false" customHeight="false" outlineLevel="0" collapsed="false">
      <c r="A222" s="6" t="n">
        <v>221</v>
      </c>
      <c r="B222" s="6" t="s">
        <v>10</v>
      </c>
      <c r="C222" s="7" t="n">
        <v>0.663194444444444</v>
      </c>
      <c r="D222" s="7"/>
      <c r="E222" s="6" t="s">
        <v>23</v>
      </c>
      <c r="F222" s="6" t="s">
        <v>67</v>
      </c>
      <c r="G222" s="6" t="s">
        <v>1004</v>
      </c>
      <c r="H222" s="6" t="s">
        <v>1005</v>
      </c>
      <c r="I222" s="6" t="s">
        <v>1006</v>
      </c>
      <c r="J222" s="6" t="s">
        <v>1007</v>
      </c>
      <c r="K222" s="6" t="n">
        <v>2</v>
      </c>
      <c r="L222" s="6"/>
      <c r="M222" s="6" t="s">
        <v>732</v>
      </c>
      <c r="N222" s="6" t="s">
        <v>87</v>
      </c>
      <c r="O222" s="6" t="s">
        <v>733</v>
      </c>
      <c r="P222" s="6" t="s">
        <v>1008</v>
      </c>
      <c r="Q222" s="6"/>
      <c r="R222" s="6"/>
      <c r="S222" s="6"/>
      <c r="T222" s="6"/>
    </row>
    <row r="223" customFormat="false" ht="23.85" hidden="false" customHeight="false" outlineLevel="0" collapsed="false">
      <c r="A223" s="6" t="n">
        <v>222</v>
      </c>
      <c r="B223" s="6" t="s">
        <v>10</v>
      </c>
      <c r="C223" s="7" t="n">
        <v>0.663194444444444</v>
      </c>
      <c r="D223" s="7"/>
      <c r="E223" s="6" t="s">
        <v>21</v>
      </c>
      <c r="F223" s="6" t="s">
        <v>67</v>
      </c>
      <c r="G223" s="6" t="s">
        <v>1009</v>
      </c>
      <c r="H223" s="6" t="s">
        <v>1010</v>
      </c>
      <c r="I223" s="6" t="s">
        <v>1011</v>
      </c>
      <c r="J223" s="6" t="s">
        <v>587</v>
      </c>
      <c r="K223" s="6" t="n">
        <v>1</v>
      </c>
      <c r="L223" s="6"/>
      <c r="M223" s="6" t="s">
        <v>119</v>
      </c>
      <c r="N223" s="6" t="s">
        <v>87</v>
      </c>
      <c r="O223" s="6" t="s">
        <v>1012</v>
      </c>
      <c r="P223" s="6"/>
      <c r="Q223" s="6"/>
      <c r="R223" s="6"/>
      <c r="S223" s="6"/>
      <c r="T223" s="6"/>
    </row>
    <row r="224" customFormat="false" ht="35.05" hidden="false" customHeight="false" outlineLevel="0" collapsed="false">
      <c r="A224" s="6" t="n">
        <v>223</v>
      </c>
      <c r="B224" s="6" t="s">
        <v>10</v>
      </c>
      <c r="C224" s="7" t="n">
        <v>0.663194444444444</v>
      </c>
      <c r="D224" s="7"/>
      <c r="E224" s="6" t="s">
        <v>33</v>
      </c>
      <c r="F224" s="6" t="s">
        <v>81</v>
      </c>
      <c r="G224" s="6" t="s">
        <v>1013</v>
      </c>
      <c r="H224" s="6" t="s">
        <v>1014</v>
      </c>
      <c r="I224" s="6" t="s">
        <v>1015</v>
      </c>
      <c r="J224" s="6" t="s">
        <v>1016</v>
      </c>
      <c r="K224" s="6" t="n">
        <v>2</v>
      </c>
      <c r="L224" s="6"/>
      <c r="M224" s="6" t="s">
        <v>103</v>
      </c>
      <c r="N224" s="6" t="s">
        <v>87</v>
      </c>
      <c r="O224" s="6" t="s">
        <v>103</v>
      </c>
      <c r="P224" s="6"/>
      <c r="Q224" s="6"/>
      <c r="R224" s="6"/>
      <c r="S224" s="6"/>
      <c r="T224" s="6"/>
    </row>
    <row r="225" customFormat="false" ht="46.25" hidden="false" customHeight="false" outlineLevel="0" collapsed="false">
      <c r="A225" s="6" t="n">
        <v>224</v>
      </c>
      <c r="B225" s="6" t="s">
        <v>10</v>
      </c>
      <c r="C225" s="7" t="n">
        <v>0.663194444444444</v>
      </c>
      <c r="D225" s="7"/>
      <c r="E225" s="6" t="s">
        <v>29</v>
      </c>
      <c r="F225" s="6" t="s">
        <v>134</v>
      </c>
      <c r="G225" s="6" t="s">
        <v>1017</v>
      </c>
      <c r="H225" s="6" t="s">
        <v>1018</v>
      </c>
      <c r="I225" s="6" t="s">
        <v>1019</v>
      </c>
      <c r="J225" s="6" t="s">
        <v>1020</v>
      </c>
      <c r="K225" s="6" t="n">
        <v>3</v>
      </c>
      <c r="L225" s="6" t="n">
        <v>2</v>
      </c>
      <c r="M225" s="6" t="s">
        <v>255</v>
      </c>
      <c r="N225" s="6" t="s">
        <v>87</v>
      </c>
      <c r="O225" s="6" t="s">
        <v>795</v>
      </c>
      <c r="P225" s="6"/>
      <c r="Q225" s="6"/>
      <c r="R225" s="6"/>
      <c r="S225" s="6"/>
      <c r="T225" s="6"/>
    </row>
    <row r="226" customFormat="false" ht="102.2" hidden="false" customHeight="false" outlineLevel="0" collapsed="false">
      <c r="A226" s="6" t="n">
        <v>225</v>
      </c>
      <c r="B226" s="6" t="s">
        <v>10</v>
      </c>
      <c r="C226" s="7" t="n">
        <v>0.663194444444444</v>
      </c>
      <c r="D226" s="7"/>
      <c r="E226" s="6" t="s">
        <v>13</v>
      </c>
      <c r="F226" s="6" t="s">
        <v>81</v>
      </c>
      <c r="G226" s="6" t="s">
        <v>1021</v>
      </c>
      <c r="H226" s="6" t="s">
        <v>1022</v>
      </c>
      <c r="I226" s="6" t="s">
        <v>1023</v>
      </c>
      <c r="J226" s="6" t="s">
        <v>1024</v>
      </c>
      <c r="K226" s="6" t="n">
        <v>1</v>
      </c>
      <c r="L226" s="6"/>
      <c r="M226" s="6" t="s">
        <v>114</v>
      </c>
      <c r="N226" s="6" t="s">
        <v>65</v>
      </c>
      <c r="O226" s="6" t="s">
        <v>114</v>
      </c>
      <c r="P226" s="6" t="s">
        <v>1025</v>
      </c>
      <c r="Q226" s="6"/>
      <c r="R226" s="6"/>
      <c r="S226" s="6"/>
      <c r="T226" s="6"/>
    </row>
    <row r="227" customFormat="false" ht="23.85" hidden="false" customHeight="false" outlineLevel="0" collapsed="false">
      <c r="A227" s="6" t="n">
        <v>226</v>
      </c>
      <c r="B227" s="6" t="s">
        <v>10</v>
      </c>
      <c r="C227" s="7" t="n">
        <v>0.663194444444444</v>
      </c>
      <c r="D227" s="7"/>
      <c r="E227" s="6" t="s">
        <v>19</v>
      </c>
      <c r="F227" s="6" t="s">
        <v>81</v>
      </c>
      <c r="G227" s="6" t="s">
        <v>1026</v>
      </c>
      <c r="H227" s="6" t="s">
        <v>1027</v>
      </c>
      <c r="I227" s="6" t="s">
        <v>1028</v>
      </c>
      <c r="J227" s="6" t="s">
        <v>1029</v>
      </c>
      <c r="K227" s="6" t="n">
        <v>1</v>
      </c>
      <c r="L227" s="6"/>
      <c r="M227" s="6" t="s">
        <v>86</v>
      </c>
      <c r="N227" s="6" t="s">
        <v>87</v>
      </c>
      <c r="O227" s="6" t="s">
        <v>501</v>
      </c>
      <c r="P227" s="6"/>
      <c r="Q227" s="6"/>
      <c r="R227" s="6"/>
      <c r="S227" s="6"/>
      <c r="T227" s="6"/>
    </row>
    <row r="228" customFormat="false" ht="23.85" hidden="false" customHeight="false" outlineLevel="0" collapsed="false">
      <c r="A228" s="6" t="n">
        <v>227</v>
      </c>
      <c r="B228" s="6" t="s">
        <v>10</v>
      </c>
      <c r="C228" s="7" t="n">
        <v>0.663194444444444</v>
      </c>
      <c r="D228" s="7"/>
      <c r="E228" s="6" t="s">
        <v>15</v>
      </c>
      <c r="F228" s="6" t="s">
        <v>81</v>
      </c>
      <c r="G228" s="6" t="s">
        <v>1030</v>
      </c>
      <c r="H228" s="6" t="s">
        <v>1031</v>
      </c>
      <c r="I228" s="6" t="s">
        <v>1032</v>
      </c>
      <c r="J228" s="6" t="s">
        <v>1033</v>
      </c>
      <c r="K228" s="6" t="n">
        <v>1</v>
      </c>
      <c r="L228" s="6"/>
      <c r="M228" s="6"/>
      <c r="N228" s="6"/>
      <c r="O228" s="6"/>
      <c r="P228" s="6"/>
      <c r="Q228" s="6"/>
      <c r="R228" s="6"/>
      <c r="S228" s="6"/>
      <c r="T228" s="6"/>
    </row>
    <row r="229" customFormat="false" ht="23.85" hidden="false" customHeight="false" outlineLevel="0" collapsed="false">
      <c r="A229" s="6" t="n">
        <v>228</v>
      </c>
      <c r="B229" s="6" t="s">
        <v>10</v>
      </c>
      <c r="C229" s="7" t="n">
        <v>0.663194444444444</v>
      </c>
      <c r="D229" s="7"/>
      <c r="E229" s="6" t="s">
        <v>32</v>
      </c>
      <c r="F229" s="6" t="s">
        <v>67</v>
      </c>
      <c r="G229" s="6" t="s">
        <v>1034</v>
      </c>
      <c r="H229" s="6" t="s">
        <v>1035</v>
      </c>
      <c r="I229" s="6" t="s">
        <v>1036</v>
      </c>
      <c r="J229" s="6" t="s">
        <v>1037</v>
      </c>
      <c r="K229" s="6" t="n">
        <v>2</v>
      </c>
      <c r="L229" s="6"/>
      <c r="M229" s="6" t="s">
        <v>108</v>
      </c>
      <c r="N229" s="6" t="s">
        <v>87</v>
      </c>
      <c r="O229" s="6" t="s">
        <v>109</v>
      </c>
      <c r="P229" s="6"/>
      <c r="Q229" s="6"/>
      <c r="R229" s="6"/>
      <c r="S229" s="6"/>
      <c r="T229" s="6"/>
    </row>
    <row r="230" customFormat="false" ht="23.85" hidden="false" customHeight="false" outlineLevel="0" collapsed="false">
      <c r="A230" s="6" t="n">
        <v>229</v>
      </c>
      <c r="B230" s="6" t="s">
        <v>10</v>
      </c>
      <c r="C230" s="7" t="n">
        <v>0.663194444444444</v>
      </c>
      <c r="D230" s="7"/>
      <c r="E230" s="6" t="s">
        <v>17</v>
      </c>
      <c r="F230" s="6" t="s">
        <v>215</v>
      </c>
      <c r="G230" s="6" t="s">
        <v>1038</v>
      </c>
      <c r="H230" s="6" t="s">
        <v>1039</v>
      </c>
      <c r="I230" s="6" t="s">
        <v>1040</v>
      </c>
      <c r="J230" s="6" t="s">
        <v>1041</v>
      </c>
      <c r="K230" s="6" t="n">
        <v>1</v>
      </c>
      <c r="L230" s="6"/>
      <c r="M230" s="6" t="s">
        <v>80</v>
      </c>
      <c r="N230" s="6" t="s">
        <v>65</v>
      </c>
      <c r="O230" s="6" t="s">
        <v>80</v>
      </c>
      <c r="P230" s="6"/>
      <c r="Q230" s="6"/>
      <c r="R230" s="6"/>
      <c r="S230" s="6"/>
      <c r="T230" s="6"/>
    </row>
    <row r="231" customFormat="false" ht="35.05" hidden="false" customHeight="false" outlineLevel="0" collapsed="false">
      <c r="A231" s="6" t="n">
        <v>230</v>
      </c>
      <c r="B231" s="6" t="s">
        <v>10</v>
      </c>
      <c r="C231" s="7" t="n">
        <v>0.666666666666667</v>
      </c>
      <c r="D231" s="7"/>
      <c r="E231" s="6" t="s">
        <v>37</v>
      </c>
      <c r="F231" s="6" t="s">
        <v>67</v>
      </c>
      <c r="G231" s="6" t="s">
        <v>1042</v>
      </c>
      <c r="H231" s="6" t="s">
        <v>1043</v>
      </c>
      <c r="I231" s="6" t="s">
        <v>1044</v>
      </c>
      <c r="J231" s="6" t="s">
        <v>1045</v>
      </c>
      <c r="K231" s="6" t="n">
        <v>2</v>
      </c>
      <c r="L231" s="6"/>
      <c r="M231" s="6" t="s">
        <v>97</v>
      </c>
      <c r="N231" s="6" t="s">
        <v>65</v>
      </c>
      <c r="O231" s="6" t="s">
        <v>97</v>
      </c>
      <c r="P231" s="6"/>
      <c r="Q231" s="6"/>
      <c r="R231" s="6"/>
      <c r="S231" s="6"/>
      <c r="T231" s="6"/>
    </row>
    <row r="232" customFormat="false" ht="23.85" hidden="false" customHeight="false" outlineLevel="0" collapsed="false">
      <c r="A232" s="6" t="n">
        <v>231</v>
      </c>
      <c r="B232" s="6" t="s">
        <v>10</v>
      </c>
      <c r="C232" s="7" t="n">
        <v>0.666666666666667</v>
      </c>
      <c r="D232" s="7"/>
      <c r="E232" s="6" t="s">
        <v>36</v>
      </c>
      <c r="F232" s="6" t="s">
        <v>156</v>
      </c>
      <c r="G232" s="6" t="s">
        <v>1046</v>
      </c>
      <c r="H232" s="6" t="s">
        <v>1047</v>
      </c>
      <c r="I232" s="6" t="s">
        <v>1048</v>
      </c>
      <c r="J232" s="6" t="s">
        <v>1049</v>
      </c>
      <c r="K232" s="6" t="n">
        <v>1</v>
      </c>
      <c r="L232" s="6"/>
      <c r="M232" s="6" t="s">
        <v>36</v>
      </c>
      <c r="N232" s="6"/>
      <c r="O232" s="6" t="s">
        <v>36</v>
      </c>
      <c r="P232" s="6"/>
      <c r="Q232" s="6"/>
      <c r="R232" s="6"/>
      <c r="S232" s="6"/>
      <c r="T232" s="6"/>
    </row>
    <row r="233" customFormat="false" ht="79.85" hidden="false" customHeight="false" outlineLevel="0" collapsed="false">
      <c r="A233" s="6" t="n">
        <v>232</v>
      </c>
      <c r="B233" s="6" t="s">
        <v>10</v>
      </c>
      <c r="C233" s="7" t="n">
        <v>0.670138888888889</v>
      </c>
      <c r="D233" s="7"/>
      <c r="E233" s="6" t="s">
        <v>14</v>
      </c>
      <c r="F233" s="6" t="s">
        <v>81</v>
      </c>
      <c r="G233" s="6" t="s">
        <v>1050</v>
      </c>
      <c r="H233" s="6" t="s">
        <v>1051</v>
      </c>
      <c r="I233" s="6" t="s">
        <v>1052</v>
      </c>
      <c r="J233" s="6" t="s">
        <v>1053</v>
      </c>
      <c r="K233" s="6" t="n">
        <v>1</v>
      </c>
      <c r="L233" s="6"/>
      <c r="M233" s="6" t="s">
        <v>588</v>
      </c>
      <c r="N233" s="6" t="s">
        <v>87</v>
      </c>
      <c r="O233" s="6" t="s">
        <v>948</v>
      </c>
      <c r="P233" s="6" t="s">
        <v>1054</v>
      </c>
      <c r="Q233" s="6"/>
      <c r="R233" s="6"/>
      <c r="S233" s="6"/>
      <c r="T233" s="6"/>
    </row>
    <row r="234" customFormat="false" ht="23.85" hidden="false" customHeight="false" outlineLevel="0" collapsed="false">
      <c r="A234" s="6" t="n">
        <v>233</v>
      </c>
      <c r="B234" s="6" t="s">
        <v>10</v>
      </c>
      <c r="C234" s="7" t="n">
        <v>0.673611111111111</v>
      </c>
      <c r="D234" s="7"/>
      <c r="E234" s="6" t="s">
        <v>13</v>
      </c>
      <c r="F234" s="6" t="s">
        <v>81</v>
      </c>
      <c r="G234" s="6" t="s">
        <v>1055</v>
      </c>
      <c r="H234" s="6" t="s">
        <v>1056</v>
      </c>
      <c r="I234" s="6" t="s">
        <v>1057</v>
      </c>
      <c r="J234" s="6" t="s">
        <v>1058</v>
      </c>
      <c r="K234" s="6" t="n">
        <v>1</v>
      </c>
      <c r="L234" s="6"/>
      <c r="M234" s="6" t="s">
        <v>114</v>
      </c>
      <c r="N234" s="6" t="s">
        <v>65</v>
      </c>
      <c r="O234" s="6" t="s">
        <v>114</v>
      </c>
      <c r="P234" s="6"/>
      <c r="Q234" s="6"/>
      <c r="R234" s="6"/>
      <c r="S234" s="6"/>
      <c r="T234" s="6"/>
    </row>
    <row r="235" customFormat="false" ht="124.6" hidden="false" customHeight="false" outlineLevel="0" collapsed="false">
      <c r="A235" s="6" t="n">
        <v>234</v>
      </c>
      <c r="B235" s="6" t="s">
        <v>10</v>
      </c>
      <c r="C235" s="7" t="n">
        <v>0.673611111111111</v>
      </c>
      <c r="D235" s="7"/>
      <c r="E235" s="6" t="s">
        <v>23</v>
      </c>
      <c r="F235" s="6" t="s">
        <v>134</v>
      </c>
      <c r="G235" s="6" t="s">
        <v>1059</v>
      </c>
      <c r="H235" s="6" t="s">
        <v>1060</v>
      </c>
      <c r="I235" s="6" t="s">
        <v>1061</v>
      </c>
      <c r="J235" s="6" t="s">
        <v>1062</v>
      </c>
      <c r="K235" s="6" t="n">
        <v>3</v>
      </c>
      <c r="L235" s="6" t="n">
        <v>2</v>
      </c>
      <c r="M235" s="6" t="s">
        <v>732</v>
      </c>
      <c r="N235" s="6" t="s">
        <v>87</v>
      </c>
      <c r="O235" s="6" t="s">
        <v>733</v>
      </c>
      <c r="P235" s="6" t="s">
        <v>1063</v>
      </c>
      <c r="Q235" s="6"/>
      <c r="R235" s="6"/>
      <c r="S235" s="6"/>
      <c r="T235" s="6"/>
    </row>
    <row r="236" customFormat="false" ht="23.85" hidden="false" customHeight="false" outlineLevel="0" collapsed="false">
      <c r="A236" s="6" t="n">
        <v>235</v>
      </c>
      <c r="B236" s="6" t="s">
        <v>10</v>
      </c>
      <c r="C236" s="7" t="n">
        <v>0.673611111111111</v>
      </c>
      <c r="D236" s="7"/>
      <c r="E236" s="6" t="s">
        <v>36</v>
      </c>
      <c r="F236" s="6" t="s">
        <v>156</v>
      </c>
      <c r="G236" s="6" t="s">
        <v>1064</v>
      </c>
      <c r="H236" s="6" t="s">
        <v>1065</v>
      </c>
      <c r="I236" s="6" t="s">
        <v>1066</v>
      </c>
      <c r="J236" s="6" t="s">
        <v>1067</v>
      </c>
      <c r="K236" s="6" t="n">
        <v>1</v>
      </c>
      <c r="L236" s="6"/>
      <c r="M236" s="6" t="s">
        <v>36</v>
      </c>
      <c r="N236" s="6"/>
      <c r="O236" s="6" t="s">
        <v>36</v>
      </c>
      <c r="P236" s="6"/>
      <c r="Q236" s="6"/>
      <c r="R236" s="6"/>
      <c r="S236" s="6"/>
      <c r="T236" s="6"/>
    </row>
    <row r="237" customFormat="false" ht="68.65" hidden="false" customHeight="false" outlineLevel="0" collapsed="false">
      <c r="A237" s="6" t="n">
        <v>236</v>
      </c>
      <c r="B237" s="6" t="s">
        <v>10</v>
      </c>
      <c r="C237" s="7" t="n">
        <v>0.673611111111111</v>
      </c>
      <c r="D237" s="7"/>
      <c r="E237" s="6" t="s">
        <v>33</v>
      </c>
      <c r="F237" s="6" t="s">
        <v>215</v>
      </c>
      <c r="G237" s="6" t="s">
        <v>1068</v>
      </c>
      <c r="H237" s="6" t="s">
        <v>1069</v>
      </c>
      <c r="I237" s="6" t="s">
        <v>1070</v>
      </c>
      <c r="J237" s="6" t="s">
        <v>1071</v>
      </c>
      <c r="K237" s="6" t="n">
        <v>3</v>
      </c>
      <c r="L237" s="6" t="n">
        <v>1</v>
      </c>
      <c r="M237" s="6" t="s">
        <v>103</v>
      </c>
      <c r="N237" s="6" t="s">
        <v>87</v>
      </c>
      <c r="O237" s="6" t="s">
        <v>103</v>
      </c>
      <c r="P237" s="6" t="s">
        <v>1072</v>
      </c>
      <c r="Q237" s="6"/>
      <c r="R237" s="6"/>
      <c r="S237" s="6"/>
      <c r="T237" s="6"/>
    </row>
    <row r="238" customFormat="false" ht="68.65" hidden="false" customHeight="false" outlineLevel="0" collapsed="false">
      <c r="A238" s="6" t="n">
        <v>237</v>
      </c>
      <c r="B238" s="6" t="s">
        <v>10</v>
      </c>
      <c r="C238" s="7" t="n">
        <v>0.673611111111111</v>
      </c>
      <c r="D238" s="7"/>
      <c r="E238" s="6" t="s">
        <v>32</v>
      </c>
      <c r="F238" s="6" t="s">
        <v>134</v>
      </c>
      <c r="G238" s="6" t="s">
        <v>1073</v>
      </c>
      <c r="H238" s="6" t="s">
        <v>1074</v>
      </c>
      <c r="I238" s="6" t="s">
        <v>1075</v>
      </c>
      <c r="J238" s="6" t="s">
        <v>1076</v>
      </c>
      <c r="K238" s="6" t="n">
        <v>3</v>
      </c>
      <c r="L238" s="6" t="n">
        <v>2</v>
      </c>
      <c r="M238" s="6" t="s">
        <v>108</v>
      </c>
      <c r="N238" s="6" t="s">
        <v>87</v>
      </c>
      <c r="O238" s="6" t="s">
        <v>109</v>
      </c>
      <c r="P238" s="6" t="s">
        <v>1077</v>
      </c>
      <c r="Q238" s="6"/>
      <c r="R238" s="6"/>
      <c r="S238" s="6"/>
      <c r="T238" s="6"/>
    </row>
    <row r="239" customFormat="false" ht="23.85" hidden="false" customHeight="false" outlineLevel="0" collapsed="false">
      <c r="A239" s="6" t="n">
        <v>238</v>
      </c>
      <c r="B239" s="6" t="s">
        <v>10</v>
      </c>
      <c r="C239" s="7" t="n">
        <v>0.673611111111111</v>
      </c>
      <c r="D239" s="7"/>
      <c r="E239" s="6" t="s">
        <v>21</v>
      </c>
      <c r="F239" s="6" t="s">
        <v>81</v>
      </c>
      <c r="G239" s="6" t="s">
        <v>1078</v>
      </c>
      <c r="H239" s="6" t="s">
        <v>1079</v>
      </c>
      <c r="I239" s="6" t="s">
        <v>1080</v>
      </c>
      <c r="J239" s="6" t="s">
        <v>1081</v>
      </c>
      <c r="K239" s="6" t="n">
        <v>1</v>
      </c>
      <c r="L239" s="6"/>
      <c r="M239" s="6" t="s">
        <v>119</v>
      </c>
      <c r="N239" s="6" t="s">
        <v>87</v>
      </c>
      <c r="O239" s="6" t="s">
        <v>1012</v>
      </c>
      <c r="P239" s="6"/>
      <c r="Q239" s="6"/>
      <c r="R239" s="6"/>
      <c r="S239" s="6"/>
      <c r="T239" s="6"/>
    </row>
    <row r="240" customFormat="false" ht="91" hidden="false" customHeight="false" outlineLevel="0" collapsed="false">
      <c r="A240" s="6" t="n">
        <v>239</v>
      </c>
      <c r="B240" s="6" t="s">
        <v>10</v>
      </c>
      <c r="C240" s="7" t="n">
        <v>0.673611111111111</v>
      </c>
      <c r="D240" s="7"/>
      <c r="E240" s="6" t="s">
        <v>15</v>
      </c>
      <c r="F240" s="6" t="s">
        <v>134</v>
      </c>
      <c r="G240" s="6" t="s">
        <v>1082</v>
      </c>
      <c r="H240" s="6" t="s">
        <v>1083</v>
      </c>
      <c r="I240" s="6" t="s">
        <v>1084</v>
      </c>
      <c r="J240" s="6" t="s">
        <v>1085</v>
      </c>
      <c r="K240" s="6" t="n">
        <v>3</v>
      </c>
      <c r="L240" s="6" t="n">
        <v>3</v>
      </c>
      <c r="M240" s="6" t="s">
        <v>64</v>
      </c>
      <c r="N240" s="6" t="s">
        <v>65</v>
      </c>
      <c r="O240" s="6" t="s">
        <v>64</v>
      </c>
      <c r="P240" s="6" t="s">
        <v>1086</v>
      </c>
      <c r="Q240" s="6"/>
      <c r="R240" s="6"/>
      <c r="S240" s="6"/>
      <c r="T240" s="6"/>
    </row>
    <row r="241" customFormat="false" ht="68.65" hidden="false" customHeight="false" outlineLevel="0" collapsed="false">
      <c r="A241" s="6" t="n">
        <v>240</v>
      </c>
      <c r="B241" s="6" t="s">
        <v>10</v>
      </c>
      <c r="C241" s="7" t="n">
        <v>0.673611111111111</v>
      </c>
      <c r="D241" s="7"/>
      <c r="E241" s="6" t="s">
        <v>19</v>
      </c>
      <c r="F241" s="6" t="s">
        <v>134</v>
      </c>
      <c r="G241" s="6" t="s">
        <v>1087</v>
      </c>
      <c r="H241" s="6" t="s">
        <v>1088</v>
      </c>
      <c r="I241" s="6" t="s">
        <v>1089</v>
      </c>
      <c r="J241" s="6" t="s">
        <v>1090</v>
      </c>
      <c r="K241" s="6" t="n">
        <v>3</v>
      </c>
      <c r="L241" s="6" t="n">
        <v>2</v>
      </c>
      <c r="M241" s="6" t="s">
        <v>86</v>
      </c>
      <c r="N241" s="6" t="s">
        <v>87</v>
      </c>
      <c r="O241" s="6" t="s">
        <v>86</v>
      </c>
      <c r="P241" s="6" t="s">
        <v>1091</v>
      </c>
      <c r="Q241" s="6"/>
      <c r="R241" s="6"/>
      <c r="S241" s="6"/>
      <c r="T241" s="6"/>
    </row>
    <row r="242" customFormat="false" ht="113.4" hidden="false" customHeight="false" outlineLevel="0" collapsed="false">
      <c r="A242" s="6" t="n">
        <v>241</v>
      </c>
      <c r="B242" s="6" t="s">
        <v>10</v>
      </c>
      <c r="C242" s="7" t="n">
        <v>0.673611111111111</v>
      </c>
      <c r="D242" s="7"/>
      <c r="E242" s="6" t="s">
        <v>17</v>
      </c>
      <c r="F242" s="6" t="s">
        <v>134</v>
      </c>
      <c r="G242" s="6" t="s">
        <v>1092</v>
      </c>
      <c r="H242" s="6" t="s">
        <v>1093</v>
      </c>
      <c r="I242" s="6" t="s">
        <v>1094</v>
      </c>
      <c r="J242" s="6" t="s">
        <v>1095</v>
      </c>
      <c r="K242" s="6" t="n">
        <v>3</v>
      </c>
      <c r="L242" s="6" t="n">
        <v>2</v>
      </c>
      <c r="M242" s="6" t="s">
        <v>80</v>
      </c>
      <c r="N242" s="6" t="s">
        <v>65</v>
      </c>
      <c r="O242" s="6" t="s">
        <v>80</v>
      </c>
      <c r="P242" s="6" t="s">
        <v>1096</v>
      </c>
      <c r="Q242" s="6"/>
      <c r="R242" s="6"/>
      <c r="S242" s="6"/>
      <c r="T242" s="6"/>
    </row>
    <row r="243" customFormat="false" ht="23.85" hidden="false" customHeight="false" outlineLevel="0" collapsed="false">
      <c r="A243" s="6" t="n">
        <v>242</v>
      </c>
      <c r="B243" s="6" t="s">
        <v>10</v>
      </c>
      <c r="C243" s="7" t="n">
        <v>0.677083333333333</v>
      </c>
      <c r="D243" s="7"/>
      <c r="E243" s="6" t="s">
        <v>37</v>
      </c>
      <c r="F243" s="6" t="s">
        <v>81</v>
      </c>
      <c r="G243" s="6" t="s">
        <v>1097</v>
      </c>
      <c r="H243" s="6" t="s">
        <v>1098</v>
      </c>
      <c r="I243" s="6" t="s">
        <v>1099</v>
      </c>
      <c r="J243" s="6" t="s">
        <v>1100</v>
      </c>
      <c r="K243" s="6" t="n">
        <v>1</v>
      </c>
      <c r="L243" s="6"/>
      <c r="M243" s="6" t="s">
        <v>97</v>
      </c>
      <c r="N243" s="6" t="s">
        <v>65</v>
      </c>
      <c r="O243" s="6" t="s">
        <v>97</v>
      </c>
      <c r="P243" s="6"/>
      <c r="Q243" s="6"/>
      <c r="R243" s="6"/>
      <c r="S243" s="6"/>
      <c r="T243" s="6"/>
    </row>
    <row r="244" customFormat="false" ht="23.85" hidden="false" customHeight="false" outlineLevel="0" collapsed="false">
      <c r="A244" s="6" t="n">
        <v>243</v>
      </c>
      <c r="B244" s="6" t="s">
        <v>10</v>
      </c>
      <c r="C244" s="7" t="n">
        <v>0.680555555555556</v>
      </c>
      <c r="D244" s="7"/>
      <c r="E244" s="6" t="s">
        <v>36</v>
      </c>
      <c r="F244" s="6" t="s">
        <v>156</v>
      </c>
      <c r="G244" s="6" t="s">
        <v>1101</v>
      </c>
      <c r="H244" s="6" t="s">
        <v>1102</v>
      </c>
      <c r="I244" s="6" t="s">
        <v>1103</v>
      </c>
      <c r="J244" s="6" t="s">
        <v>1104</v>
      </c>
      <c r="K244" s="6" t="n">
        <v>1</v>
      </c>
      <c r="L244" s="6"/>
      <c r="M244" s="6" t="s">
        <v>36</v>
      </c>
      <c r="N244" s="6"/>
      <c r="O244" s="6" t="s">
        <v>36</v>
      </c>
      <c r="P244" s="6"/>
      <c r="Q244" s="6"/>
      <c r="R244" s="6"/>
      <c r="S244" s="6"/>
      <c r="T244" s="6"/>
    </row>
    <row r="245" customFormat="false" ht="68.65" hidden="false" customHeight="false" outlineLevel="0" collapsed="false">
      <c r="A245" s="6" t="n">
        <v>244</v>
      </c>
      <c r="B245" s="6" t="s">
        <v>10</v>
      </c>
      <c r="C245" s="7" t="n">
        <v>0.680555555555556</v>
      </c>
      <c r="D245" s="7"/>
      <c r="E245" s="6" t="s">
        <v>14</v>
      </c>
      <c r="F245" s="6" t="s">
        <v>134</v>
      </c>
      <c r="G245" s="6" t="s">
        <v>1105</v>
      </c>
      <c r="H245" s="6" t="s">
        <v>1106</v>
      </c>
      <c r="I245" s="6" t="s">
        <v>1107</v>
      </c>
      <c r="J245" s="6" t="s">
        <v>1108</v>
      </c>
      <c r="K245" s="6" t="n">
        <v>3</v>
      </c>
      <c r="L245" s="6" t="n">
        <v>2</v>
      </c>
      <c r="M245" s="6" t="s">
        <v>588</v>
      </c>
      <c r="N245" s="6" t="s">
        <v>87</v>
      </c>
      <c r="O245" s="6" t="s">
        <v>588</v>
      </c>
      <c r="P245" s="6" t="s">
        <v>1109</v>
      </c>
      <c r="Q245" s="6"/>
      <c r="R245" s="6"/>
      <c r="S245" s="6"/>
      <c r="T245" s="6"/>
    </row>
    <row r="246" customFormat="false" ht="35.05" hidden="false" customHeight="false" outlineLevel="0" collapsed="false">
      <c r="A246" s="6" t="n">
        <v>245</v>
      </c>
      <c r="B246" s="6" t="s">
        <v>10</v>
      </c>
      <c r="C246" s="7" t="n">
        <v>0.684027777777778</v>
      </c>
      <c r="D246" s="7"/>
      <c r="E246" s="6" t="s">
        <v>37</v>
      </c>
      <c r="F246" s="6" t="s">
        <v>81</v>
      </c>
      <c r="G246" s="6" t="s">
        <v>1110</v>
      </c>
      <c r="H246" s="6" t="s">
        <v>1111</v>
      </c>
      <c r="I246" s="6" t="s">
        <v>1112</v>
      </c>
      <c r="J246" s="6" t="s">
        <v>1113</v>
      </c>
      <c r="K246" s="6" t="n">
        <v>1</v>
      </c>
      <c r="L246" s="6"/>
      <c r="M246" s="6" t="s">
        <v>97</v>
      </c>
      <c r="N246" s="6" t="s">
        <v>65</v>
      </c>
      <c r="O246" s="6" t="s">
        <v>97</v>
      </c>
      <c r="P246" s="6"/>
      <c r="Q246" s="6"/>
      <c r="R246" s="6"/>
      <c r="S246" s="6"/>
      <c r="T246" s="6"/>
    </row>
    <row r="247" customFormat="false" ht="57.45" hidden="false" customHeight="false" outlineLevel="0" collapsed="false">
      <c r="A247" s="6" t="n">
        <v>246</v>
      </c>
      <c r="B247" s="6" t="s">
        <v>10</v>
      </c>
      <c r="C247" s="7" t="n">
        <v>0.684027777777778</v>
      </c>
      <c r="D247" s="7"/>
      <c r="E247" s="6" t="s">
        <v>21</v>
      </c>
      <c r="F247" s="6" t="s">
        <v>134</v>
      </c>
      <c r="G247" s="6" t="s">
        <v>1114</v>
      </c>
      <c r="H247" s="6" t="s">
        <v>1115</v>
      </c>
      <c r="I247" s="6" t="s">
        <v>1116</v>
      </c>
      <c r="J247" s="6" t="s">
        <v>1117</v>
      </c>
      <c r="K247" s="6" t="n">
        <v>3</v>
      </c>
      <c r="L247" s="6" t="n">
        <v>1</v>
      </c>
      <c r="M247" s="6" t="s">
        <v>119</v>
      </c>
      <c r="N247" s="6" t="s">
        <v>87</v>
      </c>
      <c r="O247" s="6" t="s">
        <v>119</v>
      </c>
      <c r="P247" s="6" t="s">
        <v>1118</v>
      </c>
      <c r="Q247" s="6"/>
      <c r="R247" s="6"/>
      <c r="S247" s="6"/>
      <c r="T247" s="6"/>
    </row>
    <row r="248" customFormat="false" ht="35.05" hidden="false" customHeight="false" outlineLevel="0" collapsed="false">
      <c r="A248" s="6" t="n">
        <v>247</v>
      </c>
      <c r="B248" s="6" t="s">
        <v>10</v>
      </c>
      <c r="C248" s="7" t="n">
        <v>0.684027777777778</v>
      </c>
      <c r="D248" s="7"/>
      <c r="E248" s="6" t="s">
        <v>13</v>
      </c>
      <c r="F248" s="6" t="s">
        <v>134</v>
      </c>
      <c r="G248" s="6" t="s">
        <v>1119</v>
      </c>
      <c r="H248" s="6" t="s">
        <v>1120</v>
      </c>
      <c r="I248" s="6" t="s">
        <v>1121</v>
      </c>
      <c r="J248" s="6" t="s">
        <v>1122</v>
      </c>
      <c r="K248" s="6" t="n">
        <v>3</v>
      </c>
      <c r="L248" s="6" t="n">
        <v>3</v>
      </c>
      <c r="M248" s="6" t="s">
        <v>114</v>
      </c>
      <c r="N248" s="6" t="s">
        <v>65</v>
      </c>
      <c r="O248" s="6" t="s">
        <v>114</v>
      </c>
      <c r="P248" s="6"/>
      <c r="Q248" s="6"/>
      <c r="R248" s="6"/>
      <c r="S248" s="6"/>
      <c r="T248" s="6"/>
    </row>
    <row r="249" customFormat="false" ht="23.85" hidden="false" customHeight="false" outlineLevel="0" collapsed="false">
      <c r="A249" s="6" t="n">
        <v>248</v>
      </c>
      <c r="B249" s="6" t="s">
        <v>10</v>
      </c>
      <c r="C249" s="7" t="n">
        <v>0.6875</v>
      </c>
      <c r="D249" s="7"/>
      <c r="E249" s="6" t="s">
        <v>36</v>
      </c>
      <c r="F249" s="6" t="s">
        <v>156</v>
      </c>
      <c r="G249" s="6" t="s">
        <v>1123</v>
      </c>
      <c r="H249" s="6" t="s">
        <v>1124</v>
      </c>
      <c r="I249" s="6" t="s">
        <v>1125</v>
      </c>
      <c r="J249" s="6" t="s">
        <v>1126</v>
      </c>
      <c r="K249" s="6" t="n">
        <v>1</v>
      </c>
      <c r="L249" s="6"/>
      <c r="M249" s="6" t="s">
        <v>36</v>
      </c>
      <c r="N249" s="6"/>
      <c r="O249" s="6" t="s">
        <v>36</v>
      </c>
      <c r="P249" s="6"/>
      <c r="Q249" s="6"/>
      <c r="R249" s="6"/>
      <c r="S249" s="6"/>
      <c r="T249" s="6"/>
    </row>
    <row r="250" customFormat="false" ht="79.85" hidden="false" customHeight="false" outlineLevel="0" collapsed="false">
      <c r="A250" s="6" t="n">
        <v>249</v>
      </c>
      <c r="B250" s="6" t="s">
        <v>10</v>
      </c>
      <c r="C250" s="7" t="n">
        <v>0.690972222222222</v>
      </c>
      <c r="D250" s="7"/>
      <c r="E250" s="6" t="s">
        <v>37</v>
      </c>
      <c r="F250" s="6" t="s">
        <v>134</v>
      </c>
      <c r="G250" s="6" t="s">
        <v>1127</v>
      </c>
      <c r="H250" s="6" t="s">
        <v>1128</v>
      </c>
      <c r="I250" s="6" t="s">
        <v>1129</v>
      </c>
      <c r="J250" s="6" t="s">
        <v>1130</v>
      </c>
      <c r="K250" s="6" t="n">
        <v>3</v>
      </c>
      <c r="L250" s="6" t="n">
        <v>2</v>
      </c>
      <c r="M250" s="6" t="s">
        <v>97</v>
      </c>
      <c r="N250" s="6" t="s">
        <v>65</v>
      </c>
      <c r="O250" s="6" t="s">
        <v>97</v>
      </c>
      <c r="P250" s="6" t="s">
        <v>1131</v>
      </c>
      <c r="Q250" s="6"/>
      <c r="R250" s="6"/>
      <c r="S250" s="6"/>
      <c r="T250" s="6"/>
    </row>
    <row r="251" customFormat="false" ht="23.85" hidden="false" customHeight="false" outlineLevel="0" collapsed="false">
      <c r="A251" s="6" t="n">
        <v>250</v>
      </c>
      <c r="B251" s="6" t="s">
        <v>10</v>
      </c>
      <c r="C251" s="7" t="n">
        <v>0.694444444444444</v>
      </c>
      <c r="D251" s="7"/>
      <c r="E251" s="6" t="s">
        <v>36</v>
      </c>
      <c r="F251" s="6" t="s">
        <v>156</v>
      </c>
      <c r="G251" s="6" t="s">
        <v>1132</v>
      </c>
      <c r="H251" s="6" t="s">
        <v>1133</v>
      </c>
      <c r="I251" s="6" t="s">
        <v>1134</v>
      </c>
      <c r="J251" s="6" t="s">
        <v>1135</v>
      </c>
      <c r="K251" s="6" t="n">
        <v>1</v>
      </c>
      <c r="L251" s="6"/>
      <c r="M251" s="6" t="s">
        <v>36</v>
      </c>
      <c r="N251" s="6"/>
      <c r="O251" s="6" t="s">
        <v>36</v>
      </c>
      <c r="P251" s="6"/>
      <c r="Q251" s="6"/>
      <c r="R251" s="6"/>
      <c r="S251" s="6"/>
      <c r="T251" s="6"/>
    </row>
    <row r="252" customFormat="false" ht="15" hidden="false" customHeight="false" outlineLevel="0" collapsed="false">
      <c r="A252" s="6" t="n">
        <v>251</v>
      </c>
      <c r="B252" s="6" t="s">
        <v>10</v>
      </c>
      <c r="C252" s="7" t="n">
        <v>0.694444444444444</v>
      </c>
      <c r="D252" s="7"/>
      <c r="E252" s="6" t="s">
        <v>29</v>
      </c>
      <c r="F252" s="6" t="s">
        <v>695</v>
      </c>
      <c r="G252" s="6" t="s">
        <v>1136</v>
      </c>
      <c r="H252" s="6" t="s">
        <v>697</v>
      </c>
      <c r="I252" s="6" t="s">
        <v>698</v>
      </c>
      <c r="J252" s="6" t="s">
        <v>699</v>
      </c>
      <c r="K252" s="6" t="n">
        <v>1</v>
      </c>
      <c r="L252" s="6"/>
      <c r="M252" s="6" t="s">
        <v>255</v>
      </c>
      <c r="N252" s="6" t="s">
        <v>87</v>
      </c>
      <c r="O252" s="6" t="s">
        <v>795</v>
      </c>
      <c r="P252" s="6"/>
      <c r="Q252" s="6"/>
      <c r="R252" s="6"/>
      <c r="S252" s="6"/>
      <c r="T252" s="6"/>
    </row>
    <row r="253" customFormat="false" ht="23.85" hidden="false" customHeight="false" outlineLevel="0" collapsed="false">
      <c r="A253" s="6" t="n">
        <v>252</v>
      </c>
      <c r="B253" s="6" t="s">
        <v>10</v>
      </c>
      <c r="C253" s="7" t="n">
        <v>0.711805555555556</v>
      </c>
      <c r="D253" s="7"/>
      <c r="E253" s="6" t="s">
        <v>14</v>
      </c>
      <c r="F253" s="6" t="s">
        <v>81</v>
      </c>
      <c r="G253" s="6" t="s">
        <v>1137</v>
      </c>
      <c r="H253" s="6" t="s">
        <v>1138</v>
      </c>
      <c r="I253" s="6" t="s">
        <v>1139</v>
      </c>
      <c r="J253" s="6" t="s">
        <v>1140</v>
      </c>
      <c r="K253" s="6" t="n">
        <v>2</v>
      </c>
      <c r="L253" s="6"/>
      <c r="M253" s="6" t="s">
        <v>588</v>
      </c>
      <c r="N253" s="6" t="s">
        <v>87</v>
      </c>
      <c r="O253" s="6" t="s">
        <v>588</v>
      </c>
      <c r="P253" s="6"/>
      <c r="Q253" s="6"/>
      <c r="R253" s="6"/>
      <c r="S253" s="6"/>
      <c r="T253" s="6"/>
    </row>
    <row r="254" customFormat="false" ht="91" hidden="false" customHeight="false" outlineLevel="0" collapsed="false">
      <c r="A254" s="6" t="n">
        <v>253</v>
      </c>
      <c r="B254" s="6" t="s">
        <v>10</v>
      </c>
      <c r="C254" s="7" t="n">
        <v>0.722222222222222</v>
      </c>
      <c r="D254" s="7"/>
      <c r="E254" s="6" t="s">
        <v>14</v>
      </c>
      <c r="F254" s="6" t="s">
        <v>134</v>
      </c>
      <c r="G254" s="6" t="s">
        <v>1141</v>
      </c>
      <c r="H254" s="6" t="s">
        <v>1142</v>
      </c>
      <c r="I254" s="6" t="s">
        <v>1143</v>
      </c>
      <c r="J254" s="6" t="s">
        <v>1144</v>
      </c>
      <c r="K254" s="6" t="n">
        <v>3</v>
      </c>
      <c r="L254" s="6" t="n">
        <v>2</v>
      </c>
      <c r="M254" s="6" t="s">
        <v>588</v>
      </c>
      <c r="N254" s="6" t="s">
        <v>87</v>
      </c>
      <c r="O254" s="6" t="s">
        <v>588</v>
      </c>
      <c r="P254" s="6" t="s">
        <v>1145</v>
      </c>
      <c r="Q254" s="6"/>
      <c r="R254" s="6"/>
      <c r="S254" s="6"/>
      <c r="T254" s="6"/>
    </row>
    <row r="255" customFormat="false" ht="23.85" hidden="false" customHeight="false" outlineLevel="0" collapsed="false">
      <c r="A255" s="6" t="n">
        <v>254</v>
      </c>
      <c r="B255" s="6" t="s">
        <v>11</v>
      </c>
      <c r="C255" s="7"/>
      <c r="D255" s="7"/>
      <c r="E255" s="6" t="s">
        <v>31</v>
      </c>
      <c r="F255" s="6" t="s">
        <v>31</v>
      </c>
      <c r="G255" s="6" t="s">
        <v>1146</v>
      </c>
      <c r="H255" s="6" t="s">
        <v>209</v>
      </c>
      <c r="I255" s="6" t="s">
        <v>210</v>
      </c>
      <c r="J255" s="6" t="s">
        <v>211</v>
      </c>
      <c r="K255" s="6" t="n">
        <v>1</v>
      </c>
      <c r="L255" s="6"/>
      <c r="M255" s="6" t="s">
        <v>212</v>
      </c>
      <c r="N255" s="6" t="s">
        <v>65</v>
      </c>
      <c r="O255" s="6" t="s">
        <v>213</v>
      </c>
      <c r="P255" s="6"/>
      <c r="Q255" s="6"/>
      <c r="R255" s="6"/>
      <c r="S255" s="6"/>
      <c r="T255" s="6"/>
    </row>
    <row r="256" customFormat="false" ht="35.05" hidden="false" customHeight="false" outlineLevel="0" collapsed="false">
      <c r="A256" s="6" t="n">
        <v>255</v>
      </c>
      <c r="B256" s="6" t="s">
        <v>11</v>
      </c>
      <c r="C256" s="7" t="n">
        <v>0.395833333333333</v>
      </c>
      <c r="D256" s="7"/>
      <c r="E256" s="6" t="s">
        <v>14</v>
      </c>
      <c r="F256" s="6" t="s">
        <v>215</v>
      </c>
      <c r="G256" s="6" t="s">
        <v>1147</v>
      </c>
      <c r="H256" s="6" t="s">
        <v>1148</v>
      </c>
      <c r="I256" s="6" t="s">
        <v>1149</v>
      </c>
      <c r="J256" s="6" t="s">
        <v>1150</v>
      </c>
      <c r="K256" s="6" t="n">
        <v>2</v>
      </c>
      <c r="L256" s="6"/>
      <c r="M256" s="6" t="s">
        <v>588</v>
      </c>
      <c r="N256" s="6" t="s">
        <v>87</v>
      </c>
      <c r="O256" s="6" t="s">
        <v>588</v>
      </c>
      <c r="P256" s="6"/>
      <c r="Q256" s="6"/>
      <c r="R256" s="6"/>
      <c r="S256" s="6"/>
      <c r="T256" s="6"/>
    </row>
    <row r="257" customFormat="false" ht="35.05" hidden="false" customHeight="false" outlineLevel="0" collapsed="false">
      <c r="A257" s="6" t="n">
        <v>256</v>
      </c>
      <c r="B257" s="6" t="s">
        <v>11</v>
      </c>
      <c r="C257" s="7" t="n">
        <v>0.40625</v>
      </c>
      <c r="D257" s="7"/>
      <c r="E257" s="6" t="s">
        <v>18</v>
      </c>
      <c r="F257" s="6" t="s">
        <v>594</v>
      </c>
      <c r="G257" s="6" t="s">
        <v>1151</v>
      </c>
      <c r="H257" s="6" t="s">
        <v>1152</v>
      </c>
      <c r="I257" s="6" t="s">
        <v>1153</v>
      </c>
      <c r="J257" s="6" t="s">
        <v>1154</v>
      </c>
      <c r="K257" s="6" t="n">
        <v>2</v>
      </c>
      <c r="L257" s="6"/>
      <c r="M257" s="6" t="s">
        <v>64</v>
      </c>
      <c r="N257" s="6" t="s">
        <v>65</v>
      </c>
      <c r="O257" s="6" t="s">
        <v>64</v>
      </c>
      <c r="P257" s="6"/>
      <c r="Q257" s="6"/>
      <c r="R257" s="6"/>
      <c r="S257" s="6"/>
      <c r="T257" s="6"/>
    </row>
    <row r="258" customFormat="false" ht="23.85" hidden="false" customHeight="false" outlineLevel="0" collapsed="false">
      <c r="A258" s="6" t="n">
        <v>257</v>
      </c>
      <c r="B258" s="6" t="s">
        <v>11</v>
      </c>
      <c r="C258" s="7" t="n">
        <v>0.40625</v>
      </c>
      <c r="D258" s="7"/>
      <c r="E258" s="6" t="s">
        <v>14</v>
      </c>
      <c r="F258" s="6" t="s">
        <v>67</v>
      </c>
      <c r="G258" s="6" t="s">
        <v>1155</v>
      </c>
      <c r="H258" s="6" t="s">
        <v>1156</v>
      </c>
      <c r="I258" s="6" t="s">
        <v>1157</v>
      </c>
      <c r="J258" s="6" t="s">
        <v>1158</v>
      </c>
      <c r="K258" s="6" t="n">
        <v>2</v>
      </c>
      <c r="L258" s="6"/>
      <c r="M258" s="6" t="s">
        <v>588</v>
      </c>
      <c r="N258" s="6" t="s">
        <v>87</v>
      </c>
      <c r="O258" s="6" t="s">
        <v>588</v>
      </c>
      <c r="P258" s="6"/>
      <c r="Q258" s="6"/>
      <c r="R258" s="6"/>
      <c r="S258" s="6"/>
      <c r="T258" s="6"/>
    </row>
    <row r="259" customFormat="false" ht="68.65" hidden="false" customHeight="false" outlineLevel="0" collapsed="false">
      <c r="A259" s="6" t="n">
        <v>258</v>
      </c>
      <c r="B259" s="6" t="s">
        <v>11</v>
      </c>
      <c r="C259" s="7" t="n">
        <v>0.416666666666667</v>
      </c>
      <c r="D259" s="7"/>
      <c r="E259" s="6" t="s">
        <v>18</v>
      </c>
      <c r="F259" s="6" t="s">
        <v>134</v>
      </c>
      <c r="G259" s="6" t="s">
        <v>1159</v>
      </c>
      <c r="H259" s="6" t="s">
        <v>1160</v>
      </c>
      <c r="I259" s="6" t="s">
        <v>1161</v>
      </c>
      <c r="J259" s="6" t="s">
        <v>1162</v>
      </c>
      <c r="K259" s="6" t="n">
        <v>3</v>
      </c>
      <c r="L259" s="6" t="n">
        <v>1</v>
      </c>
      <c r="M259" s="6" t="s">
        <v>64</v>
      </c>
      <c r="N259" s="6" t="s">
        <v>65</v>
      </c>
      <c r="O259" s="6" t="s">
        <v>64</v>
      </c>
      <c r="P259" s="6" t="s">
        <v>1163</v>
      </c>
      <c r="Q259" s="6"/>
      <c r="R259" s="6"/>
      <c r="S259" s="6"/>
      <c r="T259" s="6"/>
    </row>
    <row r="260" customFormat="false" ht="35.05" hidden="false" customHeight="false" outlineLevel="0" collapsed="false">
      <c r="A260" s="6" t="n">
        <v>259</v>
      </c>
      <c r="B260" s="6" t="s">
        <v>11</v>
      </c>
      <c r="C260" s="7" t="n">
        <v>0.416666666666667</v>
      </c>
      <c r="D260" s="7"/>
      <c r="E260" s="6" t="s">
        <v>14</v>
      </c>
      <c r="F260" s="6" t="s">
        <v>134</v>
      </c>
      <c r="G260" s="6" t="s">
        <v>1164</v>
      </c>
      <c r="H260" s="6" t="s">
        <v>1165</v>
      </c>
      <c r="I260" s="6" t="s">
        <v>1166</v>
      </c>
      <c r="J260" s="6" t="s">
        <v>1167</v>
      </c>
      <c r="K260" s="6" t="n">
        <v>3</v>
      </c>
      <c r="L260" s="6" t="n">
        <v>2</v>
      </c>
      <c r="M260" s="6" t="s">
        <v>588</v>
      </c>
      <c r="N260" s="6" t="s">
        <v>87</v>
      </c>
      <c r="O260" s="6" t="s">
        <v>588</v>
      </c>
      <c r="P260" s="6"/>
      <c r="Q260" s="6"/>
      <c r="R260" s="6"/>
      <c r="S260" s="6"/>
      <c r="T260" s="6"/>
    </row>
    <row r="261" customFormat="false" ht="35.05" hidden="false" customHeight="false" outlineLevel="0" collapsed="false">
      <c r="A261" s="6" t="n">
        <v>260</v>
      </c>
      <c r="B261" s="6" t="s">
        <v>11</v>
      </c>
      <c r="C261" s="7" t="n">
        <v>0.447916666666667</v>
      </c>
      <c r="D261" s="7"/>
      <c r="E261" s="6" t="s">
        <v>31</v>
      </c>
      <c r="F261" s="6" t="s">
        <v>31</v>
      </c>
      <c r="G261" s="6" t="s">
        <v>1168</v>
      </c>
      <c r="H261" s="6" t="s">
        <v>209</v>
      </c>
      <c r="I261" s="6" t="s">
        <v>210</v>
      </c>
      <c r="J261" s="6" t="s">
        <v>211</v>
      </c>
      <c r="K261" s="6" t="n">
        <v>1</v>
      </c>
      <c r="L261" s="6"/>
      <c r="M261" s="6" t="s">
        <v>212</v>
      </c>
      <c r="N261" s="6" t="s">
        <v>65</v>
      </c>
      <c r="O261" s="6" t="s">
        <v>213</v>
      </c>
      <c r="P261" s="6" t="s">
        <v>214</v>
      </c>
      <c r="Q261" s="6"/>
      <c r="R261" s="6"/>
      <c r="S261" s="6"/>
      <c r="T261" s="6"/>
    </row>
    <row r="262" customFormat="false" ht="15" hidden="false" customHeight="false" outlineLevel="0" collapsed="false">
      <c r="A262" s="6" t="n">
        <v>261</v>
      </c>
      <c r="B262" s="6" t="s">
        <v>11</v>
      </c>
      <c r="C262" s="7" t="n">
        <v>0.493055555555556</v>
      </c>
      <c r="D262" s="7"/>
      <c r="E262" s="6" t="s">
        <v>36</v>
      </c>
      <c r="F262" s="6" t="s">
        <v>156</v>
      </c>
      <c r="G262" s="6" t="s">
        <v>1169</v>
      </c>
      <c r="H262" s="6" t="s">
        <v>1170</v>
      </c>
      <c r="I262" s="6" t="s">
        <v>1171</v>
      </c>
      <c r="J262" s="6" t="s">
        <v>1172</v>
      </c>
      <c r="K262" s="6" t="n">
        <v>1</v>
      </c>
      <c r="L262" s="6"/>
      <c r="M262" s="6" t="s">
        <v>36</v>
      </c>
      <c r="N262" s="6"/>
      <c r="O262" s="6" t="s">
        <v>36</v>
      </c>
      <c r="P262" s="6"/>
      <c r="Q262" s="6"/>
      <c r="R262" s="6"/>
      <c r="S262" s="6"/>
      <c r="T262" s="6"/>
    </row>
    <row r="263" customFormat="false" ht="15" hidden="false" customHeight="false" outlineLevel="0" collapsed="false">
      <c r="A263" s="6" t="n">
        <v>262</v>
      </c>
      <c r="B263" s="6" t="s">
        <v>11</v>
      </c>
      <c r="C263" s="7" t="n">
        <v>0.496527777777778</v>
      </c>
      <c r="D263" s="7"/>
      <c r="E263" s="6" t="s">
        <v>29</v>
      </c>
      <c r="F263" s="6" t="s">
        <v>695</v>
      </c>
      <c r="G263" s="6" t="s">
        <v>696</v>
      </c>
      <c r="H263" s="6" t="s">
        <v>697</v>
      </c>
      <c r="I263" s="6" t="s">
        <v>698</v>
      </c>
      <c r="J263" s="6" t="s">
        <v>699</v>
      </c>
      <c r="K263" s="6" t="n">
        <v>1</v>
      </c>
      <c r="L263" s="6"/>
      <c r="M263" s="6" t="s">
        <v>255</v>
      </c>
      <c r="N263" s="6" t="s">
        <v>87</v>
      </c>
      <c r="O263" s="6" t="s">
        <v>795</v>
      </c>
      <c r="P263" s="6"/>
      <c r="Q263" s="6"/>
      <c r="R263" s="6"/>
      <c r="S263" s="6"/>
      <c r="T263" s="6"/>
    </row>
    <row r="264" customFormat="false" ht="35.05" hidden="false" customHeight="false" outlineLevel="0" collapsed="false">
      <c r="A264" s="6" t="n">
        <v>263</v>
      </c>
      <c r="B264" s="6" t="s">
        <v>11</v>
      </c>
      <c r="C264" s="7" t="n">
        <v>0.5</v>
      </c>
      <c r="D264" s="7"/>
      <c r="E264" s="6" t="s">
        <v>23</v>
      </c>
      <c r="F264" s="6" t="s">
        <v>67</v>
      </c>
      <c r="G264" s="6" t="s">
        <v>1173</v>
      </c>
      <c r="H264" s="6" t="s">
        <v>1174</v>
      </c>
      <c r="I264" s="6" t="s">
        <v>1175</v>
      </c>
      <c r="J264" s="6" t="s">
        <v>1176</v>
      </c>
      <c r="K264" s="6" t="n">
        <v>2</v>
      </c>
      <c r="L264" s="6"/>
      <c r="M264" s="6" t="s">
        <v>732</v>
      </c>
      <c r="N264" s="6" t="s">
        <v>87</v>
      </c>
      <c r="O264" s="6" t="s">
        <v>733</v>
      </c>
      <c r="P264" s="6"/>
      <c r="Q264" s="6"/>
      <c r="R264" s="6"/>
      <c r="S264" s="6"/>
      <c r="T264" s="6"/>
    </row>
    <row r="265" customFormat="false" ht="23.85" hidden="false" customHeight="false" outlineLevel="0" collapsed="false">
      <c r="A265" s="6" t="n">
        <v>264</v>
      </c>
      <c r="B265" s="6" t="s">
        <v>11</v>
      </c>
      <c r="C265" s="7" t="n">
        <v>0.5</v>
      </c>
      <c r="D265" s="7"/>
      <c r="E265" s="6" t="s">
        <v>36</v>
      </c>
      <c r="F265" s="6" t="s">
        <v>156</v>
      </c>
      <c r="G265" s="6" t="s">
        <v>1177</v>
      </c>
      <c r="H265" s="6" t="s">
        <v>1178</v>
      </c>
      <c r="I265" s="6" t="s">
        <v>1179</v>
      </c>
      <c r="J265" s="6" t="s">
        <v>1180</v>
      </c>
      <c r="K265" s="6" t="n">
        <v>1</v>
      </c>
      <c r="L265" s="6"/>
      <c r="M265" s="6" t="s">
        <v>36</v>
      </c>
      <c r="N265" s="6"/>
      <c r="O265" s="6" t="s">
        <v>36</v>
      </c>
      <c r="P265" s="6"/>
      <c r="Q265" s="6"/>
      <c r="R265" s="6"/>
      <c r="S265" s="6"/>
      <c r="T265" s="6"/>
    </row>
    <row r="266" customFormat="false" ht="23.85" hidden="false" customHeight="false" outlineLevel="0" collapsed="false">
      <c r="A266" s="6" t="n">
        <v>265</v>
      </c>
      <c r="B266" s="6" t="s">
        <v>11</v>
      </c>
      <c r="C266" s="7" t="n">
        <v>0.5</v>
      </c>
      <c r="D266" s="7"/>
      <c r="E266" s="6" t="s">
        <v>14</v>
      </c>
      <c r="F266" s="6" t="s">
        <v>594</v>
      </c>
      <c r="G266" s="6" t="s">
        <v>1181</v>
      </c>
      <c r="H266" s="6" t="s">
        <v>1182</v>
      </c>
      <c r="I266" s="6" t="s">
        <v>1183</v>
      </c>
      <c r="J266" s="6" t="s">
        <v>1184</v>
      </c>
      <c r="K266" s="6" t="n">
        <v>2</v>
      </c>
      <c r="L266" s="6"/>
      <c r="M266" s="6" t="s">
        <v>588</v>
      </c>
      <c r="N266" s="6" t="s">
        <v>87</v>
      </c>
      <c r="O266" s="6" t="s">
        <v>588</v>
      </c>
      <c r="P266" s="6"/>
      <c r="Q266" s="6"/>
      <c r="R266" s="6"/>
      <c r="S266" s="6"/>
      <c r="T266" s="6"/>
    </row>
    <row r="267" customFormat="false" ht="35.05" hidden="false" customHeight="false" outlineLevel="0" collapsed="false">
      <c r="A267" s="6" t="n">
        <v>266</v>
      </c>
      <c r="B267" s="6" t="s">
        <v>11</v>
      </c>
      <c r="C267" s="7" t="n">
        <v>0.5</v>
      </c>
      <c r="D267" s="7"/>
      <c r="E267" s="6" t="s">
        <v>15</v>
      </c>
      <c r="F267" s="6" t="s">
        <v>67</v>
      </c>
      <c r="G267" s="6" t="s">
        <v>1185</v>
      </c>
      <c r="H267" s="6" t="s">
        <v>1186</v>
      </c>
      <c r="I267" s="6" t="s">
        <v>1187</v>
      </c>
      <c r="J267" s="6" t="s">
        <v>1188</v>
      </c>
      <c r="K267" s="6" t="n">
        <v>2</v>
      </c>
      <c r="L267" s="6"/>
      <c r="M267" s="6" t="s">
        <v>64</v>
      </c>
      <c r="N267" s="6" t="s">
        <v>65</v>
      </c>
      <c r="O267" s="6" t="s">
        <v>64</v>
      </c>
      <c r="P267" s="6"/>
      <c r="Q267" s="6"/>
      <c r="R267" s="6"/>
      <c r="S267" s="6"/>
      <c r="T267" s="6"/>
    </row>
    <row r="268" customFormat="false" ht="23.85" hidden="false" customHeight="false" outlineLevel="0" collapsed="false">
      <c r="A268" s="6" t="n">
        <v>267</v>
      </c>
      <c r="B268" s="6" t="s">
        <v>11</v>
      </c>
      <c r="C268" s="7" t="n">
        <v>0.5</v>
      </c>
      <c r="D268" s="7"/>
      <c r="E268" s="6" t="s">
        <v>29</v>
      </c>
      <c r="F268" s="6" t="s">
        <v>81</v>
      </c>
      <c r="G268" s="6" t="s">
        <v>1189</v>
      </c>
      <c r="H268" s="6" t="s">
        <v>1190</v>
      </c>
      <c r="I268" s="6" t="s">
        <v>1191</v>
      </c>
      <c r="J268" s="6" t="s">
        <v>1192</v>
      </c>
      <c r="K268" s="6" t="n">
        <v>1</v>
      </c>
      <c r="L268" s="6"/>
      <c r="M268" s="6" t="s">
        <v>255</v>
      </c>
      <c r="N268" s="6" t="s">
        <v>87</v>
      </c>
      <c r="O268" s="6" t="s">
        <v>795</v>
      </c>
      <c r="P268" s="6"/>
      <c r="Q268" s="6"/>
      <c r="R268" s="6"/>
      <c r="S268" s="6"/>
      <c r="T268" s="6"/>
    </row>
    <row r="269" customFormat="false" ht="23.85" hidden="false" customHeight="false" outlineLevel="0" collapsed="false">
      <c r="A269" s="6" t="n">
        <v>268</v>
      </c>
      <c r="B269" s="6" t="s">
        <v>11</v>
      </c>
      <c r="C269" s="7" t="n">
        <v>0.5</v>
      </c>
      <c r="D269" s="7"/>
      <c r="E269" s="6" t="s">
        <v>13</v>
      </c>
      <c r="F269" s="6" t="s">
        <v>215</v>
      </c>
      <c r="G269" s="6" t="s">
        <v>1193</v>
      </c>
      <c r="H269" s="6" t="s">
        <v>1194</v>
      </c>
      <c r="I269" s="6" t="s">
        <v>1195</v>
      </c>
      <c r="J269" s="6" t="s">
        <v>1196</v>
      </c>
      <c r="K269" s="6" t="n">
        <v>1</v>
      </c>
      <c r="L269" s="6"/>
      <c r="M269" s="6" t="s">
        <v>114</v>
      </c>
      <c r="N269" s="6" t="s">
        <v>65</v>
      </c>
      <c r="O269" s="6" t="s">
        <v>114</v>
      </c>
      <c r="P269" s="6"/>
      <c r="Q269" s="6"/>
      <c r="R269" s="6"/>
      <c r="S269" s="6"/>
      <c r="T269" s="6"/>
    </row>
    <row r="270" customFormat="false" ht="35.05" hidden="false" customHeight="false" outlineLevel="0" collapsed="false">
      <c r="A270" s="6" t="n">
        <v>269</v>
      </c>
      <c r="B270" s="6" t="s">
        <v>11</v>
      </c>
      <c r="C270" s="7" t="n">
        <v>0.5</v>
      </c>
      <c r="D270" s="7"/>
      <c r="E270" s="6" t="s">
        <v>33</v>
      </c>
      <c r="F270" s="6" t="s">
        <v>81</v>
      </c>
      <c r="G270" s="6" t="s">
        <v>1197</v>
      </c>
      <c r="H270" s="6" t="s">
        <v>1198</v>
      </c>
      <c r="I270" s="6" t="s">
        <v>1199</v>
      </c>
      <c r="J270" s="6" t="s">
        <v>1200</v>
      </c>
      <c r="K270" s="6" t="n">
        <v>2</v>
      </c>
      <c r="L270" s="6"/>
      <c r="M270" s="6" t="s">
        <v>103</v>
      </c>
      <c r="N270" s="6" t="s">
        <v>87</v>
      </c>
      <c r="O270" s="6" t="s">
        <v>103</v>
      </c>
      <c r="P270" s="6"/>
      <c r="Q270" s="6"/>
      <c r="R270" s="6"/>
      <c r="S270" s="6"/>
      <c r="T270" s="6"/>
    </row>
    <row r="271" customFormat="false" ht="23.85" hidden="false" customHeight="false" outlineLevel="0" collapsed="false">
      <c r="A271" s="6" t="n">
        <v>270</v>
      </c>
      <c r="B271" s="6" t="s">
        <v>11</v>
      </c>
      <c r="C271" s="7" t="n">
        <v>0.5</v>
      </c>
      <c r="D271" s="7"/>
      <c r="E271" s="6" t="s">
        <v>16</v>
      </c>
      <c r="F271" s="6" t="s">
        <v>81</v>
      </c>
      <c r="G271" s="6" t="s">
        <v>1201</v>
      </c>
      <c r="H271" s="6" t="s">
        <v>1202</v>
      </c>
      <c r="I271" s="6" t="s">
        <v>1203</v>
      </c>
      <c r="J271" s="6" t="s">
        <v>1204</v>
      </c>
      <c r="K271" s="6" t="n">
        <v>1</v>
      </c>
      <c r="L271" s="6"/>
      <c r="M271" s="6" t="s">
        <v>92</v>
      </c>
      <c r="N271" s="6" t="s">
        <v>65</v>
      </c>
      <c r="O271" s="6" t="s">
        <v>92</v>
      </c>
      <c r="P271" s="6" t="s">
        <v>1205</v>
      </c>
      <c r="Q271" s="6"/>
      <c r="R271" s="6"/>
      <c r="S271" s="6"/>
      <c r="T271" s="6"/>
    </row>
    <row r="272" customFormat="false" ht="23.85" hidden="false" customHeight="false" outlineLevel="0" collapsed="false">
      <c r="A272" s="6" t="n">
        <v>271</v>
      </c>
      <c r="B272" s="6" t="s">
        <v>11</v>
      </c>
      <c r="C272" s="7" t="n">
        <v>0.506944444444444</v>
      </c>
      <c r="D272" s="7"/>
      <c r="E272" s="6" t="s">
        <v>36</v>
      </c>
      <c r="F272" s="6" t="s">
        <v>156</v>
      </c>
      <c r="G272" s="6" t="s">
        <v>1206</v>
      </c>
      <c r="H272" s="6" t="s">
        <v>1207</v>
      </c>
      <c r="I272" s="6" t="s">
        <v>1208</v>
      </c>
      <c r="J272" s="6" t="s">
        <v>1209</v>
      </c>
      <c r="K272" s="6" t="n">
        <v>1</v>
      </c>
      <c r="L272" s="6"/>
      <c r="M272" s="6" t="s">
        <v>36</v>
      </c>
      <c r="N272" s="6"/>
      <c r="O272" s="6" t="s">
        <v>36</v>
      </c>
      <c r="P272" s="6"/>
      <c r="Q272" s="6"/>
      <c r="R272" s="6"/>
      <c r="S272" s="6"/>
      <c r="T272" s="6"/>
    </row>
    <row r="273" customFormat="false" ht="23.85" hidden="false" customHeight="false" outlineLevel="0" collapsed="false">
      <c r="A273" s="6" t="n">
        <v>272</v>
      </c>
      <c r="B273" s="6" t="s">
        <v>11</v>
      </c>
      <c r="C273" s="7" t="n">
        <v>0.510416666666667</v>
      </c>
      <c r="D273" s="7"/>
      <c r="E273" s="6" t="s">
        <v>13</v>
      </c>
      <c r="F273" s="6" t="s">
        <v>81</v>
      </c>
      <c r="G273" s="6" t="s">
        <v>1210</v>
      </c>
      <c r="H273" s="6" t="s">
        <v>1211</v>
      </c>
      <c r="I273" s="6" t="s">
        <v>1212</v>
      </c>
      <c r="J273" s="6" t="s">
        <v>1213</v>
      </c>
      <c r="K273" s="6" t="n">
        <v>1</v>
      </c>
      <c r="L273" s="6"/>
      <c r="M273" s="6" t="s">
        <v>114</v>
      </c>
      <c r="N273" s="6" t="s">
        <v>65</v>
      </c>
      <c r="O273" s="6" t="s">
        <v>114</v>
      </c>
      <c r="P273" s="6"/>
      <c r="Q273" s="6"/>
      <c r="R273" s="6"/>
      <c r="S273" s="6"/>
      <c r="T273" s="6"/>
    </row>
    <row r="274" customFormat="false" ht="102.2" hidden="false" customHeight="false" outlineLevel="0" collapsed="false">
      <c r="A274" s="6" t="n">
        <v>273</v>
      </c>
      <c r="B274" s="6" t="s">
        <v>11</v>
      </c>
      <c r="C274" s="7" t="n">
        <v>0.510416666666667</v>
      </c>
      <c r="D274" s="7"/>
      <c r="E274" s="6" t="s">
        <v>16</v>
      </c>
      <c r="F274" s="6" t="s">
        <v>134</v>
      </c>
      <c r="G274" s="6" t="s">
        <v>1214</v>
      </c>
      <c r="H274" s="6" t="s">
        <v>1215</v>
      </c>
      <c r="I274" s="6" t="s">
        <v>1216</v>
      </c>
      <c r="J274" s="6" t="s">
        <v>1217</v>
      </c>
      <c r="K274" s="6" t="n">
        <v>3</v>
      </c>
      <c r="L274" s="6"/>
      <c r="M274" s="6" t="s">
        <v>92</v>
      </c>
      <c r="N274" s="6" t="s">
        <v>65</v>
      </c>
      <c r="O274" s="6" t="s">
        <v>92</v>
      </c>
      <c r="P274" s="6" t="s">
        <v>1218</v>
      </c>
      <c r="Q274" s="6"/>
      <c r="R274" s="6"/>
      <c r="S274" s="6"/>
      <c r="T274" s="6"/>
    </row>
    <row r="275" customFormat="false" ht="158.2" hidden="false" customHeight="false" outlineLevel="0" collapsed="false">
      <c r="A275" s="6" t="n">
        <v>274</v>
      </c>
      <c r="B275" s="6" t="s">
        <v>11</v>
      </c>
      <c r="C275" s="7" t="n">
        <v>0.510416666666667</v>
      </c>
      <c r="D275" s="7"/>
      <c r="E275" s="6" t="s">
        <v>33</v>
      </c>
      <c r="F275" s="6" t="s">
        <v>67</v>
      </c>
      <c r="G275" s="6" t="s">
        <v>1219</v>
      </c>
      <c r="H275" s="6" t="s">
        <v>1220</v>
      </c>
      <c r="I275" s="6" t="s">
        <v>1221</v>
      </c>
      <c r="J275" s="6" t="s">
        <v>1222</v>
      </c>
      <c r="K275" s="6" t="n">
        <v>2</v>
      </c>
      <c r="L275" s="6"/>
      <c r="M275" s="6" t="s">
        <v>103</v>
      </c>
      <c r="N275" s="6" t="s">
        <v>87</v>
      </c>
      <c r="O275" s="6" t="s">
        <v>103</v>
      </c>
      <c r="P275" s="6" t="s">
        <v>1223</v>
      </c>
      <c r="Q275" s="6"/>
      <c r="R275" s="6"/>
      <c r="S275" s="6"/>
      <c r="T275" s="6"/>
    </row>
    <row r="276" customFormat="false" ht="23.85" hidden="false" customHeight="false" outlineLevel="0" collapsed="false">
      <c r="A276" s="6" t="n">
        <v>275</v>
      </c>
      <c r="B276" s="6" t="s">
        <v>11</v>
      </c>
      <c r="C276" s="7" t="n">
        <v>0.510416666666667</v>
      </c>
      <c r="D276" s="7"/>
      <c r="E276" s="6" t="s">
        <v>23</v>
      </c>
      <c r="F276" s="6" t="s">
        <v>215</v>
      </c>
      <c r="G276" s="6" t="s">
        <v>1224</v>
      </c>
      <c r="H276" s="6" t="s">
        <v>1225</v>
      </c>
      <c r="I276" s="6" t="s">
        <v>1226</v>
      </c>
      <c r="J276" s="6" t="s">
        <v>1227</v>
      </c>
      <c r="K276" s="6" t="n">
        <v>1</v>
      </c>
      <c r="L276" s="6"/>
      <c r="M276" s="6" t="s">
        <v>732</v>
      </c>
      <c r="N276" s="6" t="s">
        <v>87</v>
      </c>
      <c r="O276" s="6" t="s">
        <v>733</v>
      </c>
      <c r="P276" s="6"/>
      <c r="Q276" s="6"/>
      <c r="R276" s="6"/>
      <c r="S276" s="6"/>
      <c r="T276" s="6"/>
    </row>
    <row r="277" customFormat="false" ht="35.05" hidden="false" customHeight="false" outlineLevel="0" collapsed="false">
      <c r="A277" s="6" t="n">
        <v>276</v>
      </c>
      <c r="B277" s="6" t="s">
        <v>11</v>
      </c>
      <c r="C277" s="7" t="n">
        <v>0.510416666666667</v>
      </c>
      <c r="D277" s="7"/>
      <c r="E277" s="6" t="s">
        <v>15</v>
      </c>
      <c r="F277" s="6" t="s">
        <v>81</v>
      </c>
      <c r="G277" s="6" t="s">
        <v>1228</v>
      </c>
      <c r="H277" s="6" t="s">
        <v>1229</v>
      </c>
      <c r="I277" s="6" t="s">
        <v>1230</v>
      </c>
      <c r="J277" s="6" t="s">
        <v>1231</v>
      </c>
      <c r="K277" s="6" t="n">
        <v>1</v>
      </c>
      <c r="L277" s="6"/>
      <c r="M277" s="6" t="s">
        <v>64</v>
      </c>
      <c r="N277" s="6" t="s">
        <v>65</v>
      </c>
      <c r="O277" s="6" t="s">
        <v>64</v>
      </c>
      <c r="P277" s="6"/>
      <c r="Q277" s="6"/>
      <c r="R277" s="6"/>
      <c r="S277" s="6"/>
      <c r="T277" s="6"/>
    </row>
    <row r="278" customFormat="false" ht="57.45" hidden="false" customHeight="false" outlineLevel="0" collapsed="false">
      <c r="A278" s="6" t="n">
        <v>277</v>
      </c>
      <c r="B278" s="6" t="s">
        <v>11</v>
      </c>
      <c r="C278" s="7" t="n">
        <v>0.510416666666667</v>
      </c>
      <c r="D278" s="7"/>
      <c r="E278" s="6" t="s">
        <v>29</v>
      </c>
      <c r="F278" s="6" t="s">
        <v>81</v>
      </c>
      <c r="G278" s="6" t="s">
        <v>1232</v>
      </c>
      <c r="H278" s="6" t="s">
        <v>1233</v>
      </c>
      <c r="I278" s="6" t="s">
        <v>1234</v>
      </c>
      <c r="J278" s="6" t="s">
        <v>1235</v>
      </c>
      <c r="K278" s="6" t="n">
        <v>2</v>
      </c>
      <c r="L278" s="6"/>
      <c r="M278" s="6" t="s">
        <v>255</v>
      </c>
      <c r="N278" s="6" t="s">
        <v>87</v>
      </c>
      <c r="O278" s="6" t="s">
        <v>795</v>
      </c>
      <c r="P278" s="6" t="s">
        <v>1236</v>
      </c>
      <c r="Q278" s="6"/>
      <c r="R278" s="6"/>
      <c r="S278" s="6"/>
      <c r="T278" s="6"/>
    </row>
    <row r="279" customFormat="false" ht="15" hidden="false" customHeight="false" outlineLevel="0" collapsed="false">
      <c r="A279" s="6" t="n">
        <v>278</v>
      </c>
      <c r="B279" s="6" t="s">
        <v>11</v>
      </c>
      <c r="C279" s="7" t="n">
        <v>0.513888888888889</v>
      </c>
      <c r="D279" s="7"/>
      <c r="E279" s="6" t="s">
        <v>36</v>
      </c>
      <c r="F279" s="6" t="s">
        <v>156</v>
      </c>
      <c r="G279" s="6" t="s">
        <v>1237</v>
      </c>
      <c r="H279" s="6" t="s">
        <v>1238</v>
      </c>
      <c r="I279" s="6" t="s">
        <v>1239</v>
      </c>
      <c r="J279" s="6" t="s">
        <v>1240</v>
      </c>
      <c r="K279" s="6" t="n">
        <v>1</v>
      </c>
      <c r="L279" s="6"/>
      <c r="M279" s="6" t="s">
        <v>36</v>
      </c>
      <c r="N279" s="6"/>
      <c r="O279" s="6" t="s">
        <v>36</v>
      </c>
      <c r="P279" s="6"/>
      <c r="Q279" s="6"/>
      <c r="R279" s="6"/>
      <c r="S279" s="6"/>
      <c r="T279" s="6"/>
    </row>
    <row r="280" customFormat="false" ht="68.65" hidden="false" customHeight="false" outlineLevel="0" collapsed="false">
      <c r="A280" s="6" t="n">
        <v>279</v>
      </c>
      <c r="B280" s="6" t="s">
        <v>11</v>
      </c>
      <c r="C280" s="7" t="n">
        <v>0.520833333333333</v>
      </c>
      <c r="D280" s="7"/>
      <c r="E280" s="6" t="s">
        <v>23</v>
      </c>
      <c r="F280" s="6" t="s">
        <v>134</v>
      </c>
      <c r="G280" s="6" t="s">
        <v>1241</v>
      </c>
      <c r="H280" s="6" t="s">
        <v>1242</v>
      </c>
      <c r="I280" s="6" t="s">
        <v>1243</v>
      </c>
      <c r="J280" s="6" t="s">
        <v>1244</v>
      </c>
      <c r="K280" s="6" t="n">
        <v>3</v>
      </c>
      <c r="L280" s="6" t="n">
        <v>2</v>
      </c>
      <c r="M280" s="6" t="s">
        <v>732</v>
      </c>
      <c r="N280" s="6" t="s">
        <v>87</v>
      </c>
      <c r="O280" s="6" t="s">
        <v>733</v>
      </c>
      <c r="P280" s="6" t="s">
        <v>1245</v>
      </c>
      <c r="Q280" s="6"/>
      <c r="R280" s="6"/>
      <c r="S280" s="6"/>
      <c r="T280" s="6"/>
    </row>
    <row r="281" customFormat="false" ht="91" hidden="false" customHeight="false" outlineLevel="0" collapsed="false">
      <c r="A281" s="6" t="n">
        <v>280</v>
      </c>
      <c r="B281" s="6" t="s">
        <v>11</v>
      </c>
      <c r="C281" s="7" t="n">
        <v>0.520833333333333</v>
      </c>
      <c r="D281" s="7"/>
      <c r="E281" s="6" t="s">
        <v>33</v>
      </c>
      <c r="F281" s="6" t="s">
        <v>134</v>
      </c>
      <c r="G281" s="6" t="s">
        <v>1246</v>
      </c>
      <c r="H281" s="6" t="s">
        <v>1247</v>
      </c>
      <c r="I281" s="6" t="s">
        <v>1248</v>
      </c>
      <c r="J281" s="6" t="s">
        <v>1249</v>
      </c>
      <c r="K281" s="6" t="n">
        <v>3</v>
      </c>
      <c r="L281" s="6" t="n">
        <v>1</v>
      </c>
      <c r="M281" s="6" t="s">
        <v>103</v>
      </c>
      <c r="N281" s="6" t="s">
        <v>87</v>
      </c>
      <c r="O281" s="6" t="s">
        <v>103</v>
      </c>
      <c r="P281" s="6" t="s">
        <v>1250</v>
      </c>
      <c r="Q281" s="6"/>
      <c r="R281" s="6"/>
      <c r="S281" s="6"/>
      <c r="T281" s="6"/>
    </row>
    <row r="282" customFormat="false" ht="113.4" hidden="false" customHeight="false" outlineLevel="0" collapsed="false">
      <c r="A282" s="6" t="n">
        <v>281</v>
      </c>
      <c r="B282" s="6" t="s">
        <v>11</v>
      </c>
      <c r="C282" s="7" t="n">
        <v>0.520833333333333</v>
      </c>
      <c r="D282" s="7"/>
      <c r="E282" s="6" t="s">
        <v>15</v>
      </c>
      <c r="F282" s="6" t="s">
        <v>134</v>
      </c>
      <c r="G282" s="6" t="s">
        <v>1251</v>
      </c>
      <c r="H282" s="6" t="s">
        <v>1252</v>
      </c>
      <c r="I282" s="6" t="s">
        <v>1253</v>
      </c>
      <c r="J282" s="6" t="s">
        <v>1254</v>
      </c>
      <c r="K282" s="6" t="n">
        <v>3</v>
      </c>
      <c r="L282" s="6" t="n">
        <v>2</v>
      </c>
      <c r="M282" s="6" t="s">
        <v>64</v>
      </c>
      <c r="N282" s="6" t="s">
        <v>65</v>
      </c>
      <c r="O282" s="6" t="s">
        <v>64</v>
      </c>
      <c r="P282" s="6" t="s">
        <v>1255</v>
      </c>
      <c r="Q282" s="6"/>
      <c r="R282" s="6"/>
      <c r="S282" s="6"/>
      <c r="T282" s="6"/>
    </row>
    <row r="283" customFormat="false" ht="57.45" hidden="false" customHeight="false" outlineLevel="0" collapsed="false">
      <c r="A283" s="6" t="n">
        <v>282</v>
      </c>
      <c r="B283" s="6" t="s">
        <v>11</v>
      </c>
      <c r="C283" s="7" t="n">
        <v>0.520833333333333</v>
      </c>
      <c r="D283" s="7"/>
      <c r="E283" s="6" t="s">
        <v>29</v>
      </c>
      <c r="F283" s="6" t="s">
        <v>215</v>
      </c>
      <c r="G283" s="6" t="s">
        <v>1256</v>
      </c>
      <c r="H283" s="6" t="s">
        <v>1257</v>
      </c>
      <c r="I283" s="6" t="s">
        <v>1258</v>
      </c>
      <c r="J283" s="6" t="s">
        <v>1259</v>
      </c>
      <c r="K283" s="6" t="n">
        <v>3</v>
      </c>
      <c r="L283" s="6" t="n">
        <v>3</v>
      </c>
      <c r="M283" s="6" t="s">
        <v>255</v>
      </c>
      <c r="N283" s="6" t="s">
        <v>87</v>
      </c>
      <c r="O283" s="6" t="s">
        <v>795</v>
      </c>
      <c r="P283" s="6" t="s">
        <v>1260</v>
      </c>
      <c r="Q283" s="6"/>
      <c r="R283" s="6"/>
      <c r="S283" s="6"/>
      <c r="T283" s="6"/>
    </row>
    <row r="284" customFormat="false" ht="158.2" hidden="false" customHeight="false" outlineLevel="0" collapsed="false">
      <c r="A284" s="6" t="n">
        <v>283</v>
      </c>
      <c r="B284" s="6" t="s">
        <v>11</v>
      </c>
      <c r="C284" s="7" t="n">
        <v>0.520833333333333</v>
      </c>
      <c r="D284" s="7"/>
      <c r="E284" s="6" t="s">
        <v>13</v>
      </c>
      <c r="F284" s="6" t="s">
        <v>81</v>
      </c>
      <c r="G284" s="6" t="s">
        <v>1261</v>
      </c>
      <c r="H284" s="6" t="s">
        <v>1262</v>
      </c>
      <c r="I284" s="6" t="s">
        <v>1263</v>
      </c>
      <c r="J284" s="6" t="s">
        <v>1264</v>
      </c>
      <c r="K284" s="6" t="n">
        <v>2</v>
      </c>
      <c r="L284" s="6"/>
      <c r="M284" s="6" t="s">
        <v>114</v>
      </c>
      <c r="N284" s="6" t="s">
        <v>65</v>
      </c>
      <c r="O284" s="6" t="s">
        <v>114</v>
      </c>
      <c r="P284" s="6" t="s">
        <v>1265</v>
      </c>
      <c r="Q284" s="6"/>
      <c r="R284" s="6"/>
      <c r="S284" s="6"/>
      <c r="T284" s="6"/>
    </row>
    <row r="285" customFormat="false" ht="15" hidden="false" customHeight="false" outlineLevel="0" collapsed="false">
      <c r="A285" s="6" t="n">
        <v>284</v>
      </c>
      <c r="B285" s="6" t="s">
        <v>11</v>
      </c>
      <c r="C285" s="7" t="n">
        <v>0.520833333333333</v>
      </c>
      <c r="D285" s="7"/>
      <c r="E285" s="6" t="s">
        <v>36</v>
      </c>
      <c r="F285" s="6" t="s">
        <v>156</v>
      </c>
      <c r="G285" s="6" t="s">
        <v>1266</v>
      </c>
      <c r="H285" s="6" t="s">
        <v>1267</v>
      </c>
      <c r="I285" s="6" t="s">
        <v>1268</v>
      </c>
      <c r="J285" s="6" t="s">
        <v>1269</v>
      </c>
      <c r="K285" s="6" t="n">
        <v>1</v>
      </c>
      <c r="L285" s="6"/>
      <c r="M285" s="6" t="s">
        <v>36</v>
      </c>
      <c r="N285" s="6"/>
      <c r="O285" s="6" t="s">
        <v>36</v>
      </c>
      <c r="P285" s="6"/>
      <c r="Q285" s="6"/>
      <c r="R285" s="6"/>
      <c r="S285" s="6"/>
      <c r="T285" s="6"/>
    </row>
    <row r="286" customFormat="false" ht="15" hidden="false" customHeight="false" outlineLevel="0" collapsed="false">
      <c r="A286" s="6" t="n">
        <v>285</v>
      </c>
      <c r="B286" s="6" t="s">
        <v>11</v>
      </c>
      <c r="C286" s="7" t="n">
        <v>0.527777777777778</v>
      </c>
      <c r="D286" s="7"/>
      <c r="E286" s="6" t="s">
        <v>36</v>
      </c>
      <c r="F286" s="6" t="s">
        <v>156</v>
      </c>
      <c r="G286" s="6" t="s">
        <v>1270</v>
      </c>
      <c r="H286" s="6" t="s">
        <v>1271</v>
      </c>
      <c r="I286" s="6" t="s">
        <v>1272</v>
      </c>
      <c r="J286" s="6" t="s">
        <v>1273</v>
      </c>
      <c r="K286" s="6" t="n">
        <v>1</v>
      </c>
      <c r="L286" s="6"/>
      <c r="M286" s="6" t="s">
        <v>36</v>
      </c>
      <c r="N286" s="6"/>
      <c r="O286" s="6" t="s">
        <v>36</v>
      </c>
      <c r="P286" s="6"/>
      <c r="Q286" s="6"/>
      <c r="R286" s="6"/>
      <c r="S286" s="6"/>
      <c r="T286" s="6"/>
    </row>
    <row r="287" customFormat="false" ht="57.45" hidden="false" customHeight="false" outlineLevel="0" collapsed="false">
      <c r="A287" s="6" t="n">
        <v>286</v>
      </c>
      <c r="B287" s="6" t="s">
        <v>11</v>
      </c>
      <c r="C287" s="7" t="n">
        <v>0.53125</v>
      </c>
      <c r="D287" s="7"/>
      <c r="E287" s="6" t="s">
        <v>13</v>
      </c>
      <c r="F287" s="6" t="s">
        <v>134</v>
      </c>
      <c r="G287" s="6" t="s">
        <v>1274</v>
      </c>
      <c r="H287" s="6" t="s">
        <v>1275</v>
      </c>
      <c r="I287" s="6" t="s">
        <v>1276</v>
      </c>
      <c r="J287" s="6" t="s">
        <v>1277</v>
      </c>
      <c r="K287" s="6" t="n">
        <v>3</v>
      </c>
      <c r="L287" s="6" t="n">
        <v>2</v>
      </c>
      <c r="M287" s="6" t="s">
        <v>114</v>
      </c>
      <c r="N287" s="6" t="s">
        <v>65</v>
      </c>
      <c r="O287" s="6" t="s">
        <v>114</v>
      </c>
      <c r="P287" s="6" t="s">
        <v>1278</v>
      </c>
      <c r="Q287" s="6"/>
      <c r="R287" s="6"/>
      <c r="S287" s="6"/>
      <c r="T287" s="6"/>
    </row>
    <row r="288" customFormat="false" ht="23.85" hidden="false" customHeight="false" outlineLevel="0" collapsed="false">
      <c r="A288" s="6" t="n">
        <v>287</v>
      </c>
      <c r="B288" s="6" t="s">
        <v>11</v>
      </c>
      <c r="C288" s="7" t="n">
        <v>0.534722222222222</v>
      </c>
      <c r="D288" s="7"/>
      <c r="E288" s="6" t="s">
        <v>36</v>
      </c>
      <c r="F288" s="6" t="s">
        <v>156</v>
      </c>
      <c r="G288" s="6" t="s">
        <v>1279</v>
      </c>
      <c r="H288" s="6" t="s">
        <v>1280</v>
      </c>
      <c r="I288" s="6" t="s">
        <v>1281</v>
      </c>
      <c r="J288" s="6" t="s">
        <v>1282</v>
      </c>
      <c r="K288" s="6" t="n">
        <v>1</v>
      </c>
      <c r="L288" s="6"/>
      <c r="M288" s="6" t="s">
        <v>36</v>
      </c>
      <c r="N288" s="6"/>
      <c r="O288" s="6" t="s">
        <v>36</v>
      </c>
      <c r="P288" s="6"/>
      <c r="Q288" s="6"/>
      <c r="R288" s="6"/>
      <c r="S288" s="6"/>
      <c r="T288" s="6"/>
    </row>
    <row r="289" customFormat="false" ht="15" hidden="false" customHeight="false" outlineLevel="0" collapsed="false">
      <c r="A289" s="6" t="n">
        <v>288</v>
      </c>
      <c r="B289" s="6" t="s">
        <v>11</v>
      </c>
      <c r="C289" s="7" t="n">
        <v>0.541666666666667</v>
      </c>
      <c r="D289" s="7"/>
      <c r="E289" s="6" t="s">
        <v>36</v>
      </c>
      <c r="F289" s="6" t="s">
        <v>156</v>
      </c>
      <c r="G289" s="6" t="s">
        <v>1283</v>
      </c>
      <c r="H289" s="6" t="s">
        <v>1284</v>
      </c>
      <c r="I289" s="6" t="s">
        <v>1285</v>
      </c>
      <c r="J289" s="6" t="s">
        <v>1286</v>
      </c>
      <c r="K289" s="6" t="n">
        <v>1</v>
      </c>
      <c r="L289" s="6"/>
      <c r="M289" s="6" t="s">
        <v>36</v>
      </c>
      <c r="N289" s="6"/>
      <c r="O289" s="6" t="s">
        <v>36</v>
      </c>
      <c r="P289" s="6"/>
      <c r="Q289" s="6"/>
      <c r="R289" s="6"/>
      <c r="S289" s="6"/>
      <c r="T289" s="6"/>
    </row>
    <row r="290" customFormat="false" ht="15" hidden="false" customHeight="false" outlineLevel="0" collapsed="false">
      <c r="A290" s="6" t="n">
        <v>289</v>
      </c>
      <c r="B290" s="6" t="s">
        <v>11</v>
      </c>
      <c r="C290" s="7" t="n">
        <v>0.548611111111111</v>
      </c>
      <c r="D290" s="7"/>
      <c r="E290" s="6" t="s">
        <v>36</v>
      </c>
      <c r="F290" s="6" t="s">
        <v>156</v>
      </c>
      <c r="G290" s="6" t="s">
        <v>1287</v>
      </c>
      <c r="H290" s="6" t="s">
        <v>1288</v>
      </c>
      <c r="I290" s="6" t="s">
        <v>1289</v>
      </c>
      <c r="J290" s="6" t="s">
        <v>1290</v>
      </c>
      <c r="K290" s="6" t="n">
        <v>1</v>
      </c>
      <c r="L290" s="6"/>
      <c r="M290" s="6" t="s">
        <v>36</v>
      </c>
      <c r="N290" s="6"/>
      <c r="O290" s="6" t="s">
        <v>36</v>
      </c>
      <c r="P290" s="6"/>
      <c r="Q290" s="6"/>
      <c r="R290" s="6"/>
      <c r="S290" s="6"/>
      <c r="T290" s="6"/>
    </row>
    <row r="291" customFormat="false" ht="68.65" hidden="false" customHeight="false" outlineLevel="0" collapsed="false">
      <c r="A291" s="6" t="n">
        <v>290</v>
      </c>
      <c r="B291" s="6" t="s">
        <v>11</v>
      </c>
      <c r="C291" s="7" t="n">
        <v>0.552083333333333</v>
      </c>
      <c r="D291" s="7" t="n">
        <v>0.59375</v>
      </c>
      <c r="E291" s="6" t="s">
        <v>39</v>
      </c>
      <c r="F291" s="6" t="s">
        <v>39</v>
      </c>
      <c r="G291" s="6" t="s">
        <v>1291</v>
      </c>
      <c r="H291" s="6" t="s">
        <v>1292</v>
      </c>
      <c r="I291" s="6" t="s">
        <v>1293</v>
      </c>
      <c r="J291" s="6"/>
      <c r="K291" s="6" t="n">
        <v>6</v>
      </c>
      <c r="L291" s="6"/>
      <c r="M291" s="6" t="s">
        <v>103</v>
      </c>
      <c r="N291" s="6" t="s">
        <v>87</v>
      </c>
      <c r="O291" s="6" t="s">
        <v>1294</v>
      </c>
      <c r="P291" s="6"/>
      <c r="Q291" s="6" t="n">
        <v>26</v>
      </c>
      <c r="R291" s="6" t="n">
        <v>50</v>
      </c>
      <c r="S291" s="6" t="n">
        <f aca="false">R291-Q291</f>
        <v>24</v>
      </c>
      <c r="T291" s="6" t="s">
        <v>637</v>
      </c>
    </row>
    <row r="292" customFormat="false" ht="23.85" hidden="false" customHeight="false" outlineLevel="0" collapsed="false">
      <c r="A292" s="6" t="n">
        <v>291</v>
      </c>
      <c r="B292" s="6" t="s">
        <v>11</v>
      </c>
      <c r="C292" s="7" t="n">
        <v>0.555555555555556</v>
      </c>
      <c r="D292" s="7"/>
      <c r="E292" s="6" t="s">
        <v>36</v>
      </c>
      <c r="F292" s="6" t="s">
        <v>156</v>
      </c>
      <c r="G292" s="6" t="s">
        <v>1295</v>
      </c>
      <c r="H292" s="6" t="s">
        <v>1296</v>
      </c>
      <c r="I292" s="6" t="s">
        <v>1297</v>
      </c>
      <c r="J292" s="6" t="s">
        <v>1298</v>
      </c>
      <c r="K292" s="6" t="n">
        <v>1</v>
      </c>
      <c r="L292" s="6"/>
      <c r="M292" s="6" t="s">
        <v>36</v>
      </c>
      <c r="N292" s="6"/>
      <c r="O292" s="6" t="s">
        <v>36</v>
      </c>
      <c r="P292" s="6"/>
      <c r="Q292" s="6"/>
      <c r="R292" s="6"/>
      <c r="S292" s="6"/>
      <c r="T292" s="6"/>
    </row>
    <row r="293" customFormat="false" ht="79.85" hidden="false" customHeight="false" outlineLevel="0" collapsed="false">
      <c r="A293" s="6" t="n">
        <v>292</v>
      </c>
      <c r="B293" s="6" t="s">
        <v>11</v>
      </c>
      <c r="C293" s="7" t="n">
        <v>0.5625</v>
      </c>
      <c r="D293" s="7"/>
      <c r="E293" s="6" t="s">
        <v>14</v>
      </c>
      <c r="F293" s="6" t="s">
        <v>554</v>
      </c>
      <c r="G293" s="6" t="s">
        <v>1299</v>
      </c>
      <c r="H293" s="6" t="s">
        <v>1300</v>
      </c>
      <c r="I293" s="6" t="s">
        <v>1301</v>
      </c>
      <c r="J293" s="6" t="s">
        <v>1302</v>
      </c>
      <c r="K293" s="6" t="n">
        <v>3</v>
      </c>
      <c r="L293" s="6" t="n">
        <v>7</v>
      </c>
      <c r="M293" s="6" t="s">
        <v>588</v>
      </c>
      <c r="N293" s="6" t="s">
        <v>87</v>
      </c>
      <c r="O293" s="6" t="s">
        <v>1303</v>
      </c>
      <c r="P293" s="6" t="s">
        <v>1304</v>
      </c>
      <c r="Q293" s="6"/>
      <c r="R293" s="6"/>
      <c r="S293" s="6"/>
      <c r="T293" s="6"/>
    </row>
    <row r="294" customFormat="false" ht="15" hidden="false" customHeight="false" outlineLevel="0" collapsed="false">
      <c r="A294" s="6" t="n">
        <v>293</v>
      </c>
      <c r="B294" s="6" t="s">
        <v>11</v>
      </c>
      <c r="C294" s="7" t="n">
        <v>0.5625</v>
      </c>
      <c r="D294" s="7"/>
      <c r="E294" s="6" t="s">
        <v>36</v>
      </c>
      <c r="F294" s="6" t="s">
        <v>156</v>
      </c>
      <c r="G294" s="6" t="s">
        <v>1305</v>
      </c>
      <c r="H294" s="6" t="s">
        <v>1306</v>
      </c>
      <c r="I294" s="6" t="s">
        <v>1307</v>
      </c>
      <c r="J294" s="6" t="s">
        <v>1308</v>
      </c>
      <c r="K294" s="6" t="n">
        <v>1</v>
      </c>
      <c r="L294" s="6"/>
      <c r="M294" s="6" t="s">
        <v>36</v>
      </c>
      <c r="N294" s="6"/>
      <c r="O294" s="6" t="s">
        <v>36</v>
      </c>
      <c r="P294" s="6"/>
      <c r="Q294" s="6"/>
      <c r="R294" s="6"/>
      <c r="S294" s="6"/>
      <c r="T294" s="6"/>
    </row>
    <row r="295" customFormat="false" ht="23.85" hidden="false" customHeight="false" outlineLevel="0" collapsed="false">
      <c r="A295" s="6" t="n">
        <v>294</v>
      </c>
      <c r="B295" s="6" t="s">
        <v>11</v>
      </c>
      <c r="C295" s="7" t="n">
        <v>0.5625</v>
      </c>
      <c r="D295" s="7" t="n">
        <v>0.579861111111111</v>
      </c>
      <c r="E295" s="6" t="s">
        <v>35</v>
      </c>
      <c r="F295" s="6" t="s">
        <v>35</v>
      </c>
      <c r="G295" s="6" t="s">
        <v>1309</v>
      </c>
      <c r="H295" s="6" t="s">
        <v>1310</v>
      </c>
      <c r="I295" s="6" t="s">
        <v>1310</v>
      </c>
      <c r="J295" s="6"/>
      <c r="K295" s="6" t="n">
        <v>1</v>
      </c>
      <c r="L295" s="6"/>
      <c r="M295" s="6" t="s">
        <v>580</v>
      </c>
      <c r="N295" s="6" t="s">
        <v>65</v>
      </c>
      <c r="O295" s="6" t="s">
        <v>1311</v>
      </c>
      <c r="P295" s="6"/>
      <c r="Q295" s="6" t="n">
        <v>36</v>
      </c>
      <c r="R295" s="6" t="n">
        <v>40</v>
      </c>
      <c r="S295" s="6" t="n">
        <f aca="false">R295-Q295</f>
        <v>4</v>
      </c>
      <c r="T295" s="6" t="s">
        <v>637</v>
      </c>
    </row>
    <row r="296" customFormat="false" ht="23.85" hidden="false" customHeight="false" outlineLevel="0" collapsed="false">
      <c r="A296" s="6" t="n">
        <v>295</v>
      </c>
      <c r="B296" s="6" t="s">
        <v>11</v>
      </c>
      <c r="C296" s="7" t="n">
        <v>0.5625</v>
      </c>
      <c r="D296" s="7" t="n">
        <v>0.579861111111111</v>
      </c>
      <c r="E296" s="6" t="s">
        <v>35</v>
      </c>
      <c r="F296" s="6" t="s">
        <v>35</v>
      </c>
      <c r="G296" s="6" t="s">
        <v>1312</v>
      </c>
      <c r="H296" s="6" t="s">
        <v>1313</v>
      </c>
      <c r="I296" s="6" t="s">
        <v>1313</v>
      </c>
      <c r="J296" s="6"/>
      <c r="K296" s="6" t="n">
        <v>1</v>
      </c>
      <c r="L296" s="6"/>
      <c r="M296" s="6" t="s">
        <v>580</v>
      </c>
      <c r="N296" s="6" t="s">
        <v>65</v>
      </c>
      <c r="O296" s="6" t="s">
        <v>1311</v>
      </c>
      <c r="P296" s="6"/>
      <c r="Q296" s="6" t="n">
        <v>39</v>
      </c>
      <c r="R296" s="6" t="n">
        <v>50</v>
      </c>
      <c r="S296" s="6" t="n">
        <f aca="false">R296-Q296</f>
        <v>11</v>
      </c>
      <c r="T296" s="6" t="s">
        <v>637</v>
      </c>
    </row>
    <row r="297" customFormat="false" ht="46.25" hidden="false" customHeight="false" outlineLevel="0" collapsed="false">
      <c r="A297" s="6" t="n">
        <v>296</v>
      </c>
      <c r="B297" s="6" t="s">
        <v>11</v>
      </c>
      <c r="C297" s="7" t="n">
        <v>0.576388888888889</v>
      </c>
      <c r="D297" s="7"/>
      <c r="E297" s="6" t="s">
        <v>28</v>
      </c>
      <c r="F297" s="6" t="s">
        <v>215</v>
      </c>
      <c r="G297" s="6" t="s">
        <v>1314</v>
      </c>
      <c r="H297" s="6" t="s">
        <v>1315</v>
      </c>
      <c r="I297" s="6" t="s">
        <v>1316</v>
      </c>
      <c r="J297" s="6" t="s">
        <v>1317</v>
      </c>
      <c r="K297" s="6" t="n">
        <v>3</v>
      </c>
      <c r="L297" s="6" t="n">
        <v>3</v>
      </c>
      <c r="M297" s="6" t="s">
        <v>36</v>
      </c>
      <c r="N297" s="6"/>
      <c r="O297" s="6" t="s">
        <v>36</v>
      </c>
      <c r="P297" s="6"/>
      <c r="Q297" s="6"/>
      <c r="R297" s="6"/>
      <c r="S297" s="6"/>
      <c r="T297" s="6"/>
    </row>
    <row r="298" customFormat="false" ht="23.85" hidden="false" customHeight="false" outlineLevel="0" collapsed="false">
      <c r="A298" s="6" t="n">
        <v>297</v>
      </c>
      <c r="B298" s="6" t="s">
        <v>11</v>
      </c>
      <c r="C298" s="7" t="n">
        <v>0.583333333333333</v>
      </c>
      <c r="D298" s="7"/>
      <c r="E298" s="6" t="s">
        <v>23</v>
      </c>
      <c r="F298" s="6" t="s">
        <v>67</v>
      </c>
      <c r="G298" s="6" t="s">
        <v>1318</v>
      </c>
      <c r="H298" s="6" t="s">
        <v>1319</v>
      </c>
      <c r="I298" s="6" t="s">
        <v>1320</v>
      </c>
      <c r="J298" s="6" t="s">
        <v>1321</v>
      </c>
      <c r="K298" s="6" t="n">
        <v>2</v>
      </c>
      <c r="L298" s="6"/>
      <c r="M298" s="6" t="s">
        <v>732</v>
      </c>
      <c r="N298" s="6" t="s">
        <v>87</v>
      </c>
      <c r="O298" s="6" t="s">
        <v>733</v>
      </c>
      <c r="P298" s="6"/>
      <c r="Q298" s="6"/>
      <c r="R298" s="6"/>
      <c r="S298" s="6"/>
      <c r="T298" s="6"/>
    </row>
    <row r="299" customFormat="false" ht="23.85" hidden="false" customHeight="false" outlineLevel="0" collapsed="false">
      <c r="A299" s="6" t="n">
        <v>298</v>
      </c>
      <c r="B299" s="6" t="s">
        <v>11</v>
      </c>
      <c r="C299" s="7" t="n">
        <v>0.583333333333333</v>
      </c>
      <c r="D299" s="7"/>
      <c r="E299" s="6" t="s">
        <v>29</v>
      </c>
      <c r="F299" s="6" t="s">
        <v>67</v>
      </c>
      <c r="G299" s="6" t="s">
        <v>1322</v>
      </c>
      <c r="H299" s="6" t="s">
        <v>1323</v>
      </c>
      <c r="I299" s="6" t="s">
        <v>1324</v>
      </c>
      <c r="J299" s="6" t="s">
        <v>1325</v>
      </c>
      <c r="K299" s="6" t="n">
        <v>2</v>
      </c>
      <c r="L299" s="6"/>
      <c r="M299" s="6" t="s">
        <v>255</v>
      </c>
      <c r="N299" s="6" t="s">
        <v>87</v>
      </c>
      <c r="O299" s="6" t="s">
        <v>255</v>
      </c>
      <c r="P299" s="6"/>
      <c r="Q299" s="6"/>
      <c r="R299" s="6"/>
      <c r="S299" s="6"/>
      <c r="T299" s="6"/>
    </row>
    <row r="300" customFormat="false" ht="46.25" hidden="false" customHeight="false" outlineLevel="0" collapsed="false">
      <c r="A300" s="6" t="n">
        <v>299</v>
      </c>
      <c r="B300" s="6" t="s">
        <v>11</v>
      </c>
      <c r="C300" s="7" t="n">
        <v>0.583333333333333</v>
      </c>
      <c r="D300" s="7"/>
      <c r="E300" s="6" t="s">
        <v>15</v>
      </c>
      <c r="F300" s="6" t="s">
        <v>67</v>
      </c>
      <c r="G300" s="6" t="s">
        <v>1326</v>
      </c>
      <c r="H300" s="6" t="s">
        <v>1327</v>
      </c>
      <c r="I300" s="6" t="s">
        <v>1328</v>
      </c>
      <c r="J300" s="6" t="s">
        <v>1329</v>
      </c>
      <c r="K300" s="6" t="n">
        <v>2</v>
      </c>
      <c r="L300" s="6"/>
      <c r="M300" s="6" t="s">
        <v>64</v>
      </c>
      <c r="N300" s="6" t="s">
        <v>65</v>
      </c>
      <c r="O300" s="6" t="s">
        <v>64</v>
      </c>
      <c r="P300" s="6"/>
      <c r="Q300" s="6"/>
      <c r="R300" s="6"/>
      <c r="S300" s="6"/>
      <c r="T300" s="6"/>
    </row>
    <row r="301" customFormat="false" ht="35.05" hidden="false" customHeight="false" outlineLevel="0" collapsed="false">
      <c r="A301" s="6" t="n">
        <v>300</v>
      </c>
      <c r="B301" s="6" t="s">
        <v>11</v>
      </c>
      <c r="C301" s="7" t="n">
        <v>0.583333333333333</v>
      </c>
      <c r="D301" s="7"/>
      <c r="E301" s="6" t="s">
        <v>13</v>
      </c>
      <c r="F301" s="6" t="s">
        <v>67</v>
      </c>
      <c r="G301" s="6" t="s">
        <v>1330</v>
      </c>
      <c r="H301" s="6" t="s">
        <v>1331</v>
      </c>
      <c r="I301" s="6" t="s">
        <v>1332</v>
      </c>
      <c r="J301" s="6" t="s">
        <v>1333</v>
      </c>
      <c r="K301" s="6" t="n">
        <v>2</v>
      </c>
      <c r="L301" s="6"/>
      <c r="M301" s="6" t="s">
        <v>114</v>
      </c>
      <c r="N301" s="6" t="s">
        <v>65</v>
      </c>
      <c r="O301" s="6" t="s">
        <v>114</v>
      </c>
      <c r="P301" s="6"/>
      <c r="Q301" s="6"/>
      <c r="R301" s="6"/>
      <c r="S301" s="6"/>
      <c r="T301" s="6"/>
    </row>
    <row r="302" customFormat="false" ht="23.85" hidden="false" customHeight="false" outlineLevel="0" collapsed="false">
      <c r="A302" s="6" t="n">
        <v>301</v>
      </c>
      <c r="B302" s="6" t="s">
        <v>11</v>
      </c>
      <c r="C302" s="7" t="n">
        <v>0.59375</v>
      </c>
      <c r="D302" s="7"/>
      <c r="E302" s="6" t="s">
        <v>13</v>
      </c>
      <c r="F302" s="6" t="s">
        <v>215</v>
      </c>
      <c r="G302" s="6" t="s">
        <v>1334</v>
      </c>
      <c r="H302" s="6" t="s">
        <v>1335</v>
      </c>
      <c r="I302" s="6" t="s">
        <v>1336</v>
      </c>
      <c r="J302" s="6" t="s">
        <v>1337</v>
      </c>
      <c r="K302" s="6" t="n">
        <v>2</v>
      </c>
      <c r="L302" s="6"/>
      <c r="M302" s="6" t="s">
        <v>114</v>
      </c>
      <c r="N302" s="6" t="s">
        <v>65</v>
      </c>
      <c r="O302" s="6" t="s">
        <v>114</v>
      </c>
      <c r="P302" s="6"/>
      <c r="Q302" s="6"/>
      <c r="R302" s="6"/>
      <c r="S302" s="6"/>
      <c r="T302" s="6"/>
    </row>
    <row r="303" customFormat="false" ht="124.6" hidden="false" customHeight="false" outlineLevel="0" collapsed="false">
      <c r="A303" s="6" t="n">
        <v>302</v>
      </c>
      <c r="B303" s="6" t="s">
        <v>11</v>
      </c>
      <c r="C303" s="7" t="n">
        <v>0.59375</v>
      </c>
      <c r="D303" s="7"/>
      <c r="E303" s="6" t="s">
        <v>15</v>
      </c>
      <c r="F303" s="6" t="s">
        <v>134</v>
      </c>
      <c r="G303" s="6" t="s">
        <v>1338</v>
      </c>
      <c r="H303" s="6" t="s">
        <v>1339</v>
      </c>
      <c r="I303" s="6" t="s">
        <v>1340</v>
      </c>
      <c r="J303" s="6" t="s">
        <v>1341</v>
      </c>
      <c r="K303" s="6" t="n">
        <v>3</v>
      </c>
      <c r="L303" s="6" t="n">
        <v>5</v>
      </c>
      <c r="M303" s="6" t="s">
        <v>64</v>
      </c>
      <c r="N303" s="6" t="s">
        <v>65</v>
      </c>
      <c r="O303" s="6" t="s">
        <v>64</v>
      </c>
      <c r="P303" s="6" t="s">
        <v>1342</v>
      </c>
      <c r="Q303" s="6"/>
      <c r="R303" s="6"/>
      <c r="S303" s="6"/>
      <c r="T303" s="6"/>
    </row>
    <row r="304" customFormat="false" ht="91" hidden="false" customHeight="false" outlineLevel="0" collapsed="false">
      <c r="A304" s="6" t="n">
        <v>303</v>
      </c>
      <c r="B304" s="6" t="s">
        <v>11</v>
      </c>
      <c r="C304" s="7" t="n">
        <v>0.59375</v>
      </c>
      <c r="D304" s="7"/>
      <c r="E304" s="6" t="s">
        <v>29</v>
      </c>
      <c r="F304" s="6" t="s">
        <v>215</v>
      </c>
      <c r="G304" s="6" t="s">
        <v>1343</v>
      </c>
      <c r="H304" s="6" t="s">
        <v>1344</v>
      </c>
      <c r="I304" s="6" t="s">
        <v>1345</v>
      </c>
      <c r="J304" s="6" t="s">
        <v>1346</v>
      </c>
      <c r="K304" s="6" t="n">
        <v>3</v>
      </c>
      <c r="L304" s="6"/>
      <c r="M304" s="6" t="s">
        <v>255</v>
      </c>
      <c r="N304" s="6" t="s">
        <v>87</v>
      </c>
      <c r="O304" s="6" t="s">
        <v>795</v>
      </c>
      <c r="P304" s="6" t="s">
        <v>1347</v>
      </c>
      <c r="Q304" s="6"/>
      <c r="R304" s="6"/>
      <c r="S304" s="6"/>
      <c r="T304" s="6"/>
    </row>
    <row r="305" customFormat="false" ht="57.45" hidden="false" customHeight="false" outlineLevel="0" collapsed="false">
      <c r="A305" s="6" t="n">
        <v>304</v>
      </c>
      <c r="B305" s="6" t="s">
        <v>11</v>
      </c>
      <c r="C305" s="7" t="n">
        <v>0.59375</v>
      </c>
      <c r="D305" s="7"/>
      <c r="E305" s="6" t="s">
        <v>23</v>
      </c>
      <c r="F305" s="6" t="s">
        <v>134</v>
      </c>
      <c r="G305" s="6" t="s">
        <v>1348</v>
      </c>
      <c r="H305" s="6" t="s">
        <v>1349</v>
      </c>
      <c r="I305" s="6" t="s">
        <v>1350</v>
      </c>
      <c r="J305" s="6" t="s">
        <v>1351</v>
      </c>
      <c r="K305" s="6" t="n">
        <v>3</v>
      </c>
      <c r="L305" s="6" t="n">
        <v>2</v>
      </c>
      <c r="M305" s="6" t="s">
        <v>732</v>
      </c>
      <c r="N305" s="6" t="s">
        <v>87</v>
      </c>
      <c r="O305" s="6" t="s">
        <v>733</v>
      </c>
      <c r="P305" s="6" t="s">
        <v>1352</v>
      </c>
      <c r="Q305" s="6"/>
      <c r="R305" s="6"/>
      <c r="S305" s="6"/>
      <c r="T305" s="6"/>
    </row>
    <row r="306" customFormat="false" ht="46.25" hidden="false" customHeight="false" outlineLevel="0" collapsed="false">
      <c r="A306" s="6" t="n">
        <v>305</v>
      </c>
      <c r="B306" s="6" t="s">
        <v>11</v>
      </c>
      <c r="C306" s="7" t="n">
        <v>0.604166666666667</v>
      </c>
      <c r="D306" s="7"/>
      <c r="E306" s="6" t="s">
        <v>13</v>
      </c>
      <c r="F306" s="6" t="s">
        <v>215</v>
      </c>
      <c r="G306" s="6" t="s">
        <v>1353</v>
      </c>
      <c r="H306" s="6" t="s">
        <v>1354</v>
      </c>
      <c r="I306" s="6" t="s">
        <v>1355</v>
      </c>
      <c r="J306" s="6" t="s">
        <v>1356</v>
      </c>
      <c r="K306" s="6" t="n">
        <v>3</v>
      </c>
      <c r="L306" s="6" t="n">
        <v>1</v>
      </c>
      <c r="M306" s="6" t="s">
        <v>114</v>
      </c>
      <c r="N306" s="6" t="s">
        <v>65</v>
      </c>
      <c r="O306" s="6" t="s">
        <v>114</v>
      </c>
      <c r="P306" s="6"/>
      <c r="Q306" s="6"/>
      <c r="R306" s="6"/>
      <c r="S306" s="6"/>
      <c r="T306" s="6"/>
    </row>
    <row r="307" customFormat="false" ht="79.85" hidden="false" customHeight="false" outlineLevel="0" collapsed="false">
      <c r="A307" s="6" t="n">
        <v>306</v>
      </c>
      <c r="B307" s="6" t="s">
        <v>11</v>
      </c>
      <c r="C307" s="7" t="n">
        <v>0.604166666666667</v>
      </c>
      <c r="D307" s="7"/>
      <c r="E307" s="6" t="s">
        <v>14</v>
      </c>
      <c r="F307" s="6" t="s">
        <v>134</v>
      </c>
      <c r="G307" s="6" t="s">
        <v>1357</v>
      </c>
      <c r="H307" s="6" t="s">
        <v>1358</v>
      </c>
      <c r="I307" s="6" t="s">
        <v>1359</v>
      </c>
      <c r="J307" s="6" t="s">
        <v>1360</v>
      </c>
      <c r="K307" s="6" t="n">
        <v>3</v>
      </c>
      <c r="L307" s="6" t="n">
        <v>3</v>
      </c>
      <c r="M307" s="6" t="s">
        <v>588</v>
      </c>
      <c r="N307" s="6" t="s">
        <v>87</v>
      </c>
      <c r="O307" s="6" t="s">
        <v>588</v>
      </c>
      <c r="P307" s="6" t="s">
        <v>1361</v>
      </c>
      <c r="Q307" s="6"/>
      <c r="R307" s="6"/>
      <c r="S307" s="6"/>
      <c r="T307" s="6"/>
    </row>
    <row r="308" customFormat="false" ht="15" hidden="false" customHeight="false" outlineLevel="0" collapsed="false">
      <c r="A308" s="6" t="n">
        <v>307</v>
      </c>
      <c r="B308" s="6" t="s">
        <v>11</v>
      </c>
      <c r="C308" s="7" t="n">
        <v>0.614583333333333</v>
      </c>
      <c r="D308" s="7"/>
      <c r="E308" s="6" t="s">
        <v>36</v>
      </c>
      <c r="F308" s="6" t="s">
        <v>156</v>
      </c>
      <c r="G308" s="6" t="s">
        <v>1362</v>
      </c>
      <c r="H308" s="6" t="s">
        <v>1363</v>
      </c>
      <c r="I308" s="6" t="s">
        <v>1364</v>
      </c>
      <c r="J308" s="6" t="s">
        <v>1365</v>
      </c>
      <c r="K308" s="6" t="n">
        <v>1</v>
      </c>
      <c r="L308" s="6"/>
      <c r="M308" s="6" t="s">
        <v>36</v>
      </c>
      <c r="N308" s="6"/>
      <c r="O308" s="6" t="s">
        <v>36</v>
      </c>
      <c r="P308" s="6"/>
      <c r="Q308" s="6"/>
      <c r="R308" s="6"/>
      <c r="S308" s="6"/>
      <c r="T308" s="6"/>
    </row>
    <row r="309" customFormat="false" ht="46.25" hidden="false" customHeight="false" outlineLevel="0" collapsed="false">
      <c r="A309" s="6" t="n">
        <v>308</v>
      </c>
      <c r="B309" s="6" t="s">
        <v>11</v>
      </c>
      <c r="C309" s="7" t="n">
        <v>0.635416666666667</v>
      </c>
      <c r="D309" s="7"/>
      <c r="E309" s="6" t="s">
        <v>14</v>
      </c>
      <c r="F309" s="6" t="s">
        <v>554</v>
      </c>
      <c r="G309" s="6" t="s">
        <v>1366</v>
      </c>
      <c r="H309" s="6" t="s">
        <v>1367</v>
      </c>
      <c r="I309" s="6" t="s">
        <v>1368</v>
      </c>
      <c r="J309" s="6" t="s">
        <v>1369</v>
      </c>
      <c r="K309" s="6" t="n">
        <v>3</v>
      </c>
      <c r="L309" s="6" t="n">
        <v>6</v>
      </c>
      <c r="M309" s="6" t="s">
        <v>588</v>
      </c>
      <c r="N309" s="6" t="s">
        <v>87</v>
      </c>
      <c r="O309" s="6" t="s">
        <v>1303</v>
      </c>
      <c r="P309" s="6"/>
      <c r="Q309" s="6"/>
      <c r="R309" s="6"/>
      <c r="S309" s="6"/>
      <c r="T30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5"/>
    <col collapsed="false" customWidth="true" hidden="false" outlineLevel="0" max="3" min="3" style="0" width="35"/>
    <col collapsed="false" customWidth="true" hidden="false" outlineLevel="0" max="4" min="4" style="0" width="9"/>
    <col collapsed="false" customWidth="true" hidden="false" outlineLevel="0" max="6" min="5" style="0" width="7"/>
    <col collapsed="false" customWidth="true" hidden="false" outlineLevel="0" max="7" min="7" style="0" width="22"/>
    <col collapsed="false" customWidth="true" hidden="false" outlineLevel="0" max="8" min="8" style="0" width="14"/>
    <col collapsed="false" customWidth="true" hidden="false" outlineLevel="0" max="9" min="9" style="0" width="60"/>
    <col collapsed="false" customWidth="true" hidden="false" outlineLevel="0" max="10" min="10" style="0" width="26"/>
  </cols>
  <sheetData>
    <row r="1" customFormat="false" ht="30" hidden="false" customHeight="true" outlineLevel="0" collapsed="false">
      <c r="A1" s="5" t="s">
        <v>1370</v>
      </c>
      <c r="B1" s="5" t="s">
        <v>1371</v>
      </c>
      <c r="C1" s="5" t="s">
        <v>1372</v>
      </c>
      <c r="D1" s="5" t="s">
        <v>1373</v>
      </c>
      <c r="E1" s="5" t="s">
        <v>41</v>
      </c>
      <c r="F1" s="5" t="s">
        <v>42</v>
      </c>
      <c r="G1" s="5" t="s">
        <v>8</v>
      </c>
      <c r="H1" s="5" t="s">
        <v>44</v>
      </c>
      <c r="I1" s="5" t="s">
        <v>45</v>
      </c>
      <c r="J1" s="5" t="s">
        <v>51</v>
      </c>
    </row>
    <row r="2" customFormat="false" ht="23.85" hidden="false" customHeight="false" outlineLevel="0" collapsed="false">
      <c r="A2" s="6" t="s">
        <v>62</v>
      </c>
      <c r="B2" s="6" t="s">
        <v>1374</v>
      </c>
      <c r="C2" s="6" t="s">
        <v>63</v>
      </c>
      <c r="D2" s="6" t="s">
        <v>1375</v>
      </c>
      <c r="E2" s="6" t="s">
        <v>9</v>
      </c>
      <c r="F2" s="7" t="n">
        <v>0.375</v>
      </c>
      <c r="G2" s="6" t="s">
        <v>14</v>
      </c>
      <c r="H2" s="6" t="s">
        <v>59</v>
      </c>
      <c r="I2" s="6" t="s">
        <v>60</v>
      </c>
      <c r="J2" s="6" t="s">
        <v>64</v>
      </c>
    </row>
    <row r="3" customFormat="false" ht="23.85" hidden="false" customHeight="false" outlineLevel="0" collapsed="false">
      <c r="A3" s="6" t="s">
        <v>1376</v>
      </c>
      <c r="B3" s="6" t="s">
        <v>1377</v>
      </c>
      <c r="C3" s="6" t="s">
        <v>1378</v>
      </c>
      <c r="D3" s="6" t="s">
        <v>1375</v>
      </c>
      <c r="E3" s="6" t="s">
        <v>9</v>
      </c>
      <c r="F3" s="7" t="n">
        <v>0.381944444444444</v>
      </c>
      <c r="G3" s="6" t="s">
        <v>14</v>
      </c>
      <c r="H3" s="6" t="s">
        <v>67</v>
      </c>
      <c r="I3" s="6" t="s">
        <v>68</v>
      </c>
      <c r="J3" s="6" t="s">
        <v>64</v>
      </c>
    </row>
    <row r="4" customFormat="false" ht="23.85" hidden="false" customHeight="false" outlineLevel="0" collapsed="false">
      <c r="A4" s="6" t="s">
        <v>1379</v>
      </c>
      <c r="B4" s="6" t="s">
        <v>1380</v>
      </c>
      <c r="C4" s="6" t="s">
        <v>1381</v>
      </c>
      <c r="D4" s="6" t="s">
        <v>1375</v>
      </c>
      <c r="E4" s="6" t="s">
        <v>9</v>
      </c>
      <c r="F4" s="7" t="n">
        <v>0.381944444444444</v>
      </c>
      <c r="G4" s="6" t="s">
        <v>14</v>
      </c>
      <c r="H4" s="6" t="s">
        <v>67</v>
      </c>
      <c r="I4" s="6" t="s">
        <v>68</v>
      </c>
      <c r="J4" s="6" t="s">
        <v>64</v>
      </c>
    </row>
    <row r="5" customFormat="false" ht="15" hidden="false" customHeight="false" outlineLevel="0" collapsed="false">
      <c r="A5" s="6" t="s">
        <v>1382</v>
      </c>
      <c r="B5" s="6" t="s">
        <v>1383</v>
      </c>
      <c r="C5" s="6" t="s">
        <v>1384</v>
      </c>
      <c r="D5" s="6" t="s">
        <v>1375</v>
      </c>
      <c r="E5" s="6" t="s">
        <v>9</v>
      </c>
      <c r="F5" s="7" t="n">
        <v>0.392361111111111</v>
      </c>
      <c r="G5" s="6" t="s">
        <v>14</v>
      </c>
      <c r="H5" s="6" t="s">
        <v>67</v>
      </c>
      <c r="I5" s="6" t="s">
        <v>72</v>
      </c>
      <c r="J5" s="6" t="s">
        <v>64</v>
      </c>
    </row>
    <row r="6" customFormat="false" ht="15" hidden="false" customHeight="false" outlineLevel="0" collapsed="false">
      <c r="A6" s="6" t="s">
        <v>1385</v>
      </c>
      <c r="B6" s="6" t="s">
        <v>1386</v>
      </c>
      <c r="C6" s="6" t="s">
        <v>242</v>
      </c>
      <c r="D6" s="6" t="s">
        <v>1375</v>
      </c>
      <c r="E6" s="6" t="s">
        <v>9</v>
      </c>
      <c r="F6" s="7" t="n">
        <v>0.392361111111111</v>
      </c>
      <c r="G6" s="6" t="s">
        <v>14</v>
      </c>
      <c r="H6" s="6" t="s">
        <v>67</v>
      </c>
      <c r="I6" s="6" t="s">
        <v>72</v>
      </c>
      <c r="J6" s="6" t="s">
        <v>64</v>
      </c>
    </row>
    <row r="7" customFormat="false" ht="15" hidden="false" customHeight="false" outlineLevel="0" collapsed="false">
      <c r="A7" s="6" t="s">
        <v>1379</v>
      </c>
      <c r="B7" s="6" t="s">
        <v>1380</v>
      </c>
      <c r="C7" s="6" t="s">
        <v>1381</v>
      </c>
      <c r="D7" s="6" t="s">
        <v>1375</v>
      </c>
      <c r="E7" s="6" t="s">
        <v>9</v>
      </c>
      <c r="F7" s="7" t="n">
        <v>0.392361111111111</v>
      </c>
      <c r="G7" s="6" t="s">
        <v>14</v>
      </c>
      <c r="H7" s="6" t="s">
        <v>67</v>
      </c>
      <c r="I7" s="6" t="s">
        <v>72</v>
      </c>
      <c r="J7" s="6" t="s">
        <v>64</v>
      </c>
    </row>
    <row r="8" customFormat="false" ht="23.85" hidden="false" customHeight="false" outlineLevel="0" collapsed="false">
      <c r="A8" s="6" t="s">
        <v>78</v>
      </c>
      <c r="B8" s="6" t="s">
        <v>1387</v>
      </c>
      <c r="C8" s="6" t="s">
        <v>79</v>
      </c>
      <c r="D8" s="6" t="s">
        <v>1375</v>
      </c>
      <c r="E8" s="6" t="s">
        <v>9</v>
      </c>
      <c r="F8" s="7" t="n">
        <v>0.395833333333333</v>
      </c>
      <c r="G8" s="6" t="s">
        <v>20</v>
      </c>
      <c r="H8" s="6" t="s">
        <v>67</v>
      </c>
      <c r="I8" s="6" t="s">
        <v>76</v>
      </c>
      <c r="J8" s="6" t="s">
        <v>80</v>
      </c>
    </row>
    <row r="9" customFormat="false" ht="23.85" hidden="false" customHeight="false" outlineLevel="0" collapsed="false">
      <c r="A9" s="6" t="s">
        <v>84</v>
      </c>
      <c r="B9" s="6" t="s">
        <v>1388</v>
      </c>
      <c r="C9" s="6" t="s">
        <v>85</v>
      </c>
      <c r="D9" s="6" t="s">
        <v>1375</v>
      </c>
      <c r="E9" s="6" t="s">
        <v>9</v>
      </c>
      <c r="F9" s="7" t="n">
        <v>0.395833333333333</v>
      </c>
      <c r="G9" s="6" t="s">
        <v>27</v>
      </c>
      <c r="H9" s="6" t="s">
        <v>81</v>
      </c>
      <c r="I9" s="6" t="s">
        <v>82</v>
      </c>
      <c r="J9" s="6" t="s">
        <v>86</v>
      </c>
    </row>
    <row r="10" customFormat="false" ht="23.85" hidden="false" customHeight="false" outlineLevel="0" collapsed="false">
      <c r="A10" s="6" t="s">
        <v>1389</v>
      </c>
      <c r="B10" s="6" t="s">
        <v>1390</v>
      </c>
      <c r="C10" s="6" t="s">
        <v>1391</v>
      </c>
      <c r="D10" s="6" t="s">
        <v>1375</v>
      </c>
      <c r="E10" s="6" t="s">
        <v>9</v>
      </c>
      <c r="F10" s="7" t="n">
        <v>0.395833333333333</v>
      </c>
      <c r="G10" s="6" t="s">
        <v>25</v>
      </c>
      <c r="H10" s="6" t="s">
        <v>67</v>
      </c>
      <c r="I10" s="6" t="s">
        <v>88</v>
      </c>
      <c r="J10" s="6" t="s">
        <v>92</v>
      </c>
    </row>
    <row r="11" customFormat="false" ht="23.85" hidden="false" customHeight="false" outlineLevel="0" collapsed="false">
      <c r="A11" s="6" t="s">
        <v>1392</v>
      </c>
      <c r="B11" s="6" t="s">
        <v>1393</v>
      </c>
      <c r="C11" s="6" t="s">
        <v>1394</v>
      </c>
      <c r="D11" s="6" t="s">
        <v>1375</v>
      </c>
      <c r="E11" s="6" t="s">
        <v>9</v>
      </c>
      <c r="F11" s="7" t="n">
        <v>0.395833333333333</v>
      </c>
      <c r="G11" s="6" t="s">
        <v>25</v>
      </c>
      <c r="H11" s="6" t="s">
        <v>67</v>
      </c>
      <c r="I11" s="6" t="s">
        <v>88</v>
      </c>
      <c r="J11" s="6" t="s">
        <v>92</v>
      </c>
    </row>
    <row r="12" customFormat="false" ht="23.85" hidden="false" customHeight="false" outlineLevel="0" collapsed="false">
      <c r="A12" s="6" t="s">
        <v>1395</v>
      </c>
      <c r="B12" s="6" t="s">
        <v>1396</v>
      </c>
      <c r="C12" s="6" t="s">
        <v>242</v>
      </c>
      <c r="D12" s="6" t="s">
        <v>1375</v>
      </c>
      <c r="E12" s="6" t="s">
        <v>9</v>
      </c>
      <c r="F12" s="7" t="n">
        <v>0.395833333333333</v>
      </c>
      <c r="G12" s="6" t="s">
        <v>21</v>
      </c>
      <c r="H12" s="6" t="s">
        <v>67</v>
      </c>
      <c r="I12" s="6" t="s">
        <v>93</v>
      </c>
      <c r="J12" s="6" t="s">
        <v>97</v>
      </c>
    </row>
    <row r="13" customFormat="false" ht="23.85" hidden="false" customHeight="false" outlineLevel="0" collapsed="false">
      <c r="A13" s="6" t="s">
        <v>1397</v>
      </c>
      <c r="B13" s="6" t="s">
        <v>1398</v>
      </c>
      <c r="C13" s="6" t="s">
        <v>1399</v>
      </c>
      <c r="D13" s="6" t="s">
        <v>1375</v>
      </c>
      <c r="E13" s="6" t="s">
        <v>9</v>
      </c>
      <c r="F13" s="7" t="n">
        <v>0.395833333333333</v>
      </c>
      <c r="G13" s="6" t="s">
        <v>21</v>
      </c>
      <c r="H13" s="6" t="s">
        <v>67</v>
      </c>
      <c r="I13" s="6" t="s">
        <v>93</v>
      </c>
      <c r="J13" s="6" t="s">
        <v>97</v>
      </c>
    </row>
    <row r="14" customFormat="false" ht="23.85" hidden="false" customHeight="false" outlineLevel="0" collapsed="false">
      <c r="A14" s="6" t="s">
        <v>101</v>
      </c>
      <c r="B14" s="6" t="s">
        <v>1400</v>
      </c>
      <c r="C14" s="6" t="s">
        <v>102</v>
      </c>
      <c r="D14" s="6" t="s">
        <v>1375</v>
      </c>
      <c r="E14" s="6" t="s">
        <v>9</v>
      </c>
      <c r="F14" s="7" t="n">
        <v>0.395833333333333</v>
      </c>
      <c r="G14" s="6" t="s">
        <v>30</v>
      </c>
      <c r="H14" s="6" t="s">
        <v>81</v>
      </c>
      <c r="I14" s="6" t="s">
        <v>99</v>
      </c>
      <c r="J14" s="6" t="s">
        <v>103</v>
      </c>
    </row>
    <row r="15" customFormat="false" ht="23.85" hidden="false" customHeight="false" outlineLevel="0" collapsed="false">
      <c r="A15" s="6" t="s">
        <v>1401</v>
      </c>
      <c r="B15" s="6" t="s">
        <v>1402</v>
      </c>
      <c r="C15" s="6" t="s">
        <v>1403</v>
      </c>
      <c r="D15" s="6" t="s">
        <v>1375</v>
      </c>
      <c r="E15" s="6" t="s">
        <v>9</v>
      </c>
      <c r="F15" s="7" t="n">
        <v>0.395833333333333</v>
      </c>
      <c r="G15" s="6" t="s">
        <v>32</v>
      </c>
      <c r="H15" s="6" t="s">
        <v>67</v>
      </c>
      <c r="I15" s="6" t="s">
        <v>104</v>
      </c>
      <c r="J15" s="6" t="s">
        <v>108</v>
      </c>
    </row>
    <row r="16" customFormat="false" ht="23.85" hidden="false" customHeight="false" outlineLevel="0" collapsed="false">
      <c r="A16" s="6" t="s">
        <v>1404</v>
      </c>
      <c r="B16" s="6" t="s">
        <v>1405</v>
      </c>
      <c r="C16" s="6" t="s">
        <v>1406</v>
      </c>
      <c r="D16" s="6" t="s">
        <v>1375</v>
      </c>
      <c r="E16" s="6" t="s">
        <v>9</v>
      </c>
      <c r="F16" s="7" t="n">
        <v>0.395833333333333</v>
      </c>
      <c r="G16" s="6" t="s">
        <v>32</v>
      </c>
      <c r="H16" s="6" t="s">
        <v>67</v>
      </c>
      <c r="I16" s="6" t="s">
        <v>104</v>
      </c>
      <c r="J16" s="6" t="s">
        <v>108</v>
      </c>
    </row>
    <row r="17" customFormat="false" ht="15" hidden="false" customHeight="false" outlineLevel="0" collapsed="false">
      <c r="A17" s="6" t="s">
        <v>1407</v>
      </c>
      <c r="B17" s="6" t="s">
        <v>1408</v>
      </c>
      <c r="C17" s="6" t="s">
        <v>492</v>
      </c>
      <c r="D17" s="6" t="s">
        <v>1375</v>
      </c>
      <c r="E17" s="6" t="s">
        <v>9</v>
      </c>
      <c r="F17" s="7" t="n">
        <v>0.395833333333333</v>
      </c>
      <c r="G17" s="6" t="s">
        <v>22</v>
      </c>
      <c r="H17" s="6" t="s">
        <v>67</v>
      </c>
      <c r="I17" s="6" t="s">
        <v>110</v>
      </c>
      <c r="J17" s="6" t="s">
        <v>114</v>
      </c>
    </row>
    <row r="18" customFormat="false" ht="15" hidden="false" customHeight="false" outlineLevel="0" collapsed="false">
      <c r="A18" s="6" t="s">
        <v>1409</v>
      </c>
      <c r="B18" s="6" t="s">
        <v>1410</v>
      </c>
      <c r="C18" s="6" t="s">
        <v>1411</v>
      </c>
      <c r="D18" s="6" t="s">
        <v>1375</v>
      </c>
      <c r="E18" s="6" t="s">
        <v>9</v>
      </c>
      <c r="F18" s="7" t="n">
        <v>0.395833333333333</v>
      </c>
      <c r="G18" s="6" t="s">
        <v>22</v>
      </c>
      <c r="H18" s="6" t="s">
        <v>67</v>
      </c>
      <c r="I18" s="6" t="s">
        <v>110</v>
      </c>
      <c r="J18" s="6" t="s">
        <v>114</v>
      </c>
    </row>
    <row r="19" customFormat="false" ht="15" hidden="false" customHeight="false" outlineLevel="0" collapsed="false">
      <c r="A19" s="6" t="s">
        <v>118</v>
      </c>
      <c r="B19" s="6"/>
      <c r="C19" s="6"/>
      <c r="D19" s="6" t="s">
        <v>210</v>
      </c>
      <c r="E19" s="6" t="s">
        <v>9</v>
      </c>
      <c r="F19" s="7" t="n">
        <v>0.395833333333333</v>
      </c>
      <c r="G19" s="6" t="s">
        <v>39</v>
      </c>
      <c r="H19" s="6" t="s">
        <v>39</v>
      </c>
      <c r="I19" s="6" t="s">
        <v>117</v>
      </c>
      <c r="J19" s="6" t="s">
        <v>119</v>
      </c>
    </row>
    <row r="20" customFormat="false" ht="15" hidden="false" customHeight="false" outlineLevel="0" collapsed="false">
      <c r="A20" s="6" t="s">
        <v>123</v>
      </c>
      <c r="B20" s="6" t="s">
        <v>1412</v>
      </c>
      <c r="C20" s="6" t="s">
        <v>124</v>
      </c>
      <c r="D20" s="6" t="s">
        <v>1375</v>
      </c>
      <c r="E20" s="6" t="s">
        <v>9</v>
      </c>
      <c r="F20" s="7" t="n">
        <v>0.402777777777778</v>
      </c>
      <c r="G20" s="6" t="s">
        <v>36</v>
      </c>
      <c r="H20" s="6" t="s">
        <v>81</v>
      </c>
      <c r="I20" s="6" t="s">
        <v>121</v>
      </c>
      <c r="J20" s="6" t="s">
        <v>36</v>
      </c>
    </row>
    <row r="21" customFormat="false" ht="15" hidden="false" customHeight="false" outlineLevel="0" collapsed="false">
      <c r="A21" s="6" t="s">
        <v>1413</v>
      </c>
      <c r="B21" s="6" t="s">
        <v>1414</v>
      </c>
      <c r="C21" s="6" t="s">
        <v>1415</v>
      </c>
      <c r="D21" s="6" t="s">
        <v>1375</v>
      </c>
      <c r="E21" s="6" t="s">
        <v>9</v>
      </c>
      <c r="F21" s="7" t="n">
        <v>0.402777777777778</v>
      </c>
      <c r="G21" s="6" t="s">
        <v>33</v>
      </c>
      <c r="H21" s="6" t="s">
        <v>81</v>
      </c>
      <c r="I21" s="6" t="s">
        <v>125</v>
      </c>
      <c r="J21" s="6" t="s">
        <v>64</v>
      </c>
    </row>
    <row r="22" customFormat="false" ht="15" hidden="false" customHeight="false" outlineLevel="0" collapsed="false">
      <c r="A22" s="6" t="s">
        <v>1416</v>
      </c>
      <c r="B22" s="6" t="s">
        <v>1417</v>
      </c>
      <c r="C22" s="6" t="s">
        <v>1418</v>
      </c>
      <c r="D22" s="6" t="s">
        <v>1375</v>
      </c>
      <c r="E22" s="6" t="s">
        <v>9</v>
      </c>
      <c r="F22" s="7" t="n">
        <v>0.402777777777778</v>
      </c>
      <c r="G22" s="6" t="s">
        <v>33</v>
      </c>
      <c r="H22" s="6" t="s">
        <v>81</v>
      </c>
      <c r="I22" s="6" t="s">
        <v>125</v>
      </c>
      <c r="J22" s="6" t="s">
        <v>64</v>
      </c>
    </row>
    <row r="23" customFormat="false" ht="23.85" hidden="false" customHeight="false" outlineLevel="0" collapsed="false">
      <c r="A23" s="6" t="s">
        <v>132</v>
      </c>
      <c r="B23" s="6" t="s">
        <v>1419</v>
      </c>
      <c r="C23" s="6" t="s">
        <v>133</v>
      </c>
      <c r="D23" s="6" t="s">
        <v>1375</v>
      </c>
      <c r="E23" s="6" t="s">
        <v>9</v>
      </c>
      <c r="F23" s="7" t="n">
        <v>0.40625</v>
      </c>
      <c r="G23" s="6" t="s">
        <v>21</v>
      </c>
      <c r="H23" s="6" t="s">
        <v>81</v>
      </c>
      <c r="I23" s="6" t="s">
        <v>130</v>
      </c>
      <c r="J23" s="6" t="s">
        <v>97</v>
      </c>
    </row>
    <row r="24" customFormat="false" ht="23.85" hidden="false" customHeight="false" outlineLevel="0" collapsed="false">
      <c r="A24" s="6" t="s">
        <v>1420</v>
      </c>
      <c r="B24" s="6" t="s">
        <v>1421</v>
      </c>
      <c r="C24" s="6" t="s">
        <v>1422</v>
      </c>
      <c r="D24" s="6" t="s">
        <v>1375</v>
      </c>
      <c r="E24" s="6" t="s">
        <v>9</v>
      </c>
      <c r="F24" s="7" t="n">
        <v>0.40625</v>
      </c>
      <c r="G24" s="6" t="s">
        <v>20</v>
      </c>
      <c r="H24" s="6" t="s">
        <v>134</v>
      </c>
      <c r="I24" s="6" t="s">
        <v>135</v>
      </c>
      <c r="J24" s="6" t="s">
        <v>80</v>
      </c>
    </row>
    <row r="25" customFormat="false" ht="23.85" hidden="false" customHeight="false" outlineLevel="0" collapsed="false">
      <c r="A25" s="6" t="s">
        <v>1423</v>
      </c>
      <c r="B25" s="6" t="s">
        <v>1424</v>
      </c>
      <c r="C25" s="6" t="s">
        <v>1425</v>
      </c>
      <c r="D25" s="6" t="s">
        <v>1375</v>
      </c>
      <c r="E25" s="6" t="s">
        <v>9</v>
      </c>
      <c r="F25" s="7" t="n">
        <v>0.40625</v>
      </c>
      <c r="G25" s="6" t="s">
        <v>20</v>
      </c>
      <c r="H25" s="6" t="s">
        <v>134</v>
      </c>
      <c r="I25" s="6" t="s">
        <v>135</v>
      </c>
      <c r="J25" s="6" t="s">
        <v>80</v>
      </c>
    </row>
    <row r="26" customFormat="false" ht="23.85" hidden="false" customHeight="false" outlineLevel="0" collapsed="false">
      <c r="A26" s="6" t="s">
        <v>1426</v>
      </c>
      <c r="B26" s="6" t="s">
        <v>1427</v>
      </c>
      <c r="C26" s="6" t="s">
        <v>1428</v>
      </c>
      <c r="D26" s="6" t="s">
        <v>1375</v>
      </c>
      <c r="E26" s="6" t="s">
        <v>9</v>
      </c>
      <c r="F26" s="7" t="n">
        <v>0.40625</v>
      </c>
      <c r="G26" s="6" t="s">
        <v>20</v>
      </c>
      <c r="H26" s="6" t="s">
        <v>134</v>
      </c>
      <c r="I26" s="6" t="s">
        <v>135</v>
      </c>
      <c r="J26" s="6" t="s">
        <v>80</v>
      </c>
    </row>
    <row r="27" customFormat="false" ht="23.85" hidden="false" customHeight="false" outlineLevel="0" collapsed="false">
      <c r="A27" s="6" t="s">
        <v>1429</v>
      </c>
      <c r="B27" s="6" t="s">
        <v>1430</v>
      </c>
      <c r="C27" s="6" t="s">
        <v>1429</v>
      </c>
      <c r="D27" s="6" t="s">
        <v>1375</v>
      </c>
      <c r="E27" s="6" t="s">
        <v>9</v>
      </c>
      <c r="F27" s="7" t="n">
        <v>0.40625</v>
      </c>
      <c r="G27" s="6" t="s">
        <v>20</v>
      </c>
      <c r="H27" s="6" t="s">
        <v>134</v>
      </c>
      <c r="I27" s="6" t="s">
        <v>135</v>
      </c>
      <c r="J27" s="6" t="s">
        <v>80</v>
      </c>
    </row>
    <row r="28" customFormat="false" ht="23.85" hidden="false" customHeight="false" outlineLevel="0" collapsed="false">
      <c r="A28" s="6" t="s">
        <v>141</v>
      </c>
      <c r="B28" s="6" t="s">
        <v>1412</v>
      </c>
      <c r="C28" s="6" t="s">
        <v>142</v>
      </c>
      <c r="D28" s="6" t="s">
        <v>1375</v>
      </c>
      <c r="E28" s="6" t="s">
        <v>9</v>
      </c>
      <c r="F28" s="7" t="n">
        <v>0.40625</v>
      </c>
      <c r="G28" s="6" t="s">
        <v>25</v>
      </c>
      <c r="H28" s="6" t="s">
        <v>81</v>
      </c>
      <c r="I28" s="6" t="s">
        <v>139</v>
      </c>
      <c r="J28" s="6" t="s">
        <v>92</v>
      </c>
    </row>
    <row r="29" customFormat="false" ht="15" hidden="false" customHeight="false" outlineLevel="0" collapsed="false">
      <c r="A29" s="6" t="s">
        <v>1431</v>
      </c>
      <c r="B29" s="6" t="s">
        <v>1432</v>
      </c>
      <c r="C29" s="6" t="s">
        <v>1433</v>
      </c>
      <c r="D29" s="6" t="s">
        <v>1375</v>
      </c>
      <c r="E29" s="6" t="s">
        <v>9</v>
      </c>
      <c r="F29" s="7" t="n">
        <v>0.40625</v>
      </c>
      <c r="G29" s="6" t="s">
        <v>32</v>
      </c>
      <c r="H29" s="6" t="s">
        <v>81</v>
      </c>
      <c r="I29" s="6" t="s">
        <v>143</v>
      </c>
      <c r="J29" s="6"/>
    </row>
    <row r="30" customFormat="false" ht="15" hidden="false" customHeight="false" outlineLevel="0" collapsed="false">
      <c r="A30" s="6" t="s">
        <v>1434</v>
      </c>
      <c r="B30" s="6" t="s">
        <v>1435</v>
      </c>
      <c r="C30" s="6" t="s">
        <v>1436</v>
      </c>
      <c r="D30" s="6" t="s">
        <v>1375</v>
      </c>
      <c r="E30" s="6" t="s">
        <v>9</v>
      </c>
      <c r="F30" s="7" t="n">
        <v>0.40625</v>
      </c>
      <c r="G30" s="6" t="s">
        <v>32</v>
      </c>
      <c r="H30" s="6" t="s">
        <v>81</v>
      </c>
      <c r="I30" s="6" t="s">
        <v>143</v>
      </c>
      <c r="J30" s="6"/>
    </row>
    <row r="31" customFormat="false" ht="15" hidden="false" customHeight="false" outlineLevel="0" collapsed="false">
      <c r="A31" s="6" t="s">
        <v>1437</v>
      </c>
      <c r="B31" s="6" t="s">
        <v>1438</v>
      </c>
      <c r="C31" s="6" t="s">
        <v>1439</v>
      </c>
      <c r="D31" s="6" t="s">
        <v>1375</v>
      </c>
      <c r="E31" s="6" t="s">
        <v>9</v>
      </c>
      <c r="F31" s="7" t="n">
        <v>0.40625</v>
      </c>
      <c r="G31" s="6" t="s">
        <v>32</v>
      </c>
      <c r="H31" s="6" t="s">
        <v>81</v>
      </c>
      <c r="I31" s="6" t="s">
        <v>143</v>
      </c>
      <c r="J31" s="6"/>
    </row>
    <row r="32" customFormat="false" ht="23.85" hidden="false" customHeight="false" outlineLevel="0" collapsed="false">
      <c r="A32" s="6" t="s">
        <v>149</v>
      </c>
      <c r="B32" s="6" t="s">
        <v>1440</v>
      </c>
      <c r="C32" s="6" t="s">
        <v>150</v>
      </c>
      <c r="D32" s="6" t="s">
        <v>1375</v>
      </c>
      <c r="E32" s="6" t="s">
        <v>9</v>
      </c>
      <c r="F32" s="7" t="n">
        <v>0.40625</v>
      </c>
      <c r="G32" s="6" t="s">
        <v>30</v>
      </c>
      <c r="H32" s="6" t="s">
        <v>81</v>
      </c>
      <c r="I32" s="6" t="s">
        <v>147</v>
      </c>
      <c r="J32" s="6" t="s">
        <v>103</v>
      </c>
    </row>
    <row r="33" customFormat="false" ht="23.85" hidden="false" customHeight="false" outlineLevel="0" collapsed="false">
      <c r="A33" s="6" t="s">
        <v>154</v>
      </c>
      <c r="B33" s="6" t="s">
        <v>1441</v>
      </c>
      <c r="C33" s="6" t="s">
        <v>155</v>
      </c>
      <c r="D33" s="6" t="s">
        <v>1375</v>
      </c>
      <c r="E33" s="6" t="s">
        <v>9</v>
      </c>
      <c r="F33" s="7" t="n">
        <v>0.40625</v>
      </c>
      <c r="G33" s="6" t="s">
        <v>27</v>
      </c>
      <c r="H33" s="6" t="s">
        <v>81</v>
      </c>
      <c r="I33" s="6" t="s">
        <v>152</v>
      </c>
      <c r="J33" s="6" t="s">
        <v>86</v>
      </c>
    </row>
    <row r="34" customFormat="false" ht="15" hidden="false" customHeight="false" outlineLevel="0" collapsed="false">
      <c r="A34" s="6" t="s">
        <v>159</v>
      </c>
      <c r="B34" s="6" t="s">
        <v>1442</v>
      </c>
      <c r="C34" s="6" t="s">
        <v>160</v>
      </c>
      <c r="D34" s="6" t="s">
        <v>1375</v>
      </c>
      <c r="E34" s="6" t="s">
        <v>9</v>
      </c>
      <c r="F34" s="7" t="n">
        <v>0.409722222222222</v>
      </c>
      <c r="G34" s="6" t="s">
        <v>36</v>
      </c>
      <c r="H34" s="6" t="s">
        <v>156</v>
      </c>
      <c r="I34" s="6" t="s">
        <v>157</v>
      </c>
      <c r="J34" s="6" t="s">
        <v>36</v>
      </c>
    </row>
    <row r="35" customFormat="false" ht="23.85" hidden="false" customHeight="false" outlineLevel="0" collapsed="false">
      <c r="A35" s="6" t="s">
        <v>1443</v>
      </c>
      <c r="B35" s="6" t="s">
        <v>1444</v>
      </c>
      <c r="C35" s="6" t="s">
        <v>587</v>
      </c>
      <c r="D35" s="6" t="s">
        <v>1375</v>
      </c>
      <c r="E35" s="6" t="s">
        <v>9</v>
      </c>
      <c r="F35" s="7" t="n">
        <v>0.413194444444444</v>
      </c>
      <c r="G35" s="6" t="s">
        <v>33</v>
      </c>
      <c r="H35" s="6" t="s">
        <v>134</v>
      </c>
      <c r="I35" s="6" t="s">
        <v>161</v>
      </c>
      <c r="J35" s="6" t="s">
        <v>64</v>
      </c>
    </row>
    <row r="36" customFormat="false" ht="23.85" hidden="false" customHeight="false" outlineLevel="0" collapsed="false">
      <c r="A36" s="6" t="s">
        <v>1445</v>
      </c>
      <c r="B36" s="6" t="s">
        <v>1446</v>
      </c>
      <c r="C36" s="6" t="s">
        <v>1447</v>
      </c>
      <c r="D36" s="6" t="s">
        <v>1375</v>
      </c>
      <c r="E36" s="6" t="s">
        <v>9</v>
      </c>
      <c r="F36" s="7" t="n">
        <v>0.413194444444444</v>
      </c>
      <c r="G36" s="6" t="s">
        <v>33</v>
      </c>
      <c r="H36" s="6" t="s">
        <v>134</v>
      </c>
      <c r="I36" s="6" t="s">
        <v>161</v>
      </c>
      <c r="J36" s="6" t="s">
        <v>64</v>
      </c>
    </row>
    <row r="37" customFormat="false" ht="23.85" hidden="false" customHeight="false" outlineLevel="0" collapsed="false">
      <c r="A37" s="6" t="s">
        <v>1448</v>
      </c>
      <c r="B37" s="6" t="s">
        <v>1449</v>
      </c>
      <c r="C37" s="6" t="s">
        <v>1450</v>
      </c>
      <c r="D37" s="6" t="s">
        <v>1375</v>
      </c>
      <c r="E37" s="6" t="s">
        <v>9</v>
      </c>
      <c r="F37" s="7" t="n">
        <v>0.413194444444444</v>
      </c>
      <c r="G37" s="6" t="s">
        <v>33</v>
      </c>
      <c r="H37" s="6" t="s">
        <v>134</v>
      </c>
      <c r="I37" s="6" t="s">
        <v>161</v>
      </c>
      <c r="J37" s="6" t="s">
        <v>64</v>
      </c>
    </row>
    <row r="38" customFormat="false" ht="23.85" hidden="false" customHeight="false" outlineLevel="0" collapsed="false">
      <c r="A38" s="6" t="s">
        <v>1451</v>
      </c>
      <c r="B38" s="6" t="s">
        <v>1452</v>
      </c>
      <c r="C38" s="6" t="s">
        <v>1453</v>
      </c>
      <c r="D38" s="6" t="s">
        <v>1375</v>
      </c>
      <c r="E38" s="6" t="s">
        <v>9</v>
      </c>
      <c r="F38" s="7" t="n">
        <v>0.413194444444444</v>
      </c>
      <c r="G38" s="6" t="s">
        <v>33</v>
      </c>
      <c r="H38" s="6" t="s">
        <v>134</v>
      </c>
      <c r="I38" s="6" t="s">
        <v>161</v>
      </c>
      <c r="J38" s="6" t="s">
        <v>64</v>
      </c>
    </row>
    <row r="39" customFormat="false" ht="23.85" hidden="false" customHeight="false" outlineLevel="0" collapsed="false">
      <c r="A39" s="6" t="s">
        <v>1454</v>
      </c>
      <c r="B39" s="6" t="s">
        <v>1455</v>
      </c>
      <c r="C39" s="6" t="s">
        <v>1456</v>
      </c>
      <c r="D39" s="6" t="s">
        <v>1375</v>
      </c>
      <c r="E39" s="6" t="s">
        <v>9</v>
      </c>
      <c r="F39" s="7" t="n">
        <v>0.413194444444444</v>
      </c>
      <c r="G39" s="6" t="s">
        <v>33</v>
      </c>
      <c r="H39" s="6" t="s">
        <v>134</v>
      </c>
      <c r="I39" s="6" t="s">
        <v>161</v>
      </c>
      <c r="J39" s="6" t="s">
        <v>64</v>
      </c>
    </row>
    <row r="40" customFormat="false" ht="23.85" hidden="false" customHeight="false" outlineLevel="0" collapsed="false">
      <c r="A40" s="6" t="s">
        <v>1379</v>
      </c>
      <c r="B40" s="6" t="s">
        <v>1380</v>
      </c>
      <c r="C40" s="6" t="s">
        <v>1381</v>
      </c>
      <c r="D40" s="6" t="s">
        <v>1375</v>
      </c>
      <c r="E40" s="6" t="s">
        <v>9</v>
      </c>
      <c r="F40" s="7" t="n">
        <v>0.413194444444444</v>
      </c>
      <c r="G40" s="6" t="s">
        <v>33</v>
      </c>
      <c r="H40" s="6" t="s">
        <v>134</v>
      </c>
      <c r="I40" s="6" t="s">
        <v>161</v>
      </c>
      <c r="J40" s="6" t="s">
        <v>64</v>
      </c>
    </row>
    <row r="41" customFormat="false" ht="23.85" hidden="false" customHeight="false" outlineLevel="0" collapsed="false">
      <c r="A41" s="6" t="s">
        <v>1457</v>
      </c>
      <c r="B41" s="6" t="s">
        <v>1458</v>
      </c>
      <c r="C41" s="6" t="s">
        <v>1459</v>
      </c>
      <c r="D41" s="6" t="s">
        <v>1375</v>
      </c>
      <c r="E41" s="6" t="s">
        <v>9</v>
      </c>
      <c r="F41" s="7" t="n">
        <v>0.416666666666667</v>
      </c>
      <c r="G41" s="6" t="s">
        <v>25</v>
      </c>
      <c r="H41" s="6" t="s">
        <v>134</v>
      </c>
      <c r="I41" s="6" t="s">
        <v>166</v>
      </c>
      <c r="J41" s="6" t="s">
        <v>92</v>
      </c>
    </row>
    <row r="42" customFormat="false" ht="23.85" hidden="false" customHeight="false" outlineLevel="0" collapsed="false">
      <c r="A42" s="6" t="s">
        <v>1460</v>
      </c>
      <c r="B42" s="6" t="s">
        <v>1461</v>
      </c>
      <c r="C42" s="6" t="s">
        <v>1462</v>
      </c>
      <c r="D42" s="6" t="s">
        <v>1375</v>
      </c>
      <c r="E42" s="6" t="s">
        <v>9</v>
      </c>
      <c r="F42" s="7" t="n">
        <v>0.416666666666667</v>
      </c>
      <c r="G42" s="6" t="s">
        <v>25</v>
      </c>
      <c r="H42" s="6" t="s">
        <v>134</v>
      </c>
      <c r="I42" s="6" t="s">
        <v>166</v>
      </c>
      <c r="J42" s="6" t="s">
        <v>92</v>
      </c>
    </row>
    <row r="43" customFormat="false" ht="23.85" hidden="false" customHeight="false" outlineLevel="0" collapsed="false">
      <c r="A43" s="6" t="s">
        <v>1463</v>
      </c>
      <c r="B43" s="6" t="s">
        <v>1464</v>
      </c>
      <c r="C43" s="6" t="s">
        <v>492</v>
      </c>
      <c r="D43" s="6" t="s">
        <v>1375</v>
      </c>
      <c r="E43" s="6" t="s">
        <v>9</v>
      </c>
      <c r="F43" s="7" t="n">
        <v>0.416666666666667</v>
      </c>
      <c r="G43" s="6" t="s">
        <v>25</v>
      </c>
      <c r="H43" s="6" t="s">
        <v>134</v>
      </c>
      <c r="I43" s="6" t="s">
        <v>166</v>
      </c>
      <c r="J43" s="6" t="s">
        <v>92</v>
      </c>
    </row>
    <row r="44" customFormat="false" ht="23.85" hidden="false" customHeight="false" outlineLevel="0" collapsed="false">
      <c r="A44" s="6" t="s">
        <v>1465</v>
      </c>
      <c r="B44" s="6" t="s">
        <v>1466</v>
      </c>
      <c r="C44" s="6" t="s">
        <v>1467</v>
      </c>
      <c r="D44" s="6" t="s">
        <v>1375</v>
      </c>
      <c r="E44" s="6" t="s">
        <v>9</v>
      </c>
      <c r="F44" s="7" t="n">
        <v>0.416666666666667</v>
      </c>
      <c r="G44" s="6" t="s">
        <v>25</v>
      </c>
      <c r="H44" s="6" t="s">
        <v>134</v>
      </c>
      <c r="I44" s="6" t="s">
        <v>166</v>
      </c>
      <c r="J44" s="6" t="s">
        <v>92</v>
      </c>
    </row>
    <row r="45" customFormat="false" ht="23.85" hidden="false" customHeight="false" outlineLevel="0" collapsed="false">
      <c r="A45" s="6" t="s">
        <v>1468</v>
      </c>
      <c r="B45" s="6" t="s">
        <v>1412</v>
      </c>
      <c r="C45" s="6" t="s">
        <v>1469</v>
      </c>
      <c r="D45" s="6" t="s">
        <v>1375</v>
      </c>
      <c r="E45" s="6" t="s">
        <v>9</v>
      </c>
      <c r="F45" s="7" t="n">
        <v>0.416666666666667</v>
      </c>
      <c r="G45" s="6" t="s">
        <v>25</v>
      </c>
      <c r="H45" s="6" t="s">
        <v>134</v>
      </c>
      <c r="I45" s="6" t="s">
        <v>166</v>
      </c>
      <c r="J45" s="6" t="s">
        <v>92</v>
      </c>
    </row>
    <row r="46" customFormat="false" ht="23.85" hidden="false" customHeight="false" outlineLevel="0" collapsed="false">
      <c r="A46" s="6" t="s">
        <v>1392</v>
      </c>
      <c r="B46" s="6" t="s">
        <v>1393</v>
      </c>
      <c r="C46" s="6" t="s">
        <v>1394</v>
      </c>
      <c r="D46" s="6" t="s">
        <v>1375</v>
      </c>
      <c r="E46" s="6" t="s">
        <v>9</v>
      </c>
      <c r="F46" s="7" t="n">
        <v>0.416666666666667</v>
      </c>
      <c r="G46" s="6" t="s">
        <v>25</v>
      </c>
      <c r="H46" s="6" t="s">
        <v>134</v>
      </c>
      <c r="I46" s="6" t="s">
        <v>166</v>
      </c>
      <c r="J46" s="6" t="s">
        <v>92</v>
      </c>
    </row>
    <row r="47" customFormat="false" ht="23.85" hidden="false" customHeight="false" outlineLevel="0" collapsed="false">
      <c r="A47" s="6" t="s">
        <v>959</v>
      </c>
      <c r="B47" s="6" t="s">
        <v>1470</v>
      </c>
      <c r="C47" s="6" t="s">
        <v>960</v>
      </c>
      <c r="D47" s="6" t="s">
        <v>1375</v>
      </c>
      <c r="E47" s="6" t="s">
        <v>9</v>
      </c>
      <c r="F47" s="7" t="n">
        <v>0.416666666666667</v>
      </c>
      <c r="G47" s="6" t="s">
        <v>27</v>
      </c>
      <c r="H47" s="6" t="s">
        <v>134</v>
      </c>
      <c r="I47" s="6" t="s">
        <v>171</v>
      </c>
      <c r="J47" s="6" t="s">
        <v>86</v>
      </c>
    </row>
    <row r="48" customFormat="false" ht="23.85" hidden="false" customHeight="false" outlineLevel="0" collapsed="false">
      <c r="A48" s="6" t="s">
        <v>1471</v>
      </c>
      <c r="B48" s="6" t="s">
        <v>1472</v>
      </c>
      <c r="C48" s="6" t="s">
        <v>1473</v>
      </c>
      <c r="D48" s="6" t="s">
        <v>1375</v>
      </c>
      <c r="E48" s="6" t="s">
        <v>9</v>
      </c>
      <c r="F48" s="7" t="n">
        <v>0.416666666666667</v>
      </c>
      <c r="G48" s="6" t="s">
        <v>27</v>
      </c>
      <c r="H48" s="6" t="s">
        <v>134</v>
      </c>
      <c r="I48" s="6" t="s">
        <v>171</v>
      </c>
      <c r="J48" s="6" t="s">
        <v>86</v>
      </c>
    </row>
    <row r="49" customFormat="false" ht="23.85" hidden="false" customHeight="false" outlineLevel="0" collapsed="false">
      <c r="A49" s="6" t="s">
        <v>1474</v>
      </c>
      <c r="B49" s="6" t="s">
        <v>1475</v>
      </c>
      <c r="C49" s="6" t="s">
        <v>1476</v>
      </c>
      <c r="D49" s="6" t="s">
        <v>1375</v>
      </c>
      <c r="E49" s="6" t="s">
        <v>9</v>
      </c>
      <c r="F49" s="7" t="n">
        <v>0.416666666666667</v>
      </c>
      <c r="G49" s="6" t="s">
        <v>27</v>
      </c>
      <c r="H49" s="6" t="s">
        <v>134</v>
      </c>
      <c r="I49" s="6" t="s">
        <v>171</v>
      </c>
      <c r="J49" s="6" t="s">
        <v>86</v>
      </c>
    </row>
    <row r="50" customFormat="false" ht="23.85" hidden="false" customHeight="false" outlineLevel="0" collapsed="false">
      <c r="A50" s="6" t="s">
        <v>1477</v>
      </c>
      <c r="B50" s="6" t="s">
        <v>1478</v>
      </c>
      <c r="C50" s="6" t="s">
        <v>1479</v>
      </c>
      <c r="D50" s="6" t="s">
        <v>1375</v>
      </c>
      <c r="E50" s="6" t="s">
        <v>9</v>
      </c>
      <c r="F50" s="7" t="n">
        <v>0.416666666666667</v>
      </c>
      <c r="G50" s="6" t="s">
        <v>27</v>
      </c>
      <c r="H50" s="6" t="s">
        <v>134</v>
      </c>
      <c r="I50" s="6" t="s">
        <v>171</v>
      </c>
      <c r="J50" s="6" t="s">
        <v>86</v>
      </c>
    </row>
    <row r="51" customFormat="false" ht="23.85" hidden="false" customHeight="false" outlineLevel="0" collapsed="false">
      <c r="A51" s="6" t="s">
        <v>1480</v>
      </c>
      <c r="B51" s="6" t="s">
        <v>1481</v>
      </c>
      <c r="C51" s="6" t="s">
        <v>587</v>
      </c>
      <c r="D51" s="6" t="s">
        <v>1375</v>
      </c>
      <c r="E51" s="6" t="s">
        <v>9</v>
      </c>
      <c r="F51" s="7" t="n">
        <v>0.416666666666667</v>
      </c>
      <c r="G51" s="6" t="s">
        <v>30</v>
      </c>
      <c r="H51" s="6" t="s">
        <v>134</v>
      </c>
      <c r="I51" s="6" t="s">
        <v>176</v>
      </c>
      <c r="J51" s="6" t="s">
        <v>103</v>
      </c>
    </row>
    <row r="52" customFormat="false" ht="23.85" hidden="false" customHeight="false" outlineLevel="0" collapsed="false">
      <c r="A52" s="6" t="s">
        <v>1482</v>
      </c>
      <c r="B52" s="6" t="s">
        <v>1483</v>
      </c>
      <c r="C52" s="6" t="s">
        <v>79</v>
      </c>
      <c r="D52" s="6" t="s">
        <v>1375</v>
      </c>
      <c r="E52" s="6" t="s">
        <v>9</v>
      </c>
      <c r="F52" s="7" t="n">
        <v>0.416666666666667</v>
      </c>
      <c r="G52" s="6" t="s">
        <v>30</v>
      </c>
      <c r="H52" s="6" t="s">
        <v>134</v>
      </c>
      <c r="I52" s="6" t="s">
        <v>176</v>
      </c>
      <c r="J52" s="6" t="s">
        <v>103</v>
      </c>
    </row>
    <row r="53" customFormat="false" ht="23.85" hidden="false" customHeight="false" outlineLevel="0" collapsed="false">
      <c r="A53" s="6" t="s">
        <v>1484</v>
      </c>
      <c r="B53" s="6" t="s">
        <v>1432</v>
      </c>
      <c r="C53" s="6" t="s">
        <v>1485</v>
      </c>
      <c r="D53" s="6" t="s">
        <v>1375</v>
      </c>
      <c r="E53" s="6" t="s">
        <v>9</v>
      </c>
      <c r="F53" s="7" t="n">
        <v>0.416666666666667</v>
      </c>
      <c r="G53" s="6" t="s">
        <v>30</v>
      </c>
      <c r="H53" s="6" t="s">
        <v>134</v>
      </c>
      <c r="I53" s="6" t="s">
        <v>176</v>
      </c>
      <c r="J53" s="6" t="s">
        <v>103</v>
      </c>
    </row>
    <row r="54" customFormat="false" ht="23.85" hidden="false" customHeight="false" outlineLevel="0" collapsed="false">
      <c r="A54" s="6" t="s">
        <v>1486</v>
      </c>
      <c r="B54" s="6" t="s">
        <v>1487</v>
      </c>
      <c r="C54" s="6" t="s">
        <v>1488</v>
      </c>
      <c r="D54" s="6" t="s">
        <v>1375</v>
      </c>
      <c r="E54" s="6" t="s">
        <v>9</v>
      </c>
      <c r="F54" s="7" t="n">
        <v>0.416666666666667</v>
      </c>
      <c r="G54" s="6" t="s">
        <v>30</v>
      </c>
      <c r="H54" s="6" t="s">
        <v>134</v>
      </c>
      <c r="I54" s="6" t="s">
        <v>176</v>
      </c>
      <c r="J54" s="6" t="s">
        <v>103</v>
      </c>
    </row>
    <row r="55" customFormat="false" ht="23.85" hidden="false" customHeight="false" outlineLevel="0" collapsed="false">
      <c r="A55" s="6" t="s">
        <v>1489</v>
      </c>
      <c r="B55" s="6" t="s">
        <v>1490</v>
      </c>
      <c r="C55" s="6" t="s">
        <v>1491</v>
      </c>
      <c r="D55" s="6" t="s">
        <v>1375</v>
      </c>
      <c r="E55" s="6" t="s">
        <v>9</v>
      </c>
      <c r="F55" s="7" t="n">
        <v>0.416666666666667</v>
      </c>
      <c r="G55" s="6" t="s">
        <v>32</v>
      </c>
      <c r="H55" s="6" t="s">
        <v>134</v>
      </c>
      <c r="I55" s="6" t="s">
        <v>181</v>
      </c>
      <c r="J55" s="6" t="s">
        <v>108</v>
      </c>
    </row>
    <row r="56" customFormat="false" ht="23.85" hidden="false" customHeight="false" outlineLevel="0" collapsed="false">
      <c r="A56" s="6" t="s">
        <v>1492</v>
      </c>
      <c r="B56" s="6" t="s">
        <v>1493</v>
      </c>
      <c r="C56" s="6" t="s">
        <v>388</v>
      </c>
      <c r="D56" s="6" t="s">
        <v>1375</v>
      </c>
      <c r="E56" s="6" t="s">
        <v>9</v>
      </c>
      <c r="F56" s="7" t="n">
        <v>0.416666666666667</v>
      </c>
      <c r="G56" s="6" t="s">
        <v>32</v>
      </c>
      <c r="H56" s="6" t="s">
        <v>134</v>
      </c>
      <c r="I56" s="6" t="s">
        <v>181</v>
      </c>
      <c r="J56" s="6" t="s">
        <v>108</v>
      </c>
    </row>
    <row r="57" customFormat="false" ht="23.85" hidden="false" customHeight="false" outlineLevel="0" collapsed="false">
      <c r="A57" s="6" t="s">
        <v>1494</v>
      </c>
      <c r="B57" s="6" t="s">
        <v>1495</v>
      </c>
      <c r="C57" s="6" t="s">
        <v>1496</v>
      </c>
      <c r="D57" s="6" t="s">
        <v>1375</v>
      </c>
      <c r="E57" s="6" t="s">
        <v>9</v>
      </c>
      <c r="F57" s="7" t="n">
        <v>0.416666666666667</v>
      </c>
      <c r="G57" s="6" t="s">
        <v>32</v>
      </c>
      <c r="H57" s="6" t="s">
        <v>134</v>
      </c>
      <c r="I57" s="6" t="s">
        <v>181</v>
      </c>
      <c r="J57" s="6" t="s">
        <v>108</v>
      </c>
    </row>
    <row r="58" customFormat="false" ht="23.85" hidden="false" customHeight="false" outlineLevel="0" collapsed="false">
      <c r="A58" s="6" t="s">
        <v>1497</v>
      </c>
      <c r="B58" s="6" t="s">
        <v>1498</v>
      </c>
      <c r="C58" s="6" t="s">
        <v>1499</v>
      </c>
      <c r="D58" s="6" t="s">
        <v>1375</v>
      </c>
      <c r="E58" s="6" t="s">
        <v>9</v>
      </c>
      <c r="F58" s="7" t="n">
        <v>0.416666666666667</v>
      </c>
      <c r="G58" s="6" t="s">
        <v>32</v>
      </c>
      <c r="H58" s="6" t="s">
        <v>134</v>
      </c>
      <c r="I58" s="6" t="s">
        <v>181</v>
      </c>
      <c r="J58" s="6" t="s">
        <v>108</v>
      </c>
    </row>
    <row r="59" customFormat="false" ht="23.85" hidden="false" customHeight="false" outlineLevel="0" collapsed="false">
      <c r="A59" s="6" t="s">
        <v>487</v>
      </c>
      <c r="B59" s="6" t="s">
        <v>1500</v>
      </c>
      <c r="C59" s="6" t="s">
        <v>488</v>
      </c>
      <c r="D59" s="6" t="s">
        <v>1375</v>
      </c>
      <c r="E59" s="6" t="s">
        <v>9</v>
      </c>
      <c r="F59" s="7" t="n">
        <v>0.416666666666667</v>
      </c>
      <c r="G59" s="6" t="s">
        <v>32</v>
      </c>
      <c r="H59" s="6" t="s">
        <v>134</v>
      </c>
      <c r="I59" s="6" t="s">
        <v>181</v>
      </c>
      <c r="J59" s="6" t="s">
        <v>108</v>
      </c>
    </row>
    <row r="60" customFormat="false" ht="23.85" hidden="false" customHeight="false" outlineLevel="0" collapsed="false">
      <c r="A60" s="6" t="s">
        <v>1501</v>
      </c>
      <c r="B60" s="6" t="s">
        <v>1502</v>
      </c>
      <c r="C60" s="6" t="s">
        <v>1503</v>
      </c>
      <c r="D60" s="6" t="s">
        <v>1375</v>
      </c>
      <c r="E60" s="6" t="s">
        <v>9</v>
      </c>
      <c r="F60" s="7" t="n">
        <v>0.416666666666667</v>
      </c>
      <c r="G60" s="6" t="s">
        <v>21</v>
      </c>
      <c r="H60" s="6" t="s">
        <v>134</v>
      </c>
      <c r="I60" s="6" t="s">
        <v>186</v>
      </c>
      <c r="J60" s="6" t="s">
        <v>97</v>
      </c>
    </row>
    <row r="61" customFormat="false" ht="23.85" hidden="false" customHeight="false" outlineLevel="0" collapsed="false">
      <c r="A61" s="6" t="s">
        <v>1504</v>
      </c>
      <c r="B61" s="6" t="s">
        <v>1505</v>
      </c>
      <c r="C61" s="6" t="s">
        <v>79</v>
      </c>
      <c r="D61" s="6" t="s">
        <v>1375</v>
      </c>
      <c r="E61" s="6" t="s">
        <v>9</v>
      </c>
      <c r="F61" s="7" t="n">
        <v>0.416666666666667</v>
      </c>
      <c r="G61" s="6" t="s">
        <v>21</v>
      </c>
      <c r="H61" s="6" t="s">
        <v>134</v>
      </c>
      <c r="I61" s="6" t="s">
        <v>186</v>
      </c>
      <c r="J61" s="6" t="s">
        <v>97</v>
      </c>
    </row>
    <row r="62" customFormat="false" ht="23.85" hidden="false" customHeight="false" outlineLevel="0" collapsed="false">
      <c r="A62" s="6" t="s">
        <v>1506</v>
      </c>
      <c r="B62" s="6" t="s">
        <v>1507</v>
      </c>
      <c r="C62" s="6" t="s">
        <v>85</v>
      </c>
      <c r="D62" s="6" t="s">
        <v>1375</v>
      </c>
      <c r="E62" s="6" t="s">
        <v>9</v>
      </c>
      <c r="F62" s="7" t="n">
        <v>0.416666666666667</v>
      </c>
      <c r="G62" s="6" t="s">
        <v>21</v>
      </c>
      <c r="H62" s="6" t="s">
        <v>134</v>
      </c>
      <c r="I62" s="6" t="s">
        <v>186</v>
      </c>
      <c r="J62" s="6" t="s">
        <v>97</v>
      </c>
    </row>
    <row r="63" customFormat="false" ht="23.85" hidden="false" customHeight="false" outlineLevel="0" collapsed="false">
      <c r="A63" s="6" t="s">
        <v>1508</v>
      </c>
      <c r="B63" s="6" t="s">
        <v>1509</v>
      </c>
      <c r="C63" s="6" t="s">
        <v>1510</v>
      </c>
      <c r="D63" s="6" t="s">
        <v>1375</v>
      </c>
      <c r="E63" s="6" t="s">
        <v>9</v>
      </c>
      <c r="F63" s="7" t="n">
        <v>0.416666666666667</v>
      </c>
      <c r="G63" s="6" t="s">
        <v>21</v>
      </c>
      <c r="H63" s="6" t="s">
        <v>134</v>
      </c>
      <c r="I63" s="6" t="s">
        <v>186</v>
      </c>
      <c r="J63" s="6" t="s">
        <v>97</v>
      </c>
    </row>
    <row r="64" customFormat="false" ht="23.85" hidden="false" customHeight="false" outlineLevel="0" collapsed="false">
      <c r="A64" s="6" t="s">
        <v>1511</v>
      </c>
      <c r="B64" s="6" t="s">
        <v>1512</v>
      </c>
      <c r="C64" s="6" t="s">
        <v>1513</v>
      </c>
      <c r="D64" s="6" t="s">
        <v>1375</v>
      </c>
      <c r="E64" s="6" t="s">
        <v>9</v>
      </c>
      <c r="F64" s="7" t="n">
        <v>0.416666666666667</v>
      </c>
      <c r="G64" s="6" t="s">
        <v>21</v>
      </c>
      <c r="H64" s="6" t="s">
        <v>134</v>
      </c>
      <c r="I64" s="6" t="s">
        <v>186</v>
      </c>
      <c r="J64" s="6" t="s">
        <v>97</v>
      </c>
    </row>
    <row r="65" customFormat="false" ht="23.85" hidden="false" customHeight="false" outlineLevel="0" collapsed="false">
      <c r="A65" s="6" t="s">
        <v>1397</v>
      </c>
      <c r="B65" s="6" t="s">
        <v>1398</v>
      </c>
      <c r="C65" s="6" t="s">
        <v>1399</v>
      </c>
      <c r="D65" s="6" t="s">
        <v>1375</v>
      </c>
      <c r="E65" s="6" t="s">
        <v>9</v>
      </c>
      <c r="F65" s="7" t="n">
        <v>0.416666666666667</v>
      </c>
      <c r="G65" s="6" t="s">
        <v>21</v>
      </c>
      <c r="H65" s="6" t="s">
        <v>134</v>
      </c>
      <c r="I65" s="6" t="s">
        <v>186</v>
      </c>
      <c r="J65" s="6" t="s">
        <v>97</v>
      </c>
    </row>
    <row r="66" customFormat="false" ht="15" hidden="false" customHeight="false" outlineLevel="0" collapsed="false">
      <c r="A66" s="6" t="s">
        <v>1514</v>
      </c>
      <c r="B66" s="6" t="s">
        <v>1515</v>
      </c>
      <c r="C66" s="6" t="s">
        <v>1516</v>
      </c>
      <c r="D66" s="6" t="s">
        <v>1375</v>
      </c>
      <c r="E66" s="6" t="s">
        <v>9</v>
      </c>
      <c r="F66" s="7" t="n">
        <v>0.416666666666667</v>
      </c>
      <c r="G66" s="6" t="s">
        <v>22</v>
      </c>
      <c r="H66" s="6" t="s">
        <v>134</v>
      </c>
      <c r="I66" s="6" t="s">
        <v>191</v>
      </c>
      <c r="J66" s="6" t="s">
        <v>114</v>
      </c>
    </row>
    <row r="67" customFormat="false" ht="15" hidden="false" customHeight="false" outlineLevel="0" collapsed="false">
      <c r="A67" s="6" t="s">
        <v>1517</v>
      </c>
      <c r="B67" s="6" t="s">
        <v>1518</v>
      </c>
      <c r="C67" s="6" t="s">
        <v>587</v>
      </c>
      <c r="D67" s="6" t="s">
        <v>1375</v>
      </c>
      <c r="E67" s="6" t="s">
        <v>9</v>
      </c>
      <c r="F67" s="7" t="n">
        <v>0.416666666666667</v>
      </c>
      <c r="G67" s="6" t="s">
        <v>22</v>
      </c>
      <c r="H67" s="6" t="s">
        <v>134</v>
      </c>
      <c r="I67" s="6" t="s">
        <v>191</v>
      </c>
      <c r="J67" s="6" t="s">
        <v>114</v>
      </c>
    </row>
    <row r="68" customFormat="false" ht="15" hidden="false" customHeight="false" outlineLevel="0" collapsed="false">
      <c r="A68" s="6" t="s">
        <v>1519</v>
      </c>
      <c r="B68" s="6" t="s">
        <v>1520</v>
      </c>
      <c r="C68" s="6" t="s">
        <v>1521</v>
      </c>
      <c r="D68" s="6" t="s">
        <v>1375</v>
      </c>
      <c r="E68" s="6" t="s">
        <v>9</v>
      </c>
      <c r="F68" s="7" t="n">
        <v>0.416666666666667</v>
      </c>
      <c r="G68" s="6" t="s">
        <v>22</v>
      </c>
      <c r="H68" s="6" t="s">
        <v>134</v>
      </c>
      <c r="I68" s="6" t="s">
        <v>191</v>
      </c>
      <c r="J68" s="6" t="s">
        <v>114</v>
      </c>
    </row>
    <row r="69" customFormat="false" ht="23.85" hidden="false" customHeight="false" outlineLevel="0" collapsed="false">
      <c r="A69" s="6" t="s">
        <v>1522</v>
      </c>
      <c r="B69" s="6" t="s">
        <v>1523</v>
      </c>
      <c r="C69" s="6" t="s">
        <v>1524</v>
      </c>
      <c r="D69" s="6" t="s">
        <v>1375</v>
      </c>
      <c r="E69" s="6" t="s">
        <v>9</v>
      </c>
      <c r="F69" s="7" t="n">
        <v>0.416666666666667</v>
      </c>
      <c r="G69" s="6" t="s">
        <v>22</v>
      </c>
      <c r="H69" s="6" t="s">
        <v>134</v>
      </c>
      <c r="I69" s="6" t="s">
        <v>191</v>
      </c>
      <c r="J69" s="6" t="s">
        <v>114</v>
      </c>
    </row>
    <row r="70" customFormat="false" ht="23.85" hidden="false" customHeight="false" outlineLevel="0" collapsed="false">
      <c r="A70" s="6" t="s">
        <v>1525</v>
      </c>
      <c r="B70" s="6" t="s">
        <v>1526</v>
      </c>
      <c r="C70" s="6" t="s">
        <v>1527</v>
      </c>
      <c r="D70" s="6" t="s">
        <v>1375</v>
      </c>
      <c r="E70" s="6" t="s">
        <v>9</v>
      </c>
      <c r="F70" s="7" t="n">
        <v>0.416666666666667</v>
      </c>
      <c r="G70" s="6" t="s">
        <v>22</v>
      </c>
      <c r="H70" s="6" t="s">
        <v>134</v>
      </c>
      <c r="I70" s="6" t="s">
        <v>191</v>
      </c>
      <c r="J70" s="6" t="s">
        <v>114</v>
      </c>
    </row>
    <row r="71" customFormat="false" ht="15" hidden="false" customHeight="false" outlineLevel="0" collapsed="false">
      <c r="A71" s="6" t="s">
        <v>1407</v>
      </c>
      <c r="B71" s="6" t="s">
        <v>1408</v>
      </c>
      <c r="C71" s="6" t="s">
        <v>492</v>
      </c>
      <c r="D71" s="6" t="s">
        <v>1375</v>
      </c>
      <c r="E71" s="6" t="s">
        <v>9</v>
      </c>
      <c r="F71" s="7" t="n">
        <v>0.416666666666667</v>
      </c>
      <c r="G71" s="6" t="s">
        <v>22</v>
      </c>
      <c r="H71" s="6" t="s">
        <v>134</v>
      </c>
      <c r="I71" s="6" t="s">
        <v>191</v>
      </c>
      <c r="J71" s="6" t="s">
        <v>114</v>
      </c>
    </row>
    <row r="72" customFormat="false" ht="15" hidden="false" customHeight="false" outlineLevel="0" collapsed="false">
      <c r="A72" s="6" t="s">
        <v>1528</v>
      </c>
      <c r="B72" s="6" t="s">
        <v>1515</v>
      </c>
      <c r="C72" s="6" t="s">
        <v>1529</v>
      </c>
      <c r="D72" s="6" t="s">
        <v>1375</v>
      </c>
      <c r="E72" s="6" t="s">
        <v>9</v>
      </c>
      <c r="F72" s="7" t="n">
        <v>0.416666666666667</v>
      </c>
      <c r="G72" s="6" t="s">
        <v>22</v>
      </c>
      <c r="H72" s="6" t="s">
        <v>134</v>
      </c>
      <c r="I72" s="6" t="s">
        <v>191</v>
      </c>
      <c r="J72" s="6" t="s">
        <v>114</v>
      </c>
    </row>
    <row r="73" customFormat="false" ht="15" hidden="false" customHeight="false" outlineLevel="0" collapsed="false">
      <c r="A73" s="6" t="s">
        <v>1409</v>
      </c>
      <c r="B73" s="6" t="s">
        <v>1410</v>
      </c>
      <c r="C73" s="6" t="s">
        <v>1411</v>
      </c>
      <c r="D73" s="6" t="s">
        <v>1375</v>
      </c>
      <c r="E73" s="6" t="s">
        <v>9</v>
      </c>
      <c r="F73" s="7" t="n">
        <v>0.416666666666667</v>
      </c>
      <c r="G73" s="6" t="s">
        <v>22</v>
      </c>
      <c r="H73" s="6" t="s">
        <v>134</v>
      </c>
      <c r="I73" s="6" t="s">
        <v>191</v>
      </c>
      <c r="J73" s="6" t="s">
        <v>114</v>
      </c>
    </row>
    <row r="74" customFormat="false" ht="15" hidden="false" customHeight="false" outlineLevel="0" collapsed="false">
      <c r="A74" s="6" t="s">
        <v>198</v>
      </c>
      <c r="B74" s="6" t="s">
        <v>1530</v>
      </c>
      <c r="C74" s="6" t="s">
        <v>199</v>
      </c>
      <c r="D74" s="6" t="s">
        <v>1375</v>
      </c>
      <c r="E74" s="6" t="s">
        <v>9</v>
      </c>
      <c r="F74" s="7" t="n">
        <v>0.416666666666667</v>
      </c>
      <c r="G74" s="6" t="s">
        <v>36</v>
      </c>
      <c r="H74" s="6" t="s">
        <v>156</v>
      </c>
      <c r="I74" s="6" t="s">
        <v>196</v>
      </c>
      <c r="J74" s="6" t="s">
        <v>36</v>
      </c>
    </row>
    <row r="75" customFormat="false" ht="15" hidden="false" customHeight="false" outlineLevel="0" collapsed="false">
      <c r="A75" s="6" t="s">
        <v>202</v>
      </c>
      <c r="B75" s="6" t="s">
        <v>1412</v>
      </c>
      <c r="C75" s="6" t="s">
        <v>203</v>
      </c>
      <c r="D75" s="6" t="s">
        <v>1375</v>
      </c>
      <c r="E75" s="6" t="s">
        <v>9</v>
      </c>
      <c r="F75" s="7" t="n">
        <v>0.423611111111111</v>
      </c>
      <c r="G75" s="6" t="s">
        <v>36</v>
      </c>
      <c r="H75" s="6" t="s">
        <v>156</v>
      </c>
      <c r="I75" s="6" t="s">
        <v>200</v>
      </c>
      <c r="J75" s="6" t="s">
        <v>36</v>
      </c>
    </row>
    <row r="76" customFormat="false" ht="15" hidden="false" customHeight="false" outlineLevel="0" collapsed="false">
      <c r="A76" s="6" t="s">
        <v>206</v>
      </c>
      <c r="B76" s="6" t="s">
        <v>1412</v>
      </c>
      <c r="C76" s="6" t="s">
        <v>207</v>
      </c>
      <c r="D76" s="6" t="s">
        <v>1375</v>
      </c>
      <c r="E76" s="6" t="s">
        <v>9</v>
      </c>
      <c r="F76" s="7" t="n">
        <v>0.430555555555556</v>
      </c>
      <c r="G76" s="6" t="s">
        <v>36</v>
      </c>
      <c r="H76" s="6" t="s">
        <v>156</v>
      </c>
      <c r="I76" s="6" t="s">
        <v>204</v>
      </c>
      <c r="J76" s="6" t="s">
        <v>36</v>
      </c>
    </row>
    <row r="77" customFormat="false" ht="23.85" hidden="false" customHeight="false" outlineLevel="0" collapsed="false">
      <c r="A77" s="6" t="s">
        <v>210</v>
      </c>
      <c r="B77" s="6"/>
      <c r="C77" s="6" t="s">
        <v>211</v>
      </c>
      <c r="D77" s="6" t="s">
        <v>1375</v>
      </c>
      <c r="E77" s="6" t="s">
        <v>9</v>
      </c>
      <c r="F77" s="7" t="n">
        <v>0.447916666666667</v>
      </c>
      <c r="G77" s="6" t="s">
        <v>31</v>
      </c>
      <c r="H77" s="6" t="s">
        <v>31</v>
      </c>
      <c r="I77" s="6" t="s">
        <v>208</v>
      </c>
      <c r="J77" s="6" t="s">
        <v>212</v>
      </c>
    </row>
    <row r="78" customFormat="false" ht="23.85" hidden="false" customHeight="false" outlineLevel="0" collapsed="false">
      <c r="A78" s="6" t="s">
        <v>1531</v>
      </c>
      <c r="B78" s="6" t="s">
        <v>1532</v>
      </c>
      <c r="C78" s="6" t="s">
        <v>1533</v>
      </c>
      <c r="D78" s="6" t="s">
        <v>1375</v>
      </c>
      <c r="E78" s="6" t="s">
        <v>9</v>
      </c>
      <c r="F78" s="7" t="n">
        <v>0.493055555555556</v>
      </c>
      <c r="G78" s="6" t="s">
        <v>28</v>
      </c>
      <c r="H78" s="6" t="s">
        <v>215</v>
      </c>
      <c r="I78" s="6" t="s">
        <v>216</v>
      </c>
      <c r="J78" s="6" t="s">
        <v>36</v>
      </c>
    </row>
    <row r="79" customFormat="false" ht="23.85" hidden="false" customHeight="false" outlineLevel="0" collapsed="false">
      <c r="A79" s="6" t="s">
        <v>1534</v>
      </c>
      <c r="B79" s="6" t="s">
        <v>1412</v>
      </c>
      <c r="C79" s="6" t="s">
        <v>1535</v>
      </c>
      <c r="D79" s="6" t="s">
        <v>1375</v>
      </c>
      <c r="E79" s="6" t="s">
        <v>9</v>
      </c>
      <c r="F79" s="7" t="n">
        <v>0.493055555555556</v>
      </c>
      <c r="G79" s="6" t="s">
        <v>28</v>
      </c>
      <c r="H79" s="6" t="s">
        <v>215</v>
      </c>
      <c r="I79" s="6" t="s">
        <v>216</v>
      </c>
      <c r="J79" s="6" t="s">
        <v>36</v>
      </c>
    </row>
    <row r="80" customFormat="false" ht="23.85" hidden="false" customHeight="false" outlineLevel="0" collapsed="false">
      <c r="A80" s="6" t="s">
        <v>1536</v>
      </c>
      <c r="B80" s="6" t="s">
        <v>1442</v>
      </c>
      <c r="C80" s="6" t="s">
        <v>1537</v>
      </c>
      <c r="D80" s="6" t="s">
        <v>1375</v>
      </c>
      <c r="E80" s="6" t="s">
        <v>9</v>
      </c>
      <c r="F80" s="7" t="n">
        <v>0.493055555555556</v>
      </c>
      <c r="G80" s="6" t="s">
        <v>28</v>
      </c>
      <c r="H80" s="6" t="s">
        <v>215</v>
      </c>
      <c r="I80" s="6" t="s">
        <v>216</v>
      </c>
      <c r="J80" s="6" t="s">
        <v>36</v>
      </c>
    </row>
    <row r="81" customFormat="false" ht="23.85" hidden="false" customHeight="false" outlineLevel="0" collapsed="false">
      <c r="A81" s="6" t="s">
        <v>1538</v>
      </c>
      <c r="B81" s="6" t="s">
        <v>1539</v>
      </c>
      <c r="C81" s="6" t="s">
        <v>1540</v>
      </c>
      <c r="D81" s="6" t="s">
        <v>1375</v>
      </c>
      <c r="E81" s="6" t="s">
        <v>9</v>
      </c>
      <c r="F81" s="7" t="n">
        <v>0.493055555555556</v>
      </c>
      <c r="G81" s="6" t="s">
        <v>28</v>
      </c>
      <c r="H81" s="6" t="s">
        <v>215</v>
      </c>
      <c r="I81" s="6" t="s">
        <v>216</v>
      </c>
      <c r="J81" s="6" t="s">
        <v>36</v>
      </c>
    </row>
    <row r="82" customFormat="false" ht="23.85" hidden="false" customHeight="false" outlineLevel="0" collapsed="false">
      <c r="A82" s="6" t="s">
        <v>1541</v>
      </c>
      <c r="B82" s="6" t="s">
        <v>1542</v>
      </c>
      <c r="C82" s="6" t="s">
        <v>1543</v>
      </c>
      <c r="D82" s="6" t="s">
        <v>1375</v>
      </c>
      <c r="E82" s="6" t="s">
        <v>9</v>
      </c>
      <c r="F82" s="7" t="n">
        <v>0.493055555555556</v>
      </c>
      <c r="G82" s="6" t="s">
        <v>28</v>
      </c>
      <c r="H82" s="6" t="s">
        <v>215</v>
      </c>
      <c r="I82" s="6" t="s">
        <v>216</v>
      </c>
      <c r="J82" s="6" t="s">
        <v>36</v>
      </c>
    </row>
    <row r="83" customFormat="false" ht="23.85" hidden="false" customHeight="false" outlineLevel="0" collapsed="false">
      <c r="A83" s="6" t="s">
        <v>1544</v>
      </c>
      <c r="B83" s="6" t="s">
        <v>1545</v>
      </c>
      <c r="C83" s="6" t="s">
        <v>242</v>
      </c>
      <c r="D83" s="6" t="s">
        <v>1375</v>
      </c>
      <c r="E83" s="6" t="s">
        <v>9</v>
      </c>
      <c r="F83" s="7" t="n">
        <v>0.493055555555556</v>
      </c>
      <c r="G83" s="6" t="s">
        <v>33</v>
      </c>
      <c r="H83" s="6" t="s">
        <v>67</v>
      </c>
      <c r="I83" s="6" t="s">
        <v>221</v>
      </c>
      <c r="J83" s="6" t="s">
        <v>64</v>
      </c>
    </row>
    <row r="84" customFormat="false" ht="23.85" hidden="false" customHeight="false" outlineLevel="0" collapsed="false">
      <c r="A84" s="6" t="s">
        <v>1379</v>
      </c>
      <c r="B84" s="6" t="s">
        <v>1380</v>
      </c>
      <c r="C84" s="6" t="s">
        <v>1381</v>
      </c>
      <c r="D84" s="6" t="s">
        <v>1375</v>
      </c>
      <c r="E84" s="6" t="s">
        <v>9</v>
      </c>
      <c r="F84" s="7" t="n">
        <v>0.493055555555556</v>
      </c>
      <c r="G84" s="6" t="s">
        <v>33</v>
      </c>
      <c r="H84" s="6" t="s">
        <v>67</v>
      </c>
      <c r="I84" s="6" t="s">
        <v>221</v>
      </c>
      <c r="J84" s="6" t="s">
        <v>64</v>
      </c>
    </row>
    <row r="85" customFormat="false" ht="23.85" hidden="false" customHeight="false" outlineLevel="0" collapsed="false">
      <c r="A85" s="6" t="s">
        <v>228</v>
      </c>
      <c r="B85" s="6" t="s">
        <v>1432</v>
      </c>
      <c r="C85" s="6" t="s">
        <v>229</v>
      </c>
      <c r="D85" s="6" t="s">
        <v>1375</v>
      </c>
      <c r="E85" s="6" t="s">
        <v>9</v>
      </c>
      <c r="F85" s="7" t="n">
        <v>0.493055555555556</v>
      </c>
      <c r="G85" s="6" t="s">
        <v>30</v>
      </c>
      <c r="H85" s="6" t="s">
        <v>81</v>
      </c>
      <c r="I85" s="6" t="s">
        <v>226</v>
      </c>
      <c r="J85" s="6" t="s">
        <v>103</v>
      </c>
    </row>
    <row r="86" customFormat="false" ht="23.85" hidden="false" customHeight="false" outlineLevel="0" collapsed="false">
      <c r="A86" s="6" t="s">
        <v>1546</v>
      </c>
      <c r="B86" s="6" t="s">
        <v>1547</v>
      </c>
      <c r="C86" s="6" t="s">
        <v>133</v>
      </c>
      <c r="D86" s="6" t="s">
        <v>1375</v>
      </c>
      <c r="E86" s="6" t="s">
        <v>9</v>
      </c>
      <c r="F86" s="7" t="n">
        <v>0.493055555555556</v>
      </c>
      <c r="G86" s="6" t="s">
        <v>32</v>
      </c>
      <c r="H86" s="6" t="s">
        <v>67</v>
      </c>
      <c r="I86" s="6" t="s">
        <v>230</v>
      </c>
      <c r="J86" s="6" t="s">
        <v>108</v>
      </c>
    </row>
    <row r="87" customFormat="false" ht="23.85" hidden="false" customHeight="false" outlineLevel="0" collapsed="false">
      <c r="A87" s="6" t="s">
        <v>1404</v>
      </c>
      <c r="B87" s="6" t="s">
        <v>1405</v>
      </c>
      <c r="C87" s="6" t="s">
        <v>1406</v>
      </c>
      <c r="D87" s="6" t="s">
        <v>1375</v>
      </c>
      <c r="E87" s="6" t="s">
        <v>9</v>
      </c>
      <c r="F87" s="7" t="n">
        <v>0.493055555555556</v>
      </c>
      <c r="G87" s="6" t="s">
        <v>32</v>
      </c>
      <c r="H87" s="6" t="s">
        <v>67</v>
      </c>
      <c r="I87" s="6" t="s">
        <v>230</v>
      </c>
      <c r="J87" s="6" t="s">
        <v>108</v>
      </c>
    </row>
    <row r="88" customFormat="false" ht="35.05" hidden="false" customHeight="false" outlineLevel="0" collapsed="false">
      <c r="A88" s="6" t="s">
        <v>1548</v>
      </c>
      <c r="B88" s="6" t="s">
        <v>1549</v>
      </c>
      <c r="C88" s="6" t="s">
        <v>1550</v>
      </c>
      <c r="D88" s="6" t="s">
        <v>1375</v>
      </c>
      <c r="E88" s="6" t="s">
        <v>9</v>
      </c>
      <c r="F88" s="7" t="n">
        <v>0.493055555555556</v>
      </c>
      <c r="G88" s="6" t="s">
        <v>27</v>
      </c>
      <c r="H88" s="6" t="s">
        <v>67</v>
      </c>
      <c r="I88" s="6" t="s">
        <v>234</v>
      </c>
      <c r="J88" s="6" t="s">
        <v>86</v>
      </c>
    </row>
    <row r="89" customFormat="false" ht="35.05" hidden="false" customHeight="false" outlineLevel="0" collapsed="false">
      <c r="A89" s="6" t="s">
        <v>1477</v>
      </c>
      <c r="B89" s="6" t="s">
        <v>1478</v>
      </c>
      <c r="C89" s="6" t="s">
        <v>1479</v>
      </c>
      <c r="D89" s="6" t="s">
        <v>1375</v>
      </c>
      <c r="E89" s="6" t="s">
        <v>9</v>
      </c>
      <c r="F89" s="7" t="n">
        <v>0.493055555555556</v>
      </c>
      <c r="G89" s="6" t="s">
        <v>27</v>
      </c>
      <c r="H89" s="6" t="s">
        <v>67</v>
      </c>
      <c r="I89" s="6" t="s">
        <v>234</v>
      </c>
      <c r="J89" s="6" t="s">
        <v>86</v>
      </c>
    </row>
    <row r="90" customFormat="false" ht="23.85" hidden="false" customHeight="false" outlineLevel="0" collapsed="false">
      <c r="A90" s="6" t="s">
        <v>241</v>
      </c>
      <c r="B90" s="6" t="s">
        <v>1551</v>
      </c>
      <c r="C90" s="6" t="s">
        <v>242</v>
      </c>
      <c r="D90" s="6" t="s">
        <v>1375</v>
      </c>
      <c r="E90" s="6" t="s">
        <v>9</v>
      </c>
      <c r="F90" s="7" t="n">
        <v>0.493055555555556</v>
      </c>
      <c r="G90" s="6" t="s">
        <v>25</v>
      </c>
      <c r="H90" s="6" t="s">
        <v>81</v>
      </c>
      <c r="I90" s="6" t="s">
        <v>239</v>
      </c>
      <c r="J90" s="6" t="s">
        <v>92</v>
      </c>
    </row>
    <row r="91" customFormat="false" ht="23.85" hidden="false" customHeight="false" outlineLevel="0" collapsed="false">
      <c r="A91" s="6" t="s">
        <v>245</v>
      </c>
      <c r="B91" s="6" t="s">
        <v>1552</v>
      </c>
      <c r="C91" s="6" t="s">
        <v>246</v>
      </c>
      <c r="D91" s="6" t="s">
        <v>1375</v>
      </c>
      <c r="E91" s="6" t="s">
        <v>9</v>
      </c>
      <c r="F91" s="7" t="n">
        <v>0.493055555555556</v>
      </c>
      <c r="G91" s="6" t="s">
        <v>21</v>
      </c>
      <c r="H91" s="6" t="s">
        <v>215</v>
      </c>
      <c r="I91" s="6" t="s">
        <v>243</v>
      </c>
      <c r="J91" s="6" t="s">
        <v>97</v>
      </c>
    </row>
    <row r="92" customFormat="false" ht="23.85" hidden="false" customHeight="false" outlineLevel="0" collapsed="false">
      <c r="A92" s="6" t="s">
        <v>1525</v>
      </c>
      <c r="B92" s="6" t="s">
        <v>1526</v>
      </c>
      <c r="C92" s="6" t="s">
        <v>1527</v>
      </c>
      <c r="D92" s="6" t="s">
        <v>1375</v>
      </c>
      <c r="E92" s="6" t="s">
        <v>9</v>
      </c>
      <c r="F92" s="7" t="n">
        <v>0.493055555555556</v>
      </c>
      <c r="G92" s="6" t="s">
        <v>22</v>
      </c>
      <c r="H92" s="6" t="s">
        <v>67</v>
      </c>
      <c r="I92" s="6" t="s">
        <v>247</v>
      </c>
      <c r="J92" s="6" t="s">
        <v>114</v>
      </c>
    </row>
    <row r="93" customFormat="false" ht="23.85" hidden="false" customHeight="false" outlineLevel="0" collapsed="false">
      <c r="A93" s="6" t="s">
        <v>1409</v>
      </c>
      <c r="B93" s="6" t="s">
        <v>1410</v>
      </c>
      <c r="C93" s="6" t="s">
        <v>1411</v>
      </c>
      <c r="D93" s="6" t="s">
        <v>1375</v>
      </c>
      <c r="E93" s="6" t="s">
        <v>9</v>
      </c>
      <c r="F93" s="7" t="n">
        <v>0.493055555555556</v>
      </c>
      <c r="G93" s="6" t="s">
        <v>22</v>
      </c>
      <c r="H93" s="6" t="s">
        <v>67</v>
      </c>
      <c r="I93" s="6" t="s">
        <v>247</v>
      </c>
      <c r="J93" s="6" t="s">
        <v>114</v>
      </c>
    </row>
    <row r="94" customFormat="false" ht="15" hidden="false" customHeight="false" outlineLevel="0" collapsed="false">
      <c r="A94" s="6" t="s">
        <v>253</v>
      </c>
      <c r="B94" s="6" t="s">
        <v>1553</v>
      </c>
      <c r="C94" s="6" t="s">
        <v>254</v>
      </c>
      <c r="D94" s="6" t="s">
        <v>1375</v>
      </c>
      <c r="E94" s="6" t="s">
        <v>9</v>
      </c>
      <c r="F94" s="7" t="n">
        <v>0.493055555555556</v>
      </c>
      <c r="G94" s="6" t="s">
        <v>26</v>
      </c>
      <c r="H94" s="6" t="s">
        <v>81</v>
      </c>
      <c r="I94" s="6" t="s">
        <v>251</v>
      </c>
      <c r="J94" s="6" t="s">
        <v>255</v>
      </c>
    </row>
    <row r="95" customFormat="false" ht="23.85" hidden="false" customHeight="false" outlineLevel="0" collapsed="false">
      <c r="A95" s="6" t="s">
        <v>1554</v>
      </c>
      <c r="B95" s="6" t="s">
        <v>1555</v>
      </c>
      <c r="C95" s="6" t="s">
        <v>1556</v>
      </c>
      <c r="D95" s="6" t="s">
        <v>1375</v>
      </c>
      <c r="E95" s="6" t="s">
        <v>9</v>
      </c>
      <c r="F95" s="7" t="n">
        <v>0.493055555555556</v>
      </c>
      <c r="G95" s="6" t="s">
        <v>20</v>
      </c>
      <c r="H95" s="6" t="s">
        <v>134</v>
      </c>
      <c r="I95" s="6" t="s">
        <v>256</v>
      </c>
      <c r="J95" s="6" t="s">
        <v>80</v>
      </c>
    </row>
    <row r="96" customFormat="false" ht="23.85" hidden="false" customHeight="false" outlineLevel="0" collapsed="false">
      <c r="A96" s="6" t="s">
        <v>1557</v>
      </c>
      <c r="B96" s="6" t="s">
        <v>1558</v>
      </c>
      <c r="C96" s="6" t="s">
        <v>1559</v>
      </c>
      <c r="D96" s="6" t="s">
        <v>1375</v>
      </c>
      <c r="E96" s="6" t="s">
        <v>9</v>
      </c>
      <c r="F96" s="7" t="n">
        <v>0.493055555555556</v>
      </c>
      <c r="G96" s="6" t="s">
        <v>20</v>
      </c>
      <c r="H96" s="6" t="s">
        <v>134</v>
      </c>
      <c r="I96" s="6" t="s">
        <v>256</v>
      </c>
      <c r="J96" s="6" t="s">
        <v>80</v>
      </c>
    </row>
    <row r="97" customFormat="false" ht="23.85" hidden="false" customHeight="false" outlineLevel="0" collapsed="false">
      <c r="A97" s="6" t="s">
        <v>1429</v>
      </c>
      <c r="B97" s="6" t="s">
        <v>1430</v>
      </c>
      <c r="C97" s="6" t="s">
        <v>1429</v>
      </c>
      <c r="D97" s="6" t="s">
        <v>1375</v>
      </c>
      <c r="E97" s="6" t="s">
        <v>9</v>
      </c>
      <c r="F97" s="7" t="n">
        <v>0.493055555555556</v>
      </c>
      <c r="G97" s="6" t="s">
        <v>20</v>
      </c>
      <c r="H97" s="6" t="s">
        <v>134</v>
      </c>
      <c r="I97" s="6" t="s">
        <v>256</v>
      </c>
      <c r="J97" s="6" t="s">
        <v>80</v>
      </c>
    </row>
    <row r="98" customFormat="false" ht="23.85" hidden="false" customHeight="false" outlineLevel="0" collapsed="false">
      <c r="A98" s="6" t="s">
        <v>1560</v>
      </c>
      <c r="B98" s="6"/>
      <c r="C98" s="6"/>
      <c r="D98" s="6" t="s">
        <v>210</v>
      </c>
      <c r="E98" s="6" t="s">
        <v>9</v>
      </c>
      <c r="F98" s="7" t="n">
        <v>0.493055555555556</v>
      </c>
      <c r="G98" s="6" t="s">
        <v>39</v>
      </c>
      <c r="H98" s="6" t="s">
        <v>39</v>
      </c>
      <c r="I98" s="6" t="s">
        <v>260</v>
      </c>
      <c r="J98" s="6" t="s">
        <v>119</v>
      </c>
    </row>
    <row r="99" customFormat="false" ht="23.85" hidden="false" customHeight="false" outlineLevel="0" collapsed="false">
      <c r="A99" s="6" t="s">
        <v>1561</v>
      </c>
      <c r="B99" s="6"/>
      <c r="C99" s="6"/>
      <c r="D99" s="6" t="s">
        <v>210</v>
      </c>
      <c r="E99" s="6" t="s">
        <v>9</v>
      </c>
      <c r="F99" s="7" t="n">
        <v>0.493055555555556</v>
      </c>
      <c r="G99" s="6" t="s">
        <v>39</v>
      </c>
      <c r="H99" s="6" t="s">
        <v>39</v>
      </c>
      <c r="I99" s="6" t="s">
        <v>260</v>
      </c>
      <c r="J99" s="6" t="s">
        <v>119</v>
      </c>
    </row>
    <row r="100" customFormat="false" ht="23.85" hidden="false" customHeight="false" outlineLevel="0" collapsed="false">
      <c r="A100" s="6" t="s">
        <v>1562</v>
      </c>
      <c r="B100" s="6"/>
      <c r="C100" s="6"/>
      <c r="D100" s="6" t="s">
        <v>210</v>
      </c>
      <c r="E100" s="6" t="s">
        <v>9</v>
      </c>
      <c r="F100" s="7" t="n">
        <v>0.493055555555556</v>
      </c>
      <c r="G100" s="6" t="s">
        <v>39</v>
      </c>
      <c r="H100" s="6" t="s">
        <v>39</v>
      </c>
      <c r="I100" s="6" t="s">
        <v>260</v>
      </c>
      <c r="J100" s="6" t="s">
        <v>119</v>
      </c>
    </row>
    <row r="101" customFormat="false" ht="23.85" hidden="false" customHeight="false" outlineLevel="0" collapsed="false">
      <c r="A101" s="6" t="s">
        <v>1401</v>
      </c>
      <c r="B101" s="6"/>
      <c r="C101" s="6"/>
      <c r="D101" s="6" t="s">
        <v>210</v>
      </c>
      <c r="E101" s="6" t="s">
        <v>9</v>
      </c>
      <c r="F101" s="7" t="n">
        <v>0.493055555555556</v>
      </c>
      <c r="G101" s="6" t="s">
        <v>39</v>
      </c>
      <c r="H101" s="6" t="s">
        <v>39</v>
      </c>
      <c r="I101" s="6" t="s">
        <v>260</v>
      </c>
      <c r="J101" s="6" t="s">
        <v>119</v>
      </c>
    </row>
    <row r="102" customFormat="false" ht="23.85" hidden="false" customHeight="false" outlineLevel="0" collapsed="false">
      <c r="A102" s="6" t="s">
        <v>1563</v>
      </c>
      <c r="B102" s="6" t="s">
        <v>1564</v>
      </c>
      <c r="C102" s="6" t="s">
        <v>1565</v>
      </c>
      <c r="D102" s="6" t="s">
        <v>1375</v>
      </c>
      <c r="E102" s="6" t="s">
        <v>9</v>
      </c>
      <c r="F102" s="7" t="n">
        <v>0.503472222222222</v>
      </c>
      <c r="G102" s="6" t="s">
        <v>21</v>
      </c>
      <c r="H102" s="6" t="s">
        <v>67</v>
      </c>
      <c r="I102" s="6" t="s">
        <v>263</v>
      </c>
      <c r="J102" s="6" t="s">
        <v>97</v>
      </c>
    </row>
    <row r="103" customFormat="false" ht="23.85" hidden="false" customHeight="false" outlineLevel="0" collapsed="false">
      <c r="A103" s="6" t="s">
        <v>1566</v>
      </c>
      <c r="B103" s="6" t="s">
        <v>1567</v>
      </c>
      <c r="C103" s="6" t="s">
        <v>1568</v>
      </c>
      <c r="D103" s="6" t="s">
        <v>1375</v>
      </c>
      <c r="E103" s="6" t="s">
        <v>9</v>
      </c>
      <c r="F103" s="7" t="n">
        <v>0.503472222222222</v>
      </c>
      <c r="G103" s="6" t="s">
        <v>21</v>
      </c>
      <c r="H103" s="6" t="s">
        <v>67</v>
      </c>
      <c r="I103" s="6" t="s">
        <v>263</v>
      </c>
      <c r="J103" s="6" t="s">
        <v>97</v>
      </c>
    </row>
    <row r="104" customFormat="false" ht="23.85" hidden="false" customHeight="false" outlineLevel="0" collapsed="false">
      <c r="A104" s="6" t="s">
        <v>1569</v>
      </c>
      <c r="B104" s="6" t="s">
        <v>1570</v>
      </c>
      <c r="C104" s="6" t="s">
        <v>1571</v>
      </c>
      <c r="D104" s="6" t="s">
        <v>1375</v>
      </c>
      <c r="E104" s="6" t="s">
        <v>9</v>
      </c>
      <c r="F104" s="7" t="n">
        <v>0.503472222222222</v>
      </c>
      <c r="G104" s="6" t="s">
        <v>27</v>
      </c>
      <c r="H104" s="6" t="s">
        <v>134</v>
      </c>
      <c r="I104" s="6" t="s">
        <v>268</v>
      </c>
      <c r="J104" s="6" t="s">
        <v>86</v>
      </c>
    </row>
    <row r="105" customFormat="false" ht="23.85" hidden="false" customHeight="false" outlineLevel="0" collapsed="false">
      <c r="A105" s="6" t="s">
        <v>1572</v>
      </c>
      <c r="B105" s="6" t="s">
        <v>1573</v>
      </c>
      <c r="C105" s="6" t="s">
        <v>1574</v>
      </c>
      <c r="D105" s="6" t="s">
        <v>1375</v>
      </c>
      <c r="E105" s="6" t="s">
        <v>9</v>
      </c>
      <c r="F105" s="7" t="n">
        <v>0.503472222222222</v>
      </c>
      <c r="G105" s="6" t="s">
        <v>27</v>
      </c>
      <c r="H105" s="6" t="s">
        <v>134</v>
      </c>
      <c r="I105" s="6" t="s">
        <v>268</v>
      </c>
      <c r="J105" s="6" t="s">
        <v>86</v>
      </c>
    </row>
    <row r="106" customFormat="false" ht="23.85" hidden="false" customHeight="false" outlineLevel="0" collapsed="false">
      <c r="A106" s="6" t="s">
        <v>1575</v>
      </c>
      <c r="B106" s="6" t="s">
        <v>1576</v>
      </c>
      <c r="C106" s="6" t="s">
        <v>1577</v>
      </c>
      <c r="D106" s="6" t="s">
        <v>1375</v>
      </c>
      <c r="E106" s="6" t="s">
        <v>9</v>
      </c>
      <c r="F106" s="7" t="n">
        <v>0.503472222222222</v>
      </c>
      <c r="G106" s="6" t="s">
        <v>27</v>
      </c>
      <c r="H106" s="6" t="s">
        <v>134</v>
      </c>
      <c r="I106" s="6" t="s">
        <v>268</v>
      </c>
      <c r="J106" s="6" t="s">
        <v>86</v>
      </c>
    </row>
    <row r="107" customFormat="false" ht="23.85" hidden="false" customHeight="false" outlineLevel="0" collapsed="false">
      <c r="A107" s="6" t="s">
        <v>1477</v>
      </c>
      <c r="B107" s="6" t="s">
        <v>1478</v>
      </c>
      <c r="C107" s="6" t="s">
        <v>1479</v>
      </c>
      <c r="D107" s="6" t="s">
        <v>1375</v>
      </c>
      <c r="E107" s="6" t="s">
        <v>9</v>
      </c>
      <c r="F107" s="7" t="n">
        <v>0.503472222222222</v>
      </c>
      <c r="G107" s="6" t="s">
        <v>27</v>
      </c>
      <c r="H107" s="6" t="s">
        <v>134</v>
      </c>
      <c r="I107" s="6" t="s">
        <v>268</v>
      </c>
      <c r="J107" s="6" t="s">
        <v>86</v>
      </c>
    </row>
    <row r="108" customFormat="false" ht="15" hidden="false" customHeight="false" outlineLevel="0" collapsed="false">
      <c r="A108" s="6" t="s">
        <v>1578</v>
      </c>
      <c r="B108" s="6" t="s">
        <v>1579</v>
      </c>
      <c r="C108" s="6" t="s">
        <v>275</v>
      </c>
      <c r="D108" s="6" t="s">
        <v>1375</v>
      </c>
      <c r="E108" s="6" t="s">
        <v>9</v>
      </c>
      <c r="F108" s="7" t="n">
        <v>0.503472222222222</v>
      </c>
      <c r="G108" s="6" t="s">
        <v>32</v>
      </c>
      <c r="H108" s="6" t="s">
        <v>81</v>
      </c>
      <c r="I108" s="6" t="s">
        <v>272</v>
      </c>
      <c r="J108" s="6" t="s">
        <v>108</v>
      </c>
    </row>
    <row r="109" customFormat="false" ht="15" hidden="false" customHeight="false" outlineLevel="0" collapsed="false">
      <c r="A109" s="6" t="s">
        <v>1580</v>
      </c>
      <c r="B109" s="6" t="s">
        <v>1581</v>
      </c>
      <c r="C109" s="6" t="s">
        <v>275</v>
      </c>
      <c r="D109" s="6" t="s">
        <v>1375</v>
      </c>
      <c r="E109" s="6" t="s">
        <v>9</v>
      </c>
      <c r="F109" s="7" t="n">
        <v>0.503472222222222</v>
      </c>
      <c r="G109" s="6" t="s">
        <v>32</v>
      </c>
      <c r="H109" s="6" t="s">
        <v>81</v>
      </c>
      <c r="I109" s="6" t="s">
        <v>272</v>
      </c>
      <c r="J109" s="6" t="s">
        <v>108</v>
      </c>
    </row>
    <row r="110" customFormat="false" ht="23.85" hidden="false" customHeight="false" outlineLevel="0" collapsed="false">
      <c r="A110" s="6" t="s">
        <v>1582</v>
      </c>
      <c r="B110" s="6" t="s">
        <v>1542</v>
      </c>
      <c r="C110" s="6" t="s">
        <v>79</v>
      </c>
      <c r="D110" s="6" t="s">
        <v>1375</v>
      </c>
      <c r="E110" s="6" t="s">
        <v>9</v>
      </c>
      <c r="F110" s="7" t="n">
        <v>0.503472222222222</v>
      </c>
      <c r="G110" s="6" t="s">
        <v>33</v>
      </c>
      <c r="H110" s="6" t="s">
        <v>81</v>
      </c>
      <c r="I110" s="6" t="s">
        <v>276</v>
      </c>
      <c r="J110" s="6" t="s">
        <v>64</v>
      </c>
    </row>
    <row r="111" customFormat="false" ht="23.85" hidden="false" customHeight="false" outlineLevel="0" collapsed="false">
      <c r="A111" s="6" t="s">
        <v>1583</v>
      </c>
      <c r="B111" s="6" t="s">
        <v>1584</v>
      </c>
      <c r="C111" s="6" t="s">
        <v>1585</v>
      </c>
      <c r="D111" s="6" t="s">
        <v>1375</v>
      </c>
      <c r="E111" s="6" t="s">
        <v>9</v>
      </c>
      <c r="F111" s="7" t="n">
        <v>0.503472222222222</v>
      </c>
      <c r="G111" s="6" t="s">
        <v>33</v>
      </c>
      <c r="H111" s="6" t="s">
        <v>81</v>
      </c>
      <c r="I111" s="6" t="s">
        <v>276</v>
      </c>
      <c r="J111" s="6" t="s">
        <v>64</v>
      </c>
    </row>
    <row r="112" customFormat="false" ht="23.85" hidden="false" customHeight="false" outlineLevel="0" collapsed="false">
      <c r="A112" s="6" t="s">
        <v>283</v>
      </c>
      <c r="B112" s="6" t="s">
        <v>1586</v>
      </c>
      <c r="C112" s="6" t="s">
        <v>284</v>
      </c>
      <c r="D112" s="6" t="s">
        <v>1375</v>
      </c>
      <c r="E112" s="6" t="s">
        <v>9</v>
      </c>
      <c r="F112" s="7" t="n">
        <v>0.503472222222222</v>
      </c>
      <c r="G112" s="6" t="s">
        <v>25</v>
      </c>
      <c r="H112" s="6" t="s">
        <v>81</v>
      </c>
      <c r="I112" s="6" t="s">
        <v>281</v>
      </c>
      <c r="J112" s="6" t="s">
        <v>92</v>
      </c>
    </row>
    <row r="113" customFormat="false" ht="15" hidden="false" customHeight="false" outlineLevel="0" collapsed="false">
      <c r="A113" s="6" t="s">
        <v>1587</v>
      </c>
      <c r="B113" s="6" t="s">
        <v>1515</v>
      </c>
      <c r="C113" s="6" t="s">
        <v>1588</v>
      </c>
      <c r="D113" s="6" t="s">
        <v>1375</v>
      </c>
      <c r="E113" s="6" t="s">
        <v>9</v>
      </c>
      <c r="F113" s="7" t="n">
        <v>0.503472222222222</v>
      </c>
      <c r="G113" s="6" t="s">
        <v>22</v>
      </c>
      <c r="H113" s="6" t="s">
        <v>81</v>
      </c>
      <c r="I113" s="6" t="s">
        <v>285</v>
      </c>
      <c r="J113" s="6" t="s">
        <v>114</v>
      </c>
    </row>
    <row r="114" customFormat="false" ht="15" hidden="false" customHeight="false" outlineLevel="0" collapsed="false">
      <c r="A114" s="6" t="s">
        <v>1589</v>
      </c>
      <c r="B114" s="6" t="s">
        <v>1590</v>
      </c>
      <c r="C114" s="6" t="s">
        <v>1591</v>
      </c>
      <c r="D114" s="6" t="s">
        <v>1375</v>
      </c>
      <c r="E114" s="6" t="s">
        <v>9</v>
      </c>
      <c r="F114" s="7" t="n">
        <v>0.503472222222222</v>
      </c>
      <c r="G114" s="6" t="s">
        <v>22</v>
      </c>
      <c r="H114" s="6" t="s">
        <v>81</v>
      </c>
      <c r="I114" s="6" t="s">
        <v>285</v>
      </c>
      <c r="J114" s="6" t="s">
        <v>114</v>
      </c>
    </row>
    <row r="115" customFormat="false" ht="15" hidden="false" customHeight="false" outlineLevel="0" collapsed="false">
      <c r="A115" s="6" t="s">
        <v>1592</v>
      </c>
      <c r="B115" s="6" t="s">
        <v>1593</v>
      </c>
      <c r="C115" s="6" t="s">
        <v>1594</v>
      </c>
      <c r="D115" s="6" t="s">
        <v>1375</v>
      </c>
      <c r="E115" s="6" t="s">
        <v>9</v>
      </c>
      <c r="F115" s="7" t="n">
        <v>0.503472222222222</v>
      </c>
      <c r="G115" s="6" t="s">
        <v>30</v>
      </c>
      <c r="H115" s="6" t="s">
        <v>81</v>
      </c>
      <c r="I115" s="6" t="s">
        <v>289</v>
      </c>
      <c r="J115" s="6" t="s">
        <v>103</v>
      </c>
    </row>
    <row r="116" customFormat="false" ht="15" hidden="false" customHeight="false" outlineLevel="0" collapsed="false">
      <c r="A116" s="6" t="s">
        <v>1595</v>
      </c>
      <c r="B116" s="6" t="s">
        <v>1596</v>
      </c>
      <c r="C116" s="6" t="s">
        <v>1597</v>
      </c>
      <c r="D116" s="6" t="s">
        <v>1375</v>
      </c>
      <c r="E116" s="6" t="s">
        <v>9</v>
      </c>
      <c r="F116" s="7" t="n">
        <v>0.503472222222222</v>
      </c>
      <c r="G116" s="6" t="s">
        <v>30</v>
      </c>
      <c r="H116" s="6" t="s">
        <v>81</v>
      </c>
      <c r="I116" s="6" t="s">
        <v>289</v>
      </c>
      <c r="J116" s="6" t="s">
        <v>103</v>
      </c>
    </row>
    <row r="117" customFormat="false" ht="15" hidden="false" customHeight="false" outlineLevel="0" collapsed="false">
      <c r="A117" s="6" t="s">
        <v>1598</v>
      </c>
      <c r="B117" s="6" t="s">
        <v>1599</v>
      </c>
      <c r="C117" s="6" t="s">
        <v>1600</v>
      </c>
      <c r="D117" s="6" t="s">
        <v>1375</v>
      </c>
      <c r="E117" s="6" t="s">
        <v>9</v>
      </c>
      <c r="F117" s="7" t="n">
        <v>0.503472222222222</v>
      </c>
      <c r="G117" s="6" t="s">
        <v>30</v>
      </c>
      <c r="H117" s="6" t="s">
        <v>81</v>
      </c>
      <c r="I117" s="6" t="s">
        <v>289</v>
      </c>
      <c r="J117" s="6" t="s">
        <v>103</v>
      </c>
    </row>
    <row r="118" customFormat="false" ht="23.85" hidden="false" customHeight="false" outlineLevel="0" collapsed="false">
      <c r="A118" s="6" t="s">
        <v>295</v>
      </c>
      <c r="B118" s="6" t="s">
        <v>1601</v>
      </c>
      <c r="C118" s="6" t="s">
        <v>296</v>
      </c>
      <c r="D118" s="6" t="s">
        <v>1375</v>
      </c>
      <c r="E118" s="6" t="s">
        <v>9</v>
      </c>
      <c r="F118" s="7" t="n">
        <v>0.513888888888889</v>
      </c>
      <c r="G118" s="6" t="s">
        <v>21</v>
      </c>
      <c r="H118" s="6" t="s">
        <v>81</v>
      </c>
      <c r="I118" s="6" t="s">
        <v>293</v>
      </c>
      <c r="J118" s="6" t="s">
        <v>97</v>
      </c>
    </row>
    <row r="119" customFormat="false" ht="23.85" hidden="false" customHeight="false" outlineLevel="0" collapsed="false">
      <c r="A119" s="6" t="s">
        <v>299</v>
      </c>
      <c r="B119" s="6" t="s">
        <v>1602</v>
      </c>
      <c r="C119" s="6" t="s">
        <v>300</v>
      </c>
      <c r="D119" s="6" t="s">
        <v>1375</v>
      </c>
      <c r="E119" s="6" t="s">
        <v>9</v>
      </c>
      <c r="F119" s="7" t="n">
        <v>0.513888888888889</v>
      </c>
      <c r="G119" s="6" t="s">
        <v>33</v>
      </c>
      <c r="H119" s="6" t="s">
        <v>81</v>
      </c>
      <c r="I119" s="6" t="s">
        <v>297</v>
      </c>
      <c r="J119" s="6" t="s">
        <v>64</v>
      </c>
    </row>
    <row r="120" customFormat="false" ht="23.85" hidden="false" customHeight="false" outlineLevel="0" collapsed="false">
      <c r="A120" s="6" t="s">
        <v>228</v>
      </c>
      <c r="B120" s="6" t="s">
        <v>1432</v>
      </c>
      <c r="C120" s="6" t="s">
        <v>229</v>
      </c>
      <c r="D120" s="6" t="s">
        <v>1375</v>
      </c>
      <c r="E120" s="6" t="s">
        <v>9</v>
      </c>
      <c r="F120" s="7" t="n">
        <v>0.513888888888889</v>
      </c>
      <c r="G120" s="6" t="s">
        <v>30</v>
      </c>
      <c r="H120" s="6" t="s">
        <v>134</v>
      </c>
      <c r="I120" s="6" t="s">
        <v>302</v>
      </c>
      <c r="J120" s="6" t="s">
        <v>103</v>
      </c>
    </row>
    <row r="121" customFormat="false" ht="23.85" hidden="false" customHeight="false" outlineLevel="0" collapsed="false">
      <c r="A121" s="6" t="s">
        <v>1603</v>
      </c>
      <c r="B121" s="6" t="s">
        <v>1604</v>
      </c>
      <c r="C121" s="6" t="s">
        <v>1605</v>
      </c>
      <c r="D121" s="6" t="s">
        <v>1375</v>
      </c>
      <c r="E121" s="6" t="s">
        <v>9</v>
      </c>
      <c r="F121" s="7" t="n">
        <v>0.513888888888889</v>
      </c>
      <c r="G121" s="6" t="s">
        <v>30</v>
      </c>
      <c r="H121" s="6" t="s">
        <v>134</v>
      </c>
      <c r="I121" s="6" t="s">
        <v>302</v>
      </c>
      <c r="J121" s="6" t="s">
        <v>103</v>
      </c>
    </row>
    <row r="122" customFormat="false" ht="23.85" hidden="false" customHeight="false" outlineLevel="0" collapsed="false">
      <c r="A122" s="6" t="s">
        <v>1606</v>
      </c>
      <c r="B122" s="6" t="s">
        <v>1607</v>
      </c>
      <c r="C122" s="6" t="s">
        <v>79</v>
      </c>
      <c r="D122" s="6" t="s">
        <v>1375</v>
      </c>
      <c r="E122" s="6" t="s">
        <v>9</v>
      </c>
      <c r="F122" s="7" t="n">
        <v>0.513888888888889</v>
      </c>
      <c r="G122" s="6" t="s">
        <v>30</v>
      </c>
      <c r="H122" s="6" t="s">
        <v>134</v>
      </c>
      <c r="I122" s="6" t="s">
        <v>302</v>
      </c>
      <c r="J122" s="6" t="s">
        <v>103</v>
      </c>
    </row>
    <row r="123" customFormat="false" ht="23.85" hidden="false" customHeight="false" outlineLevel="0" collapsed="false">
      <c r="A123" s="6" t="s">
        <v>1608</v>
      </c>
      <c r="B123" s="6" t="s">
        <v>1446</v>
      </c>
      <c r="C123" s="6" t="s">
        <v>1609</v>
      </c>
      <c r="D123" s="6" t="s">
        <v>1375</v>
      </c>
      <c r="E123" s="6" t="s">
        <v>9</v>
      </c>
      <c r="F123" s="7" t="n">
        <v>0.513888888888889</v>
      </c>
      <c r="G123" s="6" t="s">
        <v>30</v>
      </c>
      <c r="H123" s="6" t="s">
        <v>134</v>
      </c>
      <c r="I123" s="6" t="s">
        <v>302</v>
      </c>
      <c r="J123" s="6" t="s">
        <v>103</v>
      </c>
    </row>
    <row r="124" customFormat="false" ht="23.85" hidden="false" customHeight="false" outlineLevel="0" collapsed="false">
      <c r="A124" s="6" t="s">
        <v>1610</v>
      </c>
      <c r="B124" s="6" t="s">
        <v>1611</v>
      </c>
      <c r="C124" s="6" t="s">
        <v>1612</v>
      </c>
      <c r="D124" s="6" t="s">
        <v>1375</v>
      </c>
      <c r="E124" s="6" t="s">
        <v>9</v>
      </c>
      <c r="F124" s="7" t="n">
        <v>0.513888888888889</v>
      </c>
      <c r="G124" s="6" t="s">
        <v>30</v>
      </c>
      <c r="H124" s="6" t="s">
        <v>134</v>
      </c>
      <c r="I124" s="6" t="s">
        <v>302</v>
      </c>
      <c r="J124" s="6" t="s">
        <v>103</v>
      </c>
    </row>
    <row r="125" customFormat="false" ht="23.85" hidden="false" customHeight="false" outlineLevel="0" collapsed="false">
      <c r="A125" s="6" t="s">
        <v>1486</v>
      </c>
      <c r="B125" s="6" t="s">
        <v>1487</v>
      </c>
      <c r="C125" s="6" t="s">
        <v>1488</v>
      </c>
      <c r="D125" s="6" t="s">
        <v>1375</v>
      </c>
      <c r="E125" s="6" t="s">
        <v>9</v>
      </c>
      <c r="F125" s="7" t="n">
        <v>0.513888888888889</v>
      </c>
      <c r="G125" s="6" t="s">
        <v>30</v>
      </c>
      <c r="H125" s="6" t="s">
        <v>134</v>
      </c>
      <c r="I125" s="6" t="s">
        <v>302</v>
      </c>
      <c r="J125" s="6" t="s">
        <v>103</v>
      </c>
    </row>
    <row r="126" customFormat="false" ht="23.85" hidden="false" customHeight="false" outlineLevel="0" collapsed="false">
      <c r="A126" s="6" t="s">
        <v>1613</v>
      </c>
      <c r="B126" s="6" t="s">
        <v>1614</v>
      </c>
      <c r="C126" s="6" t="s">
        <v>1615</v>
      </c>
      <c r="D126" s="6" t="s">
        <v>1375</v>
      </c>
      <c r="E126" s="6" t="s">
        <v>9</v>
      </c>
      <c r="F126" s="7" t="n">
        <v>0.513888888888889</v>
      </c>
      <c r="G126" s="6" t="s">
        <v>26</v>
      </c>
      <c r="H126" s="6" t="s">
        <v>134</v>
      </c>
      <c r="I126" s="6" t="s">
        <v>307</v>
      </c>
      <c r="J126" s="6" t="s">
        <v>255</v>
      </c>
    </row>
    <row r="127" customFormat="false" ht="23.85" hidden="false" customHeight="false" outlineLevel="0" collapsed="false">
      <c r="A127" s="6" t="s">
        <v>1616</v>
      </c>
      <c r="B127" s="6" t="s">
        <v>1617</v>
      </c>
      <c r="C127" s="6" t="s">
        <v>79</v>
      </c>
      <c r="D127" s="6" t="s">
        <v>1375</v>
      </c>
      <c r="E127" s="6" t="s">
        <v>9</v>
      </c>
      <c r="F127" s="7" t="n">
        <v>0.513888888888889</v>
      </c>
      <c r="G127" s="6" t="s">
        <v>26</v>
      </c>
      <c r="H127" s="6" t="s">
        <v>134</v>
      </c>
      <c r="I127" s="6" t="s">
        <v>307</v>
      </c>
      <c r="J127" s="6" t="s">
        <v>255</v>
      </c>
    </row>
    <row r="128" customFormat="false" ht="23.85" hidden="false" customHeight="false" outlineLevel="0" collapsed="false">
      <c r="A128" s="6" t="s">
        <v>1618</v>
      </c>
      <c r="B128" s="6" t="s">
        <v>1619</v>
      </c>
      <c r="C128" s="6" t="s">
        <v>1620</v>
      </c>
      <c r="D128" s="6" t="s">
        <v>1375</v>
      </c>
      <c r="E128" s="6" t="s">
        <v>9</v>
      </c>
      <c r="F128" s="7" t="n">
        <v>0.513888888888889</v>
      </c>
      <c r="G128" s="6" t="s">
        <v>26</v>
      </c>
      <c r="H128" s="6" t="s">
        <v>134</v>
      </c>
      <c r="I128" s="6" t="s">
        <v>307</v>
      </c>
      <c r="J128" s="6" t="s">
        <v>255</v>
      </c>
    </row>
    <row r="129" customFormat="false" ht="23.85" hidden="false" customHeight="false" outlineLevel="0" collapsed="false">
      <c r="A129" s="6" t="s">
        <v>1621</v>
      </c>
      <c r="B129" s="6" t="s">
        <v>1622</v>
      </c>
      <c r="C129" s="6" t="s">
        <v>1623</v>
      </c>
      <c r="D129" s="6" t="s">
        <v>1375</v>
      </c>
      <c r="E129" s="6" t="s">
        <v>9</v>
      </c>
      <c r="F129" s="7" t="n">
        <v>0.513888888888889</v>
      </c>
      <c r="G129" s="6" t="s">
        <v>26</v>
      </c>
      <c r="H129" s="6" t="s">
        <v>134</v>
      </c>
      <c r="I129" s="6" t="s">
        <v>307</v>
      </c>
      <c r="J129" s="6" t="s">
        <v>255</v>
      </c>
    </row>
    <row r="130" customFormat="false" ht="23.85" hidden="false" customHeight="false" outlineLevel="0" collapsed="false">
      <c r="A130" s="6" t="s">
        <v>1624</v>
      </c>
      <c r="B130" s="6" t="s">
        <v>1625</v>
      </c>
      <c r="C130" s="6" t="s">
        <v>1626</v>
      </c>
      <c r="D130" s="6" t="s">
        <v>1375</v>
      </c>
      <c r="E130" s="6" t="s">
        <v>9</v>
      </c>
      <c r="F130" s="7" t="n">
        <v>0.513888888888889</v>
      </c>
      <c r="G130" s="6" t="s">
        <v>26</v>
      </c>
      <c r="H130" s="6" t="s">
        <v>134</v>
      </c>
      <c r="I130" s="6" t="s">
        <v>307</v>
      </c>
      <c r="J130" s="6" t="s">
        <v>255</v>
      </c>
    </row>
    <row r="131" customFormat="false" ht="35.05" hidden="false" customHeight="false" outlineLevel="0" collapsed="false">
      <c r="A131" s="6" t="s">
        <v>314</v>
      </c>
      <c r="B131" s="6" t="s">
        <v>1627</v>
      </c>
      <c r="C131" s="6" t="s">
        <v>315</v>
      </c>
      <c r="D131" s="6" t="s">
        <v>1375</v>
      </c>
      <c r="E131" s="6" t="s">
        <v>9</v>
      </c>
      <c r="F131" s="7" t="n">
        <v>0.513888888888889</v>
      </c>
      <c r="G131" s="6" t="s">
        <v>22</v>
      </c>
      <c r="H131" s="6" t="s">
        <v>81</v>
      </c>
      <c r="I131" s="6" t="s">
        <v>312</v>
      </c>
      <c r="J131" s="6" t="s">
        <v>114</v>
      </c>
    </row>
    <row r="132" customFormat="false" ht="23.85" hidden="false" customHeight="false" outlineLevel="0" collapsed="false">
      <c r="A132" s="6" t="s">
        <v>1628</v>
      </c>
      <c r="B132" s="6" t="s">
        <v>1629</v>
      </c>
      <c r="C132" s="6" t="s">
        <v>1630</v>
      </c>
      <c r="D132" s="6" t="s">
        <v>1375</v>
      </c>
      <c r="E132" s="6" t="s">
        <v>9</v>
      </c>
      <c r="F132" s="7" t="n">
        <v>0.513888888888889</v>
      </c>
      <c r="G132" s="6" t="s">
        <v>32</v>
      </c>
      <c r="H132" s="6" t="s">
        <v>134</v>
      </c>
      <c r="I132" s="6" t="s">
        <v>316</v>
      </c>
      <c r="J132" s="6" t="s">
        <v>108</v>
      </c>
    </row>
    <row r="133" customFormat="false" ht="23.85" hidden="false" customHeight="false" outlineLevel="0" collapsed="false">
      <c r="A133" s="6" t="s">
        <v>1631</v>
      </c>
      <c r="B133" s="6" t="s">
        <v>1632</v>
      </c>
      <c r="C133" s="6" t="s">
        <v>805</v>
      </c>
      <c r="D133" s="6" t="s">
        <v>1375</v>
      </c>
      <c r="E133" s="6" t="s">
        <v>9</v>
      </c>
      <c r="F133" s="7" t="n">
        <v>0.513888888888889</v>
      </c>
      <c r="G133" s="6" t="s">
        <v>32</v>
      </c>
      <c r="H133" s="6" t="s">
        <v>134</v>
      </c>
      <c r="I133" s="6" t="s">
        <v>316</v>
      </c>
      <c r="J133" s="6" t="s">
        <v>108</v>
      </c>
    </row>
    <row r="134" customFormat="false" ht="23.85" hidden="false" customHeight="false" outlineLevel="0" collapsed="false">
      <c r="A134" s="6" t="s">
        <v>1633</v>
      </c>
      <c r="B134" s="6" t="s">
        <v>1634</v>
      </c>
      <c r="C134" s="6" t="s">
        <v>1635</v>
      </c>
      <c r="D134" s="6" t="s">
        <v>1375</v>
      </c>
      <c r="E134" s="6" t="s">
        <v>9</v>
      </c>
      <c r="F134" s="7" t="n">
        <v>0.513888888888889</v>
      </c>
      <c r="G134" s="6" t="s">
        <v>32</v>
      </c>
      <c r="H134" s="6" t="s">
        <v>134</v>
      </c>
      <c r="I134" s="6" t="s">
        <v>316</v>
      </c>
      <c r="J134" s="6" t="s">
        <v>108</v>
      </c>
    </row>
    <row r="135" customFormat="false" ht="23.85" hidden="false" customHeight="false" outlineLevel="0" collapsed="false">
      <c r="A135" s="6" t="s">
        <v>1636</v>
      </c>
      <c r="B135" s="6" t="s">
        <v>1552</v>
      </c>
      <c r="C135" s="6" t="s">
        <v>1637</v>
      </c>
      <c r="D135" s="6" t="s">
        <v>1375</v>
      </c>
      <c r="E135" s="6" t="s">
        <v>9</v>
      </c>
      <c r="F135" s="7" t="n">
        <v>0.513888888888889</v>
      </c>
      <c r="G135" s="6" t="s">
        <v>32</v>
      </c>
      <c r="H135" s="6" t="s">
        <v>134</v>
      </c>
      <c r="I135" s="6" t="s">
        <v>316</v>
      </c>
      <c r="J135" s="6" t="s">
        <v>108</v>
      </c>
    </row>
    <row r="136" customFormat="false" ht="23.85" hidden="false" customHeight="false" outlineLevel="0" collapsed="false">
      <c r="A136" s="6" t="s">
        <v>241</v>
      </c>
      <c r="B136" s="6" t="s">
        <v>1551</v>
      </c>
      <c r="C136" s="6" t="s">
        <v>242</v>
      </c>
      <c r="D136" s="6" t="s">
        <v>1375</v>
      </c>
      <c r="E136" s="6" t="s">
        <v>9</v>
      </c>
      <c r="F136" s="7" t="n">
        <v>0.513888888888889</v>
      </c>
      <c r="G136" s="6" t="s">
        <v>25</v>
      </c>
      <c r="H136" s="6" t="s">
        <v>134</v>
      </c>
      <c r="I136" s="6" t="s">
        <v>321</v>
      </c>
      <c r="J136" s="6" t="s">
        <v>92</v>
      </c>
    </row>
    <row r="137" customFormat="false" ht="23.85" hidden="false" customHeight="false" outlineLevel="0" collapsed="false">
      <c r="A137" s="6" t="s">
        <v>1638</v>
      </c>
      <c r="B137" s="6" t="s">
        <v>1639</v>
      </c>
      <c r="C137" s="6" t="s">
        <v>388</v>
      </c>
      <c r="D137" s="6" t="s">
        <v>1375</v>
      </c>
      <c r="E137" s="6" t="s">
        <v>9</v>
      </c>
      <c r="F137" s="7" t="n">
        <v>0.513888888888889</v>
      </c>
      <c r="G137" s="6" t="s">
        <v>25</v>
      </c>
      <c r="H137" s="6" t="s">
        <v>134</v>
      </c>
      <c r="I137" s="6" t="s">
        <v>321</v>
      </c>
      <c r="J137" s="6" t="s">
        <v>92</v>
      </c>
    </row>
    <row r="138" customFormat="false" ht="23.85" hidden="false" customHeight="false" outlineLevel="0" collapsed="false">
      <c r="A138" s="6" t="s">
        <v>1640</v>
      </c>
      <c r="B138" s="6" t="s">
        <v>1641</v>
      </c>
      <c r="C138" s="6" t="s">
        <v>1642</v>
      </c>
      <c r="D138" s="6" t="s">
        <v>1375</v>
      </c>
      <c r="E138" s="6" t="s">
        <v>9</v>
      </c>
      <c r="F138" s="7" t="n">
        <v>0.513888888888889</v>
      </c>
      <c r="G138" s="6" t="s">
        <v>25</v>
      </c>
      <c r="H138" s="6" t="s">
        <v>134</v>
      </c>
      <c r="I138" s="6" t="s">
        <v>321</v>
      </c>
      <c r="J138" s="6" t="s">
        <v>92</v>
      </c>
    </row>
    <row r="139" customFormat="false" ht="23.85" hidden="false" customHeight="false" outlineLevel="0" collapsed="false">
      <c r="A139" s="6" t="s">
        <v>1392</v>
      </c>
      <c r="B139" s="6" t="s">
        <v>1393</v>
      </c>
      <c r="C139" s="6" t="s">
        <v>1394</v>
      </c>
      <c r="D139" s="6" t="s">
        <v>1375</v>
      </c>
      <c r="E139" s="6" t="s">
        <v>9</v>
      </c>
      <c r="F139" s="7" t="n">
        <v>0.513888888888889</v>
      </c>
      <c r="G139" s="6" t="s">
        <v>25</v>
      </c>
      <c r="H139" s="6" t="s">
        <v>134</v>
      </c>
      <c r="I139" s="6" t="s">
        <v>321</v>
      </c>
      <c r="J139" s="6" t="s">
        <v>92</v>
      </c>
    </row>
    <row r="140" customFormat="false" ht="23.85" hidden="false" customHeight="false" outlineLevel="0" collapsed="false">
      <c r="A140" s="6" t="s">
        <v>1643</v>
      </c>
      <c r="B140" s="6" t="s">
        <v>1644</v>
      </c>
      <c r="C140" s="6" t="s">
        <v>1645</v>
      </c>
      <c r="D140" s="6" t="s">
        <v>1375</v>
      </c>
      <c r="E140" s="6" t="s">
        <v>9</v>
      </c>
      <c r="F140" s="7" t="n">
        <v>0.524305555555556</v>
      </c>
      <c r="G140" s="6" t="s">
        <v>21</v>
      </c>
      <c r="H140" s="6" t="s">
        <v>134</v>
      </c>
      <c r="I140" s="6" t="s">
        <v>326</v>
      </c>
      <c r="J140" s="6" t="s">
        <v>97</v>
      </c>
    </row>
    <row r="141" customFormat="false" ht="23.85" hidden="false" customHeight="false" outlineLevel="0" collapsed="false">
      <c r="A141" s="6" t="s">
        <v>1646</v>
      </c>
      <c r="B141" s="6" t="s">
        <v>1647</v>
      </c>
      <c r="C141" s="6" t="s">
        <v>388</v>
      </c>
      <c r="D141" s="6" t="s">
        <v>1375</v>
      </c>
      <c r="E141" s="6" t="s">
        <v>9</v>
      </c>
      <c r="F141" s="7" t="n">
        <v>0.524305555555556</v>
      </c>
      <c r="G141" s="6" t="s">
        <v>21</v>
      </c>
      <c r="H141" s="6" t="s">
        <v>134</v>
      </c>
      <c r="I141" s="6" t="s">
        <v>326</v>
      </c>
      <c r="J141" s="6" t="s">
        <v>97</v>
      </c>
    </row>
    <row r="142" customFormat="false" ht="23.85" hidden="false" customHeight="false" outlineLevel="0" collapsed="false">
      <c r="A142" s="6" t="s">
        <v>1648</v>
      </c>
      <c r="B142" s="6" t="s">
        <v>1649</v>
      </c>
      <c r="C142" s="6" t="s">
        <v>1650</v>
      </c>
      <c r="D142" s="6" t="s">
        <v>1375</v>
      </c>
      <c r="E142" s="6" t="s">
        <v>9</v>
      </c>
      <c r="F142" s="7" t="n">
        <v>0.524305555555556</v>
      </c>
      <c r="G142" s="6" t="s">
        <v>21</v>
      </c>
      <c r="H142" s="6" t="s">
        <v>134</v>
      </c>
      <c r="I142" s="6" t="s">
        <v>326</v>
      </c>
      <c r="J142" s="6" t="s">
        <v>97</v>
      </c>
    </row>
    <row r="143" customFormat="false" ht="23.85" hidden="false" customHeight="false" outlineLevel="0" collapsed="false">
      <c r="A143" s="6" t="s">
        <v>1651</v>
      </c>
      <c r="B143" s="6" t="s">
        <v>1652</v>
      </c>
      <c r="C143" s="6" t="s">
        <v>1653</v>
      </c>
      <c r="D143" s="6" t="s">
        <v>1375</v>
      </c>
      <c r="E143" s="6" t="s">
        <v>9</v>
      </c>
      <c r="F143" s="7" t="n">
        <v>0.524305555555556</v>
      </c>
      <c r="G143" s="6" t="s">
        <v>21</v>
      </c>
      <c r="H143" s="6" t="s">
        <v>134</v>
      </c>
      <c r="I143" s="6" t="s">
        <v>326</v>
      </c>
      <c r="J143" s="6" t="s">
        <v>97</v>
      </c>
    </row>
    <row r="144" customFormat="false" ht="23.85" hidden="false" customHeight="false" outlineLevel="0" collapsed="false">
      <c r="A144" s="6" t="s">
        <v>1397</v>
      </c>
      <c r="B144" s="6" t="s">
        <v>1398</v>
      </c>
      <c r="C144" s="6" t="s">
        <v>1399</v>
      </c>
      <c r="D144" s="6" t="s">
        <v>1375</v>
      </c>
      <c r="E144" s="6" t="s">
        <v>9</v>
      </c>
      <c r="F144" s="7" t="n">
        <v>0.524305555555556</v>
      </c>
      <c r="G144" s="6" t="s">
        <v>21</v>
      </c>
      <c r="H144" s="6" t="s">
        <v>134</v>
      </c>
      <c r="I144" s="6" t="s">
        <v>326</v>
      </c>
      <c r="J144" s="6" t="s">
        <v>97</v>
      </c>
    </row>
    <row r="145" customFormat="false" ht="23.85" hidden="false" customHeight="false" outlineLevel="0" collapsed="false">
      <c r="A145" s="6" t="s">
        <v>1654</v>
      </c>
      <c r="B145" s="6" t="s">
        <v>1655</v>
      </c>
      <c r="C145" s="6" t="s">
        <v>587</v>
      </c>
      <c r="D145" s="6" t="s">
        <v>1375</v>
      </c>
      <c r="E145" s="6" t="s">
        <v>9</v>
      </c>
      <c r="F145" s="7" t="n">
        <v>0.524305555555556</v>
      </c>
      <c r="G145" s="6" t="s">
        <v>33</v>
      </c>
      <c r="H145" s="6" t="s">
        <v>134</v>
      </c>
      <c r="I145" s="6" t="s">
        <v>331</v>
      </c>
      <c r="J145" s="6" t="s">
        <v>64</v>
      </c>
    </row>
    <row r="146" customFormat="false" ht="23.85" hidden="false" customHeight="false" outlineLevel="0" collapsed="false">
      <c r="A146" s="6" t="s">
        <v>1656</v>
      </c>
      <c r="B146" s="6" t="s">
        <v>1657</v>
      </c>
      <c r="C146" s="6" t="s">
        <v>1516</v>
      </c>
      <c r="D146" s="6" t="s">
        <v>1375</v>
      </c>
      <c r="E146" s="6" t="s">
        <v>9</v>
      </c>
      <c r="F146" s="7" t="n">
        <v>0.524305555555556</v>
      </c>
      <c r="G146" s="6" t="s">
        <v>33</v>
      </c>
      <c r="H146" s="6" t="s">
        <v>134</v>
      </c>
      <c r="I146" s="6" t="s">
        <v>331</v>
      </c>
      <c r="J146" s="6" t="s">
        <v>64</v>
      </c>
    </row>
    <row r="147" customFormat="false" ht="23.85" hidden="false" customHeight="false" outlineLevel="0" collapsed="false">
      <c r="A147" s="6" t="s">
        <v>1658</v>
      </c>
      <c r="B147" s="6" t="s">
        <v>1659</v>
      </c>
      <c r="C147" s="6" t="s">
        <v>368</v>
      </c>
      <c r="D147" s="6" t="s">
        <v>1375</v>
      </c>
      <c r="E147" s="6" t="s">
        <v>9</v>
      </c>
      <c r="F147" s="7" t="n">
        <v>0.524305555555556</v>
      </c>
      <c r="G147" s="6" t="s">
        <v>33</v>
      </c>
      <c r="H147" s="6" t="s">
        <v>134</v>
      </c>
      <c r="I147" s="6" t="s">
        <v>331</v>
      </c>
      <c r="J147" s="6" t="s">
        <v>64</v>
      </c>
    </row>
    <row r="148" customFormat="false" ht="23.85" hidden="false" customHeight="false" outlineLevel="0" collapsed="false">
      <c r="A148" s="6" t="s">
        <v>1544</v>
      </c>
      <c r="B148" s="6" t="s">
        <v>1545</v>
      </c>
      <c r="C148" s="6" t="s">
        <v>242</v>
      </c>
      <c r="D148" s="6" t="s">
        <v>1375</v>
      </c>
      <c r="E148" s="6" t="s">
        <v>9</v>
      </c>
      <c r="F148" s="7" t="n">
        <v>0.524305555555556</v>
      </c>
      <c r="G148" s="6" t="s">
        <v>33</v>
      </c>
      <c r="H148" s="6" t="s">
        <v>134</v>
      </c>
      <c r="I148" s="6" t="s">
        <v>331</v>
      </c>
      <c r="J148" s="6" t="s">
        <v>64</v>
      </c>
    </row>
    <row r="149" customFormat="false" ht="23.85" hidden="false" customHeight="false" outlineLevel="0" collapsed="false">
      <c r="A149" s="6" t="s">
        <v>299</v>
      </c>
      <c r="B149" s="6" t="s">
        <v>1602</v>
      </c>
      <c r="C149" s="6" t="s">
        <v>300</v>
      </c>
      <c r="D149" s="6" t="s">
        <v>1375</v>
      </c>
      <c r="E149" s="6" t="s">
        <v>9</v>
      </c>
      <c r="F149" s="7" t="n">
        <v>0.524305555555556</v>
      </c>
      <c r="G149" s="6" t="s">
        <v>33</v>
      </c>
      <c r="H149" s="6" t="s">
        <v>134</v>
      </c>
      <c r="I149" s="6" t="s">
        <v>331</v>
      </c>
      <c r="J149" s="6" t="s">
        <v>64</v>
      </c>
    </row>
    <row r="150" customFormat="false" ht="23.85" hidden="false" customHeight="false" outlineLevel="0" collapsed="false">
      <c r="A150" s="6" t="s">
        <v>1660</v>
      </c>
      <c r="B150" s="6" t="s">
        <v>1661</v>
      </c>
      <c r="C150" s="6" t="s">
        <v>1662</v>
      </c>
      <c r="D150" s="6" t="s">
        <v>1375</v>
      </c>
      <c r="E150" s="6" t="s">
        <v>9</v>
      </c>
      <c r="F150" s="7" t="n">
        <v>0.524305555555556</v>
      </c>
      <c r="G150" s="6" t="s">
        <v>33</v>
      </c>
      <c r="H150" s="6" t="s">
        <v>134</v>
      </c>
      <c r="I150" s="6" t="s">
        <v>331</v>
      </c>
      <c r="J150" s="6" t="s">
        <v>64</v>
      </c>
    </row>
    <row r="151" customFormat="false" ht="23.85" hidden="false" customHeight="false" outlineLevel="0" collapsed="false">
      <c r="A151" s="6" t="s">
        <v>1379</v>
      </c>
      <c r="B151" s="6" t="s">
        <v>1380</v>
      </c>
      <c r="C151" s="6" t="s">
        <v>1381</v>
      </c>
      <c r="D151" s="6" t="s">
        <v>1375</v>
      </c>
      <c r="E151" s="6" t="s">
        <v>9</v>
      </c>
      <c r="F151" s="7" t="n">
        <v>0.524305555555556</v>
      </c>
      <c r="G151" s="6" t="s">
        <v>33</v>
      </c>
      <c r="H151" s="6" t="s">
        <v>134</v>
      </c>
      <c r="I151" s="6" t="s">
        <v>331</v>
      </c>
      <c r="J151" s="6" t="s">
        <v>64</v>
      </c>
    </row>
    <row r="152" customFormat="false" ht="15" hidden="false" customHeight="false" outlineLevel="0" collapsed="false">
      <c r="A152" s="6" t="s">
        <v>1663</v>
      </c>
      <c r="B152" s="6" t="s">
        <v>1664</v>
      </c>
      <c r="C152" s="6" t="s">
        <v>1665</v>
      </c>
      <c r="D152" s="6" t="s">
        <v>1375</v>
      </c>
      <c r="E152" s="6" t="s">
        <v>9</v>
      </c>
      <c r="F152" s="7" t="n">
        <v>0.524305555555556</v>
      </c>
      <c r="G152" s="6" t="s">
        <v>22</v>
      </c>
      <c r="H152" s="6" t="s">
        <v>134</v>
      </c>
      <c r="I152" s="6" t="s">
        <v>335</v>
      </c>
      <c r="J152" s="6" t="s">
        <v>114</v>
      </c>
    </row>
    <row r="153" customFormat="false" ht="23.85" hidden="false" customHeight="false" outlineLevel="0" collapsed="false">
      <c r="A153" s="6" t="s">
        <v>1666</v>
      </c>
      <c r="B153" s="6" t="s">
        <v>1667</v>
      </c>
      <c r="C153" s="6" t="s">
        <v>1473</v>
      </c>
      <c r="D153" s="6" t="s">
        <v>1375</v>
      </c>
      <c r="E153" s="6" t="s">
        <v>9</v>
      </c>
      <c r="F153" s="7" t="n">
        <v>0.524305555555556</v>
      </c>
      <c r="G153" s="6" t="s">
        <v>22</v>
      </c>
      <c r="H153" s="6" t="s">
        <v>134</v>
      </c>
      <c r="I153" s="6" t="s">
        <v>335</v>
      </c>
      <c r="J153" s="6" t="s">
        <v>114</v>
      </c>
    </row>
    <row r="154" customFormat="false" ht="15" hidden="false" customHeight="false" outlineLevel="0" collapsed="false">
      <c r="A154" s="6" t="s">
        <v>1668</v>
      </c>
      <c r="B154" s="6" t="s">
        <v>1669</v>
      </c>
      <c r="C154" s="6" t="s">
        <v>1670</v>
      </c>
      <c r="D154" s="6" t="s">
        <v>1375</v>
      </c>
      <c r="E154" s="6" t="s">
        <v>9</v>
      </c>
      <c r="F154" s="7" t="n">
        <v>0.524305555555556</v>
      </c>
      <c r="G154" s="6" t="s">
        <v>22</v>
      </c>
      <c r="H154" s="6" t="s">
        <v>134</v>
      </c>
      <c r="I154" s="6" t="s">
        <v>335</v>
      </c>
      <c r="J154" s="6" t="s">
        <v>114</v>
      </c>
    </row>
    <row r="155" customFormat="false" ht="15" hidden="false" customHeight="false" outlineLevel="0" collapsed="false">
      <c r="A155" s="6" t="s">
        <v>862</v>
      </c>
      <c r="B155" s="6" t="s">
        <v>1671</v>
      </c>
      <c r="C155" s="6" t="s">
        <v>863</v>
      </c>
      <c r="D155" s="6" t="s">
        <v>1375</v>
      </c>
      <c r="E155" s="6" t="s">
        <v>9</v>
      </c>
      <c r="F155" s="7" t="n">
        <v>0.524305555555556</v>
      </c>
      <c r="G155" s="6" t="s">
        <v>22</v>
      </c>
      <c r="H155" s="6" t="s">
        <v>134</v>
      </c>
      <c r="I155" s="6" t="s">
        <v>335</v>
      </c>
      <c r="J155" s="6" t="s">
        <v>114</v>
      </c>
    </row>
    <row r="156" customFormat="false" ht="15" hidden="false" customHeight="false" outlineLevel="0" collapsed="false">
      <c r="A156" s="6" t="s">
        <v>1672</v>
      </c>
      <c r="B156" s="6" t="s">
        <v>1673</v>
      </c>
      <c r="C156" s="6" t="s">
        <v>1674</v>
      </c>
      <c r="D156" s="6" t="s">
        <v>1375</v>
      </c>
      <c r="E156" s="6" t="s">
        <v>9</v>
      </c>
      <c r="F156" s="7" t="n">
        <v>0.524305555555556</v>
      </c>
      <c r="G156" s="6" t="s">
        <v>22</v>
      </c>
      <c r="H156" s="6" t="s">
        <v>134</v>
      </c>
      <c r="I156" s="6" t="s">
        <v>335</v>
      </c>
      <c r="J156" s="6" t="s">
        <v>114</v>
      </c>
    </row>
    <row r="157" customFormat="false" ht="15" hidden="false" customHeight="false" outlineLevel="0" collapsed="false">
      <c r="A157" s="6" t="s">
        <v>1409</v>
      </c>
      <c r="B157" s="6" t="s">
        <v>1410</v>
      </c>
      <c r="C157" s="6" t="s">
        <v>1411</v>
      </c>
      <c r="D157" s="6" t="s">
        <v>1375</v>
      </c>
      <c r="E157" s="6" t="s">
        <v>9</v>
      </c>
      <c r="F157" s="7" t="n">
        <v>0.524305555555556</v>
      </c>
      <c r="G157" s="6" t="s">
        <v>22</v>
      </c>
      <c r="H157" s="6" t="s">
        <v>134</v>
      </c>
      <c r="I157" s="6" t="s">
        <v>335</v>
      </c>
      <c r="J157" s="6" t="s">
        <v>114</v>
      </c>
    </row>
    <row r="158" customFormat="false" ht="23.85" hidden="false" customHeight="false" outlineLevel="0" collapsed="false">
      <c r="A158" s="6" t="s">
        <v>342</v>
      </c>
      <c r="B158" s="6" t="s">
        <v>1412</v>
      </c>
      <c r="C158" s="6" t="s">
        <v>343</v>
      </c>
      <c r="D158" s="6" t="s">
        <v>1375</v>
      </c>
      <c r="E158" s="6" t="s">
        <v>9</v>
      </c>
      <c r="F158" s="7" t="n">
        <v>0.527777777777778</v>
      </c>
      <c r="G158" s="6" t="s">
        <v>36</v>
      </c>
      <c r="H158" s="6" t="s">
        <v>156</v>
      </c>
      <c r="I158" s="6" t="s">
        <v>340</v>
      </c>
      <c r="J158" s="6" t="s">
        <v>36</v>
      </c>
    </row>
    <row r="159" customFormat="false" ht="15" hidden="false" customHeight="false" outlineLevel="0" collapsed="false">
      <c r="A159" s="6" t="s">
        <v>346</v>
      </c>
      <c r="B159" s="6" t="s">
        <v>1532</v>
      </c>
      <c r="C159" s="6" t="s">
        <v>347</v>
      </c>
      <c r="D159" s="6" t="s">
        <v>1375</v>
      </c>
      <c r="E159" s="6" t="s">
        <v>9</v>
      </c>
      <c r="F159" s="7" t="n">
        <v>0.534722222222222</v>
      </c>
      <c r="G159" s="6" t="s">
        <v>36</v>
      </c>
      <c r="H159" s="6" t="s">
        <v>156</v>
      </c>
      <c r="I159" s="6" t="s">
        <v>344</v>
      </c>
      <c r="J159" s="6" t="s">
        <v>36</v>
      </c>
    </row>
    <row r="160" customFormat="false" ht="15" hidden="false" customHeight="false" outlineLevel="0" collapsed="false">
      <c r="A160" s="6" t="s">
        <v>350</v>
      </c>
      <c r="B160" s="6" t="s">
        <v>1675</v>
      </c>
      <c r="C160" s="6" t="s">
        <v>351</v>
      </c>
      <c r="D160" s="6" t="s">
        <v>1375</v>
      </c>
      <c r="E160" s="6" t="s">
        <v>9</v>
      </c>
      <c r="F160" s="7" t="n">
        <v>0.541666666666667</v>
      </c>
      <c r="G160" s="6" t="s">
        <v>36</v>
      </c>
      <c r="H160" s="6" t="s">
        <v>156</v>
      </c>
      <c r="I160" s="6" t="s">
        <v>348</v>
      </c>
      <c r="J160" s="6" t="s">
        <v>36</v>
      </c>
    </row>
    <row r="161" customFormat="false" ht="15" hidden="false" customHeight="false" outlineLevel="0" collapsed="false">
      <c r="A161" s="6" t="s">
        <v>354</v>
      </c>
      <c r="B161" s="6" t="s">
        <v>1500</v>
      </c>
      <c r="C161" s="6" t="s">
        <v>355</v>
      </c>
      <c r="D161" s="6" t="s">
        <v>1375</v>
      </c>
      <c r="E161" s="6" t="s">
        <v>9</v>
      </c>
      <c r="F161" s="7" t="n">
        <v>0.548611111111111</v>
      </c>
      <c r="G161" s="6" t="s">
        <v>36</v>
      </c>
      <c r="H161" s="6" t="s">
        <v>156</v>
      </c>
      <c r="I161" s="6" t="s">
        <v>352</v>
      </c>
      <c r="J161" s="6" t="s">
        <v>36</v>
      </c>
    </row>
    <row r="162" customFormat="false" ht="23.85" hidden="false" customHeight="false" outlineLevel="0" collapsed="false">
      <c r="A162" s="6" t="s">
        <v>358</v>
      </c>
      <c r="B162" s="6" t="s">
        <v>1676</v>
      </c>
      <c r="C162" s="6" t="s">
        <v>359</v>
      </c>
      <c r="D162" s="6" t="s">
        <v>1375</v>
      </c>
      <c r="E162" s="6" t="s">
        <v>9</v>
      </c>
      <c r="F162" s="7" t="n">
        <v>0.555555555555556</v>
      </c>
      <c r="G162" s="6" t="s">
        <v>36</v>
      </c>
      <c r="H162" s="6" t="s">
        <v>156</v>
      </c>
      <c r="I162" s="6" t="s">
        <v>356</v>
      </c>
      <c r="J162" s="6" t="s">
        <v>36</v>
      </c>
    </row>
    <row r="163" customFormat="false" ht="23.85" hidden="false" customHeight="false" outlineLevel="0" collapsed="false">
      <c r="A163" s="6" t="s">
        <v>1677</v>
      </c>
      <c r="B163" s="6" t="s">
        <v>1678</v>
      </c>
      <c r="C163" s="6" t="s">
        <v>1679</v>
      </c>
      <c r="D163" s="6" t="s">
        <v>1375</v>
      </c>
      <c r="E163" s="6" t="s">
        <v>9</v>
      </c>
      <c r="F163" s="7" t="n">
        <v>0.565277777777778</v>
      </c>
      <c r="G163" s="6" t="s">
        <v>21</v>
      </c>
      <c r="H163" s="6" t="s">
        <v>67</v>
      </c>
      <c r="I163" s="6" t="s">
        <v>360</v>
      </c>
      <c r="J163" s="6" t="s">
        <v>64</v>
      </c>
    </row>
    <row r="164" customFormat="false" ht="23.85" hidden="false" customHeight="false" outlineLevel="0" collapsed="false">
      <c r="A164" s="6" t="s">
        <v>1379</v>
      </c>
      <c r="B164" s="6" t="s">
        <v>1380</v>
      </c>
      <c r="C164" s="6" t="s">
        <v>1381</v>
      </c>
      <c r="D164" s="6" t="s">
        <v>1375</v>
      </c>
      <c r="E164" s="6" t="s">
        <v>9</v>
      </c>
      <c r="F164" s="7" t="n">
        <v>0.565277777777778</v>
      </c>
      <c r="G164" s="6" t="s">
        <v>21</v>
      </c>
      <c r="H164" s="6" t="s">
        <v>67</v>
      </c>
      <c r="I164" s="6" t="s">
        <v>360</v>
      </c>
      <c r="J164" s="6" t="s">
        <v>64</v>
      </c>
    </row>
    <row r="165" customFormat="false" ht="23.85" hidden="false" customHeight="false" outlineLevel="0" collapsed="false">
      <c r="A165" s="6" t="s">
        <v>367</v>
      </c>
      <c r="B165" s="6" t="s">
        <v>1680</v>
      </c>
      <c r="C165" s="6" t="s">
        <v>368</v>
      </c>
      <c r="D165" s="6" t="s">
        <v>1375</v>
      </c>
      <c r="E165" s="6" t="s">
        <v>9</v>
      </c>
      <c r="F165" s="7" t="n">
        <v>0.565972222222222</v>
      </c>
      <c r="G165" s="6" t="s">
        <v>24</v>
      </c>
      <c r="H165" s="6" t="s">
        <v>81</v>
      </c>
      <c r="I165" s="6" t="s">
        <v>365</v>
      </c>
      <c r="J165" s="6" t="s">
        <v>80</v>
      </c>
    </row>
    <row r="166" customFormat="false" ht="23.85" hidden="false" customHeight="false" outlineLevel="0" collapsed="false">
      <c r="A166" s="6" t="s">
        <v>1681</v>
      </c>
      <c r="B166" s="6" t="s">
        <v>1682</v>
      </c>
      <c r="C166" s="6" t="s">
        <v>1683</v>
      </c>
      <c r="D166" s="6" t="s">
        <v>1375</v>
      </c>
      <c r="E166" s="6" t="s">
        <v>9</v>
      </c>
      <c r="F166" s="7" t="n">
        <v>0.565972222222222</v>
      </c>
      <c r="G166" s="6" t="s">
        <v>32</v>
      </c>
      <c r="H166" s="6" t="s">
        <v>67</v>
      </c>
      <c r="I166" s="6" t="s">
        <v>369</v>
      </c>
      <c r="J166" s="6" t="s">
        <v>108</v>
      </c>
    </row>
    <row r="167" customFormat="false" ht="23.85" hidden="false" customHeight="false" outlineLevel="0" collapsed="false">
      <c r="A167" s="6" t="s">
        <v>1404</v>
      </c>
      <c r="B167" s="6" t="s">
        <v>1405</v>
      </c>
      <c r="C167" s="6" t="s">
        <v>1406</v>
      </c>
      <c r="D167" s="6" t="s">
        <v>1375</v>
      </c>
      <c r="E167" s="6" t="s">
        <v>9</v>
      </c>
      <c r="F167" s="7" t="n">
        <v>0.565972222222222</v>
      </c>
      <c r="G167" s="6" t="s">
        <v>32</v>
      </c>
      <c r="H167" s="6" t="s">
        <v>67</v>
      </c>
      <c r="I167" s="6" t="s">
        <v>369</v>
      </c>
      <c r="J167" s="6" t="s">
        <v>108</v>
      </c>
    </row>
    <row r="168" customFormat="false" ht="23.85" hidden="false" customHeight="false" outlineLevel="0" collapsed="false">
      <c r="A168" s="6" t="s">
        <v>375</v>
      </c>
      <c r="B168" s="6" t="s">
        <v>1684</v>
      </c>
      <c r="C168" s="6" t="s">
        <v>85</v>
      </c>
      <c r="D168" s="6" t="s">
        <v>1375</v>
      </c>
      <c r="E168" s="6" t="s">
        <v>9</v>
      </c>
      <c r="F168" s="7" t="n">
        <v>0.565972222222222</v>
      </c>
      <c r="G168" s="6" t="s">
        <v>27</v>
      </c>
      <c r="H168" s="6" t="s">
        <v>81</v>
      </c>
      <c r="I168" s="6" t="s">
        <v>373</v>
      </c>
      <c r="J168" s="6" t="s">
        <v>86</v>
      </c>
    </row>
    <row r="169" customFormat="false" ht="23.85" hidden="false" customHeight="false" outlineLevel="0" collapsed="false">
      <c r="A169" s="6" t="s">
        <v>378</v>
      </c>
      <c r="B169" s="6" t="s">
        <v>1685</v>
      </c>
      <c r="C169" s="6" t="s">
        <v>379</v>
      </c>
      <c r="D169" s="6" t="s">
        <v>1375</v>
      </c>
      <c r="E169" s="6" t="s">
        <v>9</v>
      </c>
      <c r="F169" s="7" t="n">
        <v>0.565972222222222</v>
      </c>
      <c r="G169" s="6" t="s">
        <v>25</v>
      </c>
      <c r="H169" s="6" t="s">
        <v>81</v>
      </c>
      <c r="I169" s="6" t="s">
        <v>376</v>
      </c>
      <c r="J169" s="6" t="s">
        <v>92</v>
      </c>
    </row>
    <row r="170" customFormat="false" ht="15" hidden="false" customHeight="false" outlineLevel="0" collapsed="false">
      <c r="A170" s="6" t="s">
        <v>1624</v>
      </c>
      <c r="B170" s="6" t="s">
        <v>1625</v>
      </c>
      <c r="C170" s="6" t="s">
        <v>1626</v>
      </c>
      <c r="D170" s="6" t="s">
        <v>1375</v>
      </c>
      <c r="E170" s="6" t="s">
        <v>9</v>
      </c>
      <c r="F170" s="7" t="n">
        <v>0.565972222222222</v>
      </c>
      <c r="G170" s="6" t="s">
        <v>26</v>
      </c>
      <c r="H170" s="6" t="s">
        <v>81</v>
      </c>
      <c r="I170" s="6" t="s">
        <v>380</v>
      </c>
      <c r="J170" s="6" t="s">
        <v>255</v>
      </c>
    </row>
    <row r="171" customFormat="false" ht="15" hidden="false" customHeight="false" outlineLevel="0" collapsed="false">
      <c r="A171" s="6" t="s">
        <v>1686</v>
      </c>
      <c r="B171" s="6" t="s">
        <v>1687</v>
      </c>
      <c r="C171" s="6" t="s">
        <v>1688</v>
      </c>
      <c r="D171" s="6" t="s">
        <v>1375</v>
      </c>
      <c r="E171" s="6" t="s">
        <v>9</v>
      </c>
      <c r="F171" s="7" t="n">
        <v>0.565972222222222</v>
      </c>
      <c r="G171" s="6" t="s">
        <v>26</v>
      </c>
      <c r="H171" s="6" t="s">
        <v>81</v>
      </c>
      <c r="I171" s="6" t="s">
        <v>380</v>
      </c>
      <c r="J171" s="6" t="s">
        <v>255</v>
      </c>
    </row>
    <row r="172" customFormat="false" ht="15" hidden="false" customHeight="false" outlineLevel="0" collapsed="false">
      <c r="A172" s="6" t="s">
        <v>387</v>
      </c>
      <c r="B172" s="6" t="s">
        <v>1689</v>
      </c>
      <c r="C172" s="6" t="s">
        <v>388</v>
      </c>
      <c r="D172" s="6" t="s">
        <v>1375</v>
      </c>
      <c r="E172" s="6" t="s">
        <v>9</v>
      </c>
      <c r="F172" s="7" t="n">
        <v>0.565972222222222</v>
      </c>
      <c r="G172" s="6" t="s">
        <v>34</v>
      </c>
      <c r="H172" s="6" t="s">
        <v>81</v>
      </c>
      <c r="I172" s="6" t="s">
        <v>385</v>
      </c>
      <c r="J172" s="6" t="s">
        <v>103</v>
      </c>
    </row>
    <row r="173" customFormat="false" ht="23.85" hidden="false" customHeight="false" outlineLevel="0" collapsed="false">
      <c r="A173" s="6" t="s">
        <v>391</v>
      </c>
      <c r="B173" s="6" t="s">
        <v>1552</v>
      </c>
      <c r="C173" s="6" t="s">
        <v>392</v>
      </c>
      <c r="D173" s="6" t="s">
        <v>1375</v>
      </c>
      <c r="E173" s="6" t="s">
        <v>9</v>
      </c>
      <c r="F173" s="7" t="n">
        <v>0.565972222222222</v>
      </c>
      <c r="G173" s="6" t="s">
        <v>28</v>
      </c>
      <c r="H173" s="6" t="s">
        <v>81</v>
      </c>
      <c r="I173" s="6" t="s">
        <v>389</v>
      </c>
      <c r="J173" s="6" t="s">
        <v>114</v>
      </c>
    </row>
    <row r="174" customFormat="false" ht="15" hidden="false" customHeight="false" outlineLevel="0" collapsed="false">
      <c r="A174" s="6" t="s">
        <v>1690</v>
      </c>
      <c r="B174" s="6" t="s">
        <v>1691</v>
      </c>
      <c r="C174" s="6" t="s">
        <v>1692</v>
      </c>
      <c r="D174" s="6" t="s">
        <v>1375</v>
      </c>
      <c r="E174" s="6" t="s">
        <v>9</v>
      </c>
      <c r="F174" s="7" t="n">
        <v>0.565972222222222</v>
      </c>
      <c r="G174" s="6" t="s">
        <v>38</v>
      </c>
      <c r="H174" s="6" t="s">
        <v>67</v>
      </c>
      <c r="I174" s="6" t="s">
        <v>393</v>
      </c>
      <c r="J174" s="6" t="s">
        <v>97</v>
      </c>
    </row>
    <row r="175" customFormat="false" ht="15" hidden="false" customHeight="false" outlineLevel="0" collapsed="false">
      <c r="A175" s="6" t="s">
        <v>1693</v>
      </c>
      <c r="B175" s="6" t="s">
        <v>1694</v>
      </c>
      <c r="C175" s="6" t="s">
        <v>1695</v>
      </c>
      <c r="D175" s="6" t="s">
        <v>1375</v>
      </c>
      <c r="E175" s="6" t="s">
        <v>9</v>
      </c>
      <c r="F175" s="7" t="n">
        <v>0.565972222222222</v>
      </c>
      <c r="G175" s="6" t="s">
        <v>38</v>
      </c>
      <c r="H175" s="6" t="s">
        <v>67</v>
      </c>
      <c r="I175" s="6" t="s">
        <v>393</v>
      </c>
      <c r="J175" s="6" t="s">
        <v>97</v>
      </c>
    </row>
    <row r="176" customFormat="false" ht="23.85" hidden="false" customHeight="false" outlineLevel="0" collapsed="false">
      <c r="A176" s="6" t="s">
        <v>399</v>
      </c>
      <c r="B176" s="6"/>
      <c r="C176" s="6"/>
      <c r="D176" s="6" t="s">
        <v>210</v>
      </c>
      <c r="E176" s="6" t="s">
        <v>9</v>
      </c>
      <c r="F176" s="7" t="n">
        <v>0.565972222222222</v>
      </c>
      <c r="G176" s="6" t="s">
        <v>39</v>
      </c>
      <c r="H176" s="6" t="s">
        <v>39</v>
      </c>
      <c r="I176" s="6" t="s">
        <v>398</v>
      </c>
      <c r="J176" s="6" t="s">
        <v>119</v>
      </c>
    </row>
    <row r="177" customFormat="false" ht="23.85" hidden="false" customHeight="false" outlineLevel="0" collapsed="false">
      <c r="A177" s="6" t="s">
        <v>1696</v>
      </c>
      <c r="B177" s="6" t="s">
        <v>1697</v>
      </c>
      <c r="C177" s="6" t="s">
        <v>1574</v>
      </c>
      <c r="D177" s="6" t="s">
        <v>1375</v>
      </c>
      <c r="E177" s="6" t="s">
        <v>9</v>
      </c>
      <c r="F177" s="7" t="n">
        <v>0.576388888888889</v>
      </c>
      <c r="G177" s="6" t="s">
        <v>24</v>
      </c>
      <c r="H177" s="6" t="s">
        <v>81</v>
      </c>
      <c r="I177" s="6" t="s">
        <v>400</v>
      </c>
      <c r="J177" s="6" t="s">
        <v>80</v>
      </c>
    </row>
    <row r="178" customFormat="false" ht="23.85" hidden="false" customHeight="false" outlineLevel="0" collapsed="false">
      <c r="A178" s="6" t="s">
        <v>1698</v>
      </c>
      <c r="B178" s="6" t="s">
        <v>1699</v>
      </c>
      <c r="C178" s="6" t="s">
        <v>1700</v>
      </c>
      <c r="D178" s="6" t="s">
        <v>1375</v>
      </c>
      <c r="E178" s="6" t="s">
        <v>9</v>
      </c>
      <c r="F178" s="7" t="n">
        <v>0.576388888888889</v>
      </c>
      <c r="G178" s="6" t="s">
        <v>24</v>
      </c>
      <c r="H178" s="6" t="s">
        <v>81</v>
      </c>
      <c r="I178" s="6" t="s">
        <v>400</v>
      </c>
      <c r="J178" s="6" t="s">
        <v>80</v>
      </c>
    </row>
    <row r="179" customFormat="false" ht="23.85" hidden="false" customHeight="false" outlineLevel="0" collapsed="false">
      <c r="A179" s="6" t="s">
        <v>1701</v>
      </c>
      <c r="B179" s="6" t="s">
        <v>1702</v>
      </c>
      <c r="C179" s="6" t="s">
        <v>1703</v>
      </c>
      <c r="D179" s="6" t="s">
        <v>1375</v>
      </c>
      <c r="E179" s="6" t="s">
        <v>9</v>
      </c>
      <c r="F179" s="7" t="n">
        <v>0.576388888888889</v>
      </c>
      <c r="G179" s="6" t="s">
        <v>24</v>
      </c>
      <c r="H179" s="6" t="s">
        <v>81</v>
      </c>
      <c r="I179" s="6" t="s">
        <v>400</v>
      </c>
      <c r="J179" s="6" t="s">
        <v>80</v>
      </c>
    </row>
    <row r="180" customFormat="false" ht="23.85" hidden="false" customHeight="false" outlineLevel="0" collapsed="false">
      <c r="A180" s="6" t="s">
        <v>1704</v>
      </c>
      <c r="B180" s="6" t="s">
        <v>1691</v>
      </c>
      <c r="C180" s="6" t="s">
        <v>1705</v>
      </c>
      <c r="D180" s="6" t="s">
        <v>1375</v>
      </c>
      <c r="E180" s="6" t="s">
        <v>9</v>
      </c>
      <c r="F180" s="7" t="n">
        <v>0.576388888888889</v>
      </c>
      <c r="G180" s="6" t="s">
        <v>38</v>
      </c>
      <c r="H180" s="6" t="s">
        <v>134</v>
      </c>
      <c r="I180" s="6" t="s">
        <v>405</v>
      </c>
      <c r="J180" s="6" t="s">
        <v>97</v>
      </c>
    </row>
    <row r="181" customFormat="false" ht="23.85" hidden="false" customHeight="false" outlineLevel="0" collapsed="false">
      <c r="A181" s="6" t="s">
        <v>1706</v>
      </c>
      <c r="B181" s="6" t="s">
        <v>1691</v>
      </c>
      <c r="C181" s="6" t="s">
        <v>1707</v>
      </c>
      <c r="D181" s="6" t="s">
        <v>1375</v>
      </c>
      <c r="E181" s="6" t="s">
        <v>9</v>
      </c>
      <c r="F181" s="7" t="n">
        <v>0.576388888888889</v>
      </c>
      <c r="G181" s="6" t="s">
        <v>38</v>
      </c>
      <c r="H181" s="6" t="s">
        <v>134</v>
      </c>
      <c r="I181" s="6" t="s">
        <v>405</v>
      </c>
      <c r="J181" s="6" t="s">
        <v>97</v>
      </c>
    </row>
    <row r="182" customFormat="false" ht="23.85" hidden="false" customHeight="false" outlineLevel="0" collapsed="false">
      <c r="A182" s="6" t="s">
        <v>1708</v>
      </c>
      <c r="B182" s="6" t="s">
        <v>1709</v>
      </c>
      <c r="C182" s="6" t="s">
        <v>1710</v>
      </c>
      <c r="D182" s="6" t="s">
        <v>1375</v>
      </c>
      <c r="E182" s="6" t="s">
        <v>9</v>
      </c>
      <c r="F182" s="7" t="n">
        <v>0.576388888888889</v>
      </c>
      <c r="G182" s="6" t="s">
        <v>38</v>
      </c>
      <c r="H182" s="6" t="s">
        <v>134</v>
      </c>
      <c r="I182" s="6" t="s">
        <v>405</v>
      </c>
      <c r="J182" s="6" t="s">
        <v>97</v>
      </c>
    </row>
    <row r="183" customFormat="false" ht="23.85" hidden="false" customHeight="false" outlineLevel="0" collapsed="false">
      <c r="A183" s="6" t="s">
        <v>1690</v>
      </c>
      <c r="B183" s="6" t="s">
        <v>1691</v>
      </c>
      <c r="C183" s="6" t="s">
        <v>1692</v>
      </c>
      <c r="D183" s="6" t="s">
        <v>1375</v>
      </c>
      <c r="E183" s="6" t="s">
        <v>9</v>
      </c>
      <c r="F183" s="7" t="n">
        <v>0.576388888888889</v>
      </c>
      <c r="G183" s="6" t="s">
        <v>38</v>
      </c>
      <c r="H183" s="6" t="s">
        <v>134</v>
      </c>
      <c r="I183" s="6" t="s">
        <v>405</v>
      </c>
      <c r="J183" s="6" t="s">
        <v>97</v>
      </c>
    </row>
    <row r="184" customFormat="false" ht="23.85" hidden="false" customHeight="false" outlineLevel="0" collapsed="false">
      <c r="A184" s="6" t="s">
        <v>1711</v>
      </c>
      <c r="B184" s="6" t="s">
        <v>1712</v>
      </c>
      <c r="C184" s="6" t="s">
        <v>1713</v>
      </c>
      <c r="D184" s="6" t="s">
        <v>1375</v>
      </c>
      <c r="E184" s="6" t="s">
        <v>9</v>
      </c>
      <c r="F184" s="7" t="n">
        <v>0.576388888888889</v>
      </c>
      <c r="G184" s="6" t="s">
        <v>38</v>
      </c>
      <c r="H184" s="6" t="s">
        <v>134</v>
      </c>
      <c r="I184" s="6" t="s">
        <v>405</v>
      </c>
      <c r="J184" s="6" t="s">
        <v>97</v>
      </c>
    </row>
    <row r="185" customFormat="false" ht="23.85" hidden="false" customHeight="false" outlineLevel="0" collapsed="false">
      <c r="A185" s="6" t="s">
        <v>1693</v>
      </c>
      <c r="B185" s="6" t="s">
        <v>1694</v>
      </c>
      <c r="C185" s="6" t="s">
        <v>1695</v>
      </c>
      <c r="D185" s="6" t="s">
        <v>1375</v>
      </c>
      <c r="E185" s="6" t="s">
        <v>9</v>
      </c>
      <c r="F185" s="7" t="n">
        <v>0.576388888888889</v>
      </c>
      <c r="G185" s="6" t="s">
        <v>38</v>
      </c>
      <c r="H185" s="6" t="s">
        <v>134</v>
      </c>
      <c r="I185" s="6" t="s">
        <v>405</v>
      </c>
      <c r="J185" s="6" t="s">
        <v>97</v>
      </c>
    </row>
    <row r="186" customFormat="false" ht="23.85" hidden="false" customHeight="false" outlineLevel="0" collapsed="false">
      <c r="A186" s="6" t="s">
        <v>412</v>
      </c>
      <c r="B186" s="6" t="s">
        <v>1714</v>
      </c>
      <c r="C186" s="6" t="s">
        <v>413</v>
      </c>
      <c r="D186" s="6" t="s">
        <v>1375</v>
      </c>
      <c r="E186" s="6" t="s">
        <v>9</v>
      </c>
      <c r="F186" s="7" t="n">
        <v>0.576388888888889</v>
      </c>
      <c r="G186" s="6" t="s">
        <v>34</v>
      </c>
      <c r="H186" s="6" t="s">
        <v>81</v>
      </c>
      <c r="I186" s="6" t="s">
        <v>410</v>
      </c>
      <c r="J186" s="6" t="s">
        <v>103</v>
      </c>
    </row>
    <row r="187" customFormat="false" ht="23.85" hidden="false" customHeight="false" outlineLevel="0" collapsed="false">
      <c r="A187" s="6" t="s">
        <v>417</v>
      </c>
      <c r="B187" s="6" t="s">
        <v>1715</v>
      </c>
      <c r="C187" s="6" t="s">
        <v>418</v>
      </c>
      <c r="D187" s="6" t="s">
        <v>1375</v>
      </c>
      <c r="E187" s="6" t="s">
        <v>9</v>
      </c>
      <c r="F187" s="7" t="n">
        <v>0.576388888888889</v>
      </c>
      <c r="G187" s="6" t="s">
        <v>27</v>
      </c>
      <c r="H187" s="6" t="s">
        <v>81</v>
      </c>
      <c r="I187" s="6" t="s">
        <v>415</v>
      </c>
      <c r="J187" s="6" t="s">
        <v>86</v>
      </c>
    </row>
    <row r="188" customFormat="false" ht="23.85" hidden="false" customHeight="false" outlineLevel="0" collapsed="false">
      <c r="A188" s="6" t="s">
        <v>422</v>
      </c>
      <c r="B188" s="6" t="s">
        <v>1412</v>
      </c>
      <c r="C188" s="6" t="s">
        <v>423</v>
      </c>
      <c r="D188" s="6" t="s">
        <v>1375</v>
      </c>
      <c r="E188" s="6" t="s">
        <v>9</v>
      </c>
      <c r="F188" s="7" t="n">
        <v>0.576388888888889</v>
      </c>
      <c r="G188" s="6" t="s">
        <v>21</v>
      </c>
      <c r="H188" s="6" t="s">
        <v>81</v>
      </c>
      <c r="I188" s="6" t="s">
        <v>420</v>
      </c>
      <c r="J188" s="6" t="s">
        <v>64</v>
      </c>
    </row>
    <row r="189" customFormat="false" ht="23.85" hidden="false" customHeight="false" outlineLevel="0" collapsed="false">
      <c r="A189" s="6" t="s">
        <v>1716</v>
      </c>
      <c r="B189" s="6" t="s">
        <v>1412</v>
      </c>
      <c r="C189" s="6" t="s">
        <v>1717</v>
      </c>
      <c r="D189" s="6" t="s">
        <v>1375</v>
      </c>
      <c r="E189" s="6" t="s">
        <v>9</v>
      </c>
      <c r="F189" s="7" t="n">
        <v>0.576388888888889</v>
      </c>
      <c r="G189" s="6" t="s">
        <v>26</v>
      </c>
      <c r="H189" s="6" t="s">
        <v>134</v>
      </c>
      <c r="I189" s="6" t="s">
        <v>425</v>
      </c>
      <c r="J189" s="6" t="s">
        <v>255</v>
      </c>
    </row>
    <row r="190" customFormat="false" ht="23.85" hidden="false" customHeight="false" outlineLevel="0" collapsed="false">
      <c r="A190" s="6" t="s">
        <v>1718</v>
      </c>
      <c r="B190" s="6" t="s">
        <v>1719</v>
      </c>
      <c r="C190" s="6" t="s">
        <v>1720</v>
      </c>
      <c r="D190" s="6" t="s">
        <v>1375</v>
      </c>
      <c r="E190" s="6" t="s">
        <v>9</v>
      </c>
      <c r="F190" s="7" t="n">
        <v>0.576388888888889</v>
      </c>
      <c r="G190" s="6" t="s">
        <v>26</v>
      </c>
      <c r="H190" s="6" t="s">
        <v>134</v>
      </c>
      <c r="I190" s="6" t="s">
        <v>425</v>
      </c>
      <c r="J190" s="6" t="s">
        <v>255</v>
      </c>
    </row>
    <row r="191" customFormat="false" ht="23.85" hidden="false" customHeight="false" outlineLevel="0" collapsed="false">
      <c r="A191" s="6" t="s">
        <v>1598</v>
      </c>
      <c r="B191" s="6" t="s">
        <v>1599</v>
      </c>
      <c r="C191" s="6" t="s">
        <v>1600</v>
      </c>
      <c r="D191" s="6" t="s">
        <v>1375</v>
      </c>
      <c r="E191" s="6" t="s">
        <v>9</v>
      </c>
      <c r="F191" s="7" t="n">
        <v>0.576388888888889</v>
      </c>
      <c r="G191" s="6" t="s">
        <v>26</v>
      </c>
      <c r="H191" s="6" t="s">
        <v>134</v>
      </c>
      <c r="I191" s="6" t="s">
        <v>425</v>
      </c>
      <c r="J191" s="6" t="s">
        <v>255</v>
      </c>
    </row>
    <row r="192" customFormat="false" ht="23.85" hidden="false" customHeight="false" outlineLevel="0" collapsed="false">
      <c r="A192" s="6" t="s">
        <v>1721</v>
      </c>
      <c r="B192" s="6" t="s">
        <v>1722</v>
      </c>
      <c r="C192" s="6" t="s">
        <v>1723</v>
      </c>
      <c r="D192" s="6" t="s">
        <v>1375</v>
      </c>
      <c r="E192" s="6" t="s">
        <v>9</v>
      </c>
      <c r="F192" s="7" t="n">
        <v>0.576388888888889</v>
      </c>
      <c r="G192" s="6" t="s">
        <v>26</v>
      </c>
      <c r="H192" s="6" t="s">
        <v>134</v>
      </c>
      <c r="I192" s="6" t="s">
        <v>425</v>
      </c>
      <c r="J192" s="6" t="s">
        <v>255</v>
      </c>
    </row>
    <row r="193" customFormat="false" ht="23.85" hidden="false" customHeight="false" outlineLevel="0" collapsed="false">
      <c r="A193" s="6" t="s">
        <v>1686</v>
      </c>
      <c r="B193" s="6" t="s">
        <v>1687</v>
      </c>
      <c r="C193" s="6" t="s">
        <v>1688</v>
      </c>
      <c r="D193" s="6" t="s">
        <v>1375</v>
      </c>
      <c r="E193" s="6" t="s">
        <v>9</v>
      </c>
      <c r="F193" s="7" t="n">
        <v>0.576388888888889</v>
      </c>
      <c r="G193" s="6" t="s">
        <v>26</v>
      </c>
      <c r="H193" s="6" t="s">
        <v>134</v>
      </c>
      <c r="I193" s="6" t="s">
        <v>425</v>
      </c>
      <c r="J193" s="6" t="s">
        <v>255</v>
      </c>
    </row>
    <row r="194" customFormat="false" ht="23.85" hidden="false" customHeight="false" outlineLevel="0" collapsed="false">
      <c r="A194" s="6" t="s">
        <v>432</v>
      </c>
      <c r="B194" s="6" t="s">
        <v>1724</v>
      </c>
      <c r="C194" s="6" t="s">
        <v>433</v>
      </c>
      <c r="D194" s="6" t="s">
        <v>1375</v>
      </c>
      <c r="E194" s="6" t="s">
        <v>9</v>
      </c>
      <c r="F194" s="7" t="n">
        <v>0.576388888888889</v>
      </c>
      <c r="G194" s="6" t="s">
        <v>28</v>
      </c>
      <c r="H194" s="6" t="s">
        <v>81</v>
      </c>
      <c r="I194" s="6" t="s">
        <v>430</v>
      </c>
      <c r="J194" s="6" t="s">
        <v>114</v>
      </c>
    </row>
    <row r="195" customFormat="false" ht="23.85" hidden="false" customHeight="false" outlineLevel="0" collapsed="false">
      <c r="A195" s="6" t="s">
        <v>1725</v>
      </c>
      <c r="B195" s="6" t="s">
        <v>1726</v>
      </c>
      <c r="C195" s="6" t="s">
        <v>1727</v>
      </c>
      <c r="D195" s="6" t="s">
        <v>1375</v>
      </c>
      <c r="E195" s="6" t="s">
        <v>9</v>
      </c>
      <c r="F195" s="7" t="n">
        <v>0.576388888888889</v>
      </c>
      <c r="G195" s="6" t="s">
        <v>32</v>
      </c>
      <c r="H195" s="6" t="s">
        <v>134</v>
      </c>
      <c r="I195" s="6" t="s">
        <v>434</v>
      </c>
      <c r="J195" s="6" t="s">
        <v>108</v>
      </c>
    </row>
    <row r="196" customFormat="false" ht="23.85" hidden="false" customHeight="false" outlineLevel="0" collapsed="false">
      <c r="A196" s="6" t="s">
        <v>1633</v>
      </c>
      <c r="B196" s="6" t="s">
        <v>1634</v>
      </c>
      <c r="C196" s="6" t="s">
        <v>1635</v>
      </c>
      <c r="D196" s="6" t="s">
        <v>1375</v>
      </c>
      <c r="E196" s="6" t="s">
        <v>9</v>
      </c>
      <c r="F196" s="7" t="n">
        <v>0.576388888888889</v>
      </c>
      <c r="G196" s="6" t="s">
        <v>32</v>
      </c>
      <c r="H196" s="6" t="s">
        <v>134</v>
      </c>
      <c r="I196" s="6" t="s">
        <v>434</v>
      </c>
      <c r="J196" s="6" t="s">
        <v>108</v>
      </c>
    </row>
    <row r="197" customFormat="false" ht="23.85" hidden="false" customHeight="false" outlineLevel="0" collapsed="false">
      <c r="A197" s="6" t="s">
        <v>1728</v>
      </c>
      <c r="B197" s="6" t="s">
        <v>1729</v>
      </c>
      <c r="C197" s="6" t="s">
        <v>1730</v>
      </c>
      <c r="D197" s="6" t="s">
        <v>1375</v>
      </c>
      <c r="E197" s="6" t="s">
        <v>9</v>
      </c>
      <c r="F197" s="7" t="n">
        <v>0.576388888888889</v>
      </c>
      <c r="G197" s="6" t="s">
        <v>32</v>
      </c>
      <c r="H197" s="6" t="s">
        <v>134</v>
      </c>
      <c r="I197" s="6" t="s">
        <v>434</v>
      </c>
      <c r="J197" s="6" t="s">
        <v>108</v>
      </c>
    </row>
    <row r="198" customFormat="false" ht="23.85" hidden="false" customHeight="false" outlineLevel="0" collapsed="false">
      <c r="A198" s="6" t="s">
        <v>1401</v>
      </c>
      <c r="B198" s="6" t="s">
        <v>1402</v>
      </c>
      <c r="C198" s="6" t="s">
        <v>1403</v>
      </c>
      <c r="D198" s="6" t="s">
        <v>1375</v>
      </c>
      <c r="E198" s="6" t="s">
        <v>9</v>
      </c>
      <c r="F198" s="7" t="n">
        <v>0.576388888888889</v>
      </c>
      <c r="G198" s="6" t="s">
        <v>32</v>
      </c>
      <c r="H198" s="6" t="s">
        <v>134</v>
      </c>
      <c r="I198" s="6" t="s">
        <v>434</v>
      </c>
      <c r="J198" s="6" t="s">
        <v>108</v>
      </c>
    </row>
    <row r="199" customFormat="false" ht="23.85" hidden="false" customHeight="false" outlineLevel="0" collapsed="false">
      <c r="A199" s="6" t="s">
        <v>1731</v>
      </c>
      <c r="B199" s="6" t="s">
        <v>1732</v>
      </c>
      <c r="C199" s="6" t="s">
        <v>1733</v>
      </c>
      <c r="D199" s="6" t="s">
        <v>1375</v>
      </c>
      <c r="E199" s="6" t="s">
        <v>9</v>
      </c>
      <c r="F199" s="7" t="n">
        <v>0.576388888888889</v>
      </c>
      <c r="G199" s="6" t="s">
        <v>32</v>
      </c>
      <c r="H199" s="6" t="s">
        <v>134</v>
      </c>
      <c r="I199" s="6" t="s">
        <v>434</v>
      </c>
      <c r="J199" s="6" t="s">
        <v>108</v>
      </c>
    </row>
    <row r="200" customFormat="false" ht="23.85" hidden="false" customHeight="false" outlineLevel="0" collapsed="false">
      <c r="A200" s="6" t="s">
        <v>1734</v>
      </c>
      <c r="B200" s="6" t="s">
        <v>1735</v>
      </c>
      <c r="C200" s="6" t="s">
        <v>85</v>
      </c>
      <c r="D200" s="6" t="s">
        <v>1375</v>
      </c>
      <c r="E200" s="6" t="s">
        <v>9</v>
      </c>
      <c r="F200" s="7" t="n">
        <v>0.576388888888889</v>
      </c>
      <c r="G200" s="6" t="s">
        <v>32</v>
      </c>
      <c r="H200" s="6" t="s">
        <v>134</v>
      </c>
      <c r="I200" s="6" t="s">
        <v>434</v>
      </c>
      <c r="J200" s="6" t="s">
        <v>108</v>
      </c>
    </row>
    <row r="201" customFormat="false" ht="23.85" hidden="false" customHeight="false" outlineLevel="0" collapsed="false">
      <c r="A201" s="6" t="s">
        <v>1404</v>
      </c>
      <c r="B201" s="6" t="s">
        <v>1405</v>
      </c>
      <c r="C201" s="6" t="s">
        <v>1406</v>
      </c>
      <c r="D201" s="6" t="s">
        <v>1375</v>
      </c>
      <c r="E201" s="6" t="s">
        <v>9</v>
      </c>
      <c r="F201" s="7" t="n">
        <v>0.576388888888889</v>
      </c>
      <c r="G201" s="6" t="s">
        <v>32</v>
      </c>
      <c r="H201" s="6" t="s">
        <v>134</v>
      </c>
      <c r="I201" s="6" t="s">
        <v>434</v>
      </c>
      <c r="J201" s="6" t="s">
        <v>108</v>
      </c>
    </row>
    <row r="202" customFormat="false" ht="15" hidden="false" customHeight="false" outlineLevel="0" collapsed="false">
      <c r="A202" s="6" t="s">
        <v>441</v>
      </c>
      <c r="B202" s="6" t="s">
        <v>1736</v>
      </c>
      <c r="C202" s="6" t="s">
        <v>388</v>
      </c>
      <c r="D202" s="6" t="s">
        <v>1375</v>
      </c>
      <c r="E202" s="6" t="s">
        <v>9</v>
      </c>
      <c r="F202" s="7" t="n">
        <v>0.576388888888889</v>
      </c>
      <c r="G202" s="6" t="s">
        <v>25</v>
      </c>
      <c r="H202" s="6" t="s">
        <v>81</v>
      </c>
      <c r="I202" s="6" t="s">
        <v>439</v>
      </c>
      <c r="J202" s="6" t="s">
        <v>92</v>
      </c>
    </row>
    <row r="203" customFormat="false" ht="23.85" hidden="false" customHeight="false" outlineLevel="0" collapsed="false">
      <c r="A203" s="6" t="s">
        <v>1737</v>
      </c>
      <c r="B203" s="6" t="s">
        <v>1738</v>
      </c>
      <c r="C203" s="6" t="s">
        <v>1642</v>
      </c>
      <c r="D203" s="6" t="s">
        <v>1375</v>
      </c>
      <c r="E203" s="6" t="s">
        <v>9</v>
      </c>
      <c r="F203" s="7" t="n">
        <v>0.586805555555556</v>
      </c>
      <c r="G203" s="6" t="s">
        <v>28</v>
      </c>
      <c r="H203" s="6" t="s">
        <v>134</v>
      </c>
      <c r="I203" s="6" t="s">
        <v>442</v>
      </c>
      <c r="J203" s="6" t="s">
        <v>114</v>
      </c>
    </row>
    <row r="204" customFormat="false" ht="15" hidden="false" customHeight="false" outlineLevel="0" collapsed="false">
      <c r="A204" s="6" t="s">
        <v>1739</v>
      </c>
      <c r="B204" s="6" t="s">
        <v>1740</v>
      </c>
      <c r="C204" s="6" t="s">
        <v>1741</v>
      </c>
      <c r="D204" s="6" t="s">
        <v>1375</v>
      </c>
      <c r="E204" s="6" t="s">
        <v>9</v>
      </c>
      <c r="F204" s="7" t="n">
        <v>0.586805555555556</v>
      </c>
      <c r="G204" s="6" t="s">
        <v>28</v>
      </c>
      <c r="H204" s="6" t="s">
        <v>134</v>
      </c>
      <c r="I204" s="6" t="s">
        <v>442</v>
      </c>
      <c r="J204" s="6" t="s">
        <v>114</v>
      </c>
    </row>
    <row r="205" customFormat="false" ht="15" hidden="false" customHeight="false" outlineLevel="0" collapsed="false">
      <c r="A205" s="6" t="s">
        <v>1742</v>
      </c>
      <c r="B205" s="6" t="s">
        <v>1743</v>
      </c>
      <c r="C205" s="6" t="s">
        <v>1683</v>
      </c>
      <c r="D205" s="6" t="s">
        <v>1375</v>
      </c>
      <c r="E205" s="6" t="s">
        <v>9</v>
      </c>
      <c r="F205" s="7" t="n">
        <v>0.586805555555556</v>
      </c>
      <c r="G205" s="6" t="s">
        <v>28</v>
      </c>
      <c r="H205" s="6" t="s">
        <v>134</v>
      </c>
      <c r="I205" s="6" t="s">
        <v>442</v>
      </c>
      <c r="J205" s="6" t="s">
        <v>114</v>
      </c>
    </row>
    <row r="206" customFormat="false" ht="15" hidden="false" customHeight="false" outlineLevel="0" collapsed="false">
      <c r="A206" s="6" t="s">
        <v>1744</v>
      </c>
      <c r="B206" s="6" t="s">
        <v>1745</v>
      </c>
      <c r="C206" s="6" t="s">
        <v>1746</v>
      </c>
      <c r="D206" s="6" t="s">
        <v>1375</v>
      </c>
      <c r="E206" s="6" t="s">
        <v>9</v>
      </c>
      <c r="F206" s="7" t="n">
        <v>0.586805555555556</v>
      </c>
      <c r="G206" s="6" t="s">
        <v>28</v>
      </c>
      <c r="H206" s="6" t="s">
        <v>134</v>
      </c>
      <c r="I206" s="6" t="s">
        <v>442</v>
      </c>
      <c r="J206" s="6" t="s">
        <v>114</v>
      </c>
    </row>
    <row r="207" customFormat="false" ht="15" hidden="false" customHeight="false" outlineLevel="0" collapsed="false">
      <c r="A207" s="6" t="s">
        <v>1747</v>
      </c>
      <c r="B207" s="6" t="s">
        <v>1748</v>
      </c>
      <c r="C207" s="6" t="s">
        <v>1749</v>
      </c>
      <c r="D207" s="6" t="s">
        <v>1375</v>
      </c>
      <c r="E207" s="6" t="s">
        <v>9</v>
      </c>
      <c r="F207" s="7" t="n">
        <v>0.586805555555556</v>
      </c>
      <c r="G207" s="6" t="s">
        <v>28</v>
      </c>
      <c r="H207" s="6" t="s">
        <v>134</v>
      </c>
      <c r="I207" s="6" t="s">
        <v>442</v>
      </c>
      <c r="J207" s="6" t="s">
        <v>114</v>
      </c>
    </row>
    <row r="208" customFormat="false" ht="15" hidden="false" customHeight="false" outlineLevel="0" collapsed="false">
      <c r="A208" s="6" t="s">
        <v>1750</v>
      </c>
      <c r="B208" s="6" t="s">
        <v>1751</v>
      </c>
      <c r="C208" s="6" t="s">
        <v>388</v>
      </c>
      <c r="D208" s="6" t="s">
        <v>1375</v>
      </c>
      <c r="E208" s="6" t="s">
        <v>9</v>
      </c>
      <c r="F208" s="7" t="n">
        <v>0.586805555555556</v>
      </c>
      <c r="G208" s="6" t="s">
        <v>28</v>
      </c>
      <c r="H208" s="6" t="s">
        <v>134</v>
      </c>
      <c r="I208" s="6" t="s">
        <v>442</v>
      </c>
      <c r="J208" s="6" t="s">
        <v>114</v>
      </c>
    </row>
    <row r="209" customFormat="false" ht="15" hidden="false" customHeight="false" outlineLevel="0" collapsed="false">
      <c r="A209" s="6" t="s">
        <v>1752</v>
      </c>
      <c r="B209" s="6" t="s">
        <v>1442</v>
      </c>
      <c r="C209" s="6" t="s">
        <v>1753</v>
      </c>
      <c r="D209" s="6" t="s">
        <v>1375</v>
      </c>
      <c r="E209" s="6" t="s">
        <v>9</v>
      </c>
      <c r="F209" s="7" t="n">
        <v>0.586805555555556</v>
      </c>
      <c r="G209" s="6" t="s">
        <v>28</v>
      </c>
      <c r="H209" s="6" t="s">
        <v>134</v>
      </c>
      <c r="I209" s="6" t="s">
        <v>442</v>
      </c>
      <c r="J209" s="6" t="s">
        <v>114</v>
      </c>
    </row>
    <row r="210" customFormat="false" ht="15" hidden="false" customHeight="false" outlineLevel="0" collapsed="false">
      <c r="A210" s="6" t="s">
        <v>1754</v>
      </c>
      <c r="B210" s="6" t="s">
        <v>1755</v>
      </c>
      <c r="C210" s="6" t="s">
        <v>1756</v>
      </c>
      <c r="D210" s="6" t="s">
        <v>1375</v>
      </c>
      <c r="E210" s="6" t="s">
        <v>9</v>
      </c>
      <c r="F210" s="7" t="n">
        <v>0.586805555555556</v>
      </c>
      <c r="G210" s="6" t="s">
        <v>34</v>
      </c>
      <c r="H210" s="6" t="s">
        <v>215</v>
      </c>
      <c r="I210" s="6" t="s">
        <v>447</v>
      </c>
      <c r="J210" s="6" t="s">
        <v>103</v>
      </c>
    </row>
    <row r="211" customFormat="false" ht="15" hidden="false" customHeight="false" outlineLevel="0" collapsed="false">
      <c r="A211" s="6" t="s">
        <v>1757</v>
      </c>
      <c r="B211" s="6" t="s">
        <v>1758</v>
      </c>
      <c r="C211" s="6" t="s">
        <v>1759</v>
      </c>
      <c r="D211" s="6" t="s">
        <v>1375</v>
      </c>
      <c r="E211" s="6" t="s">
        <v>9</v>
      </c>
      <c r="F211" s="7" t="n">
        <v>0.586805555555556</v>
      </c>
      <c r="G211" s="6" t="s">
        <v>34</v>
      </c>
      <c r="H211" s="6" t="s">
        <v>215</v>
      </c>
      <c r="I211" s="6" t="s">
        <v>447</v>
      </c>
      <c r="J211" s="6" t="s">
        <v>103</v>
      </c>
    </row>
    <row r="212" customFormat="false" ht="15" hidden="false" customHeight="false" outlineLevel="0" collapsed="false">
      <c r="A212" s="6" t="s">
        <v>1760</v>
      </c>
      <c r="B212" s="6" t="s">
        <v>1761</v>
      </c>
      <c r="C212" s="6" t="s">
        <v>1762</v>
      </c>
      <c r="D212" s="6" t="s">
        <v>1375</v>
      </c>
      <c r="E212" s="6" t="s">
        <v>9</v>
      </c>
      <c r="F212" s="7" t="n">
        <v>0.586805555555556</v>
      </c>
      <c r="G212" s="6" t="s">
        <v>34</v>
      </c>
      <c r="H212" s="6" t="s">
        <v>215</v>
      </c>
      <c r="I212" s="6" t="s">
        <v>447</v>
      </c>
      <c r="J212" s="6" t="s">
        <v>103</v>
      </c>
    </row>
    <row r="213" customFormat="false" ht="15" hidden="false" customHeight="false" outlineLevel="0" collapsed="false">
      <c r="A213" s="6" t="s">
        <v>1763</v>
      </c>
      <c r="B213" s="6" t="s">
        <v>1764</v>
      </c>
      <c r="C213" s="6" t="s">
        <v>1765</v>
      </c>
      <c r="D213" s="6" t="s">
        <v>1375</v>
      </c>
      <c r="E213" s="6" t="s">
        <v>9</v>
      </c>
      <c r="F213" s="7" t="n">
        <v>0.586805555555556</v>
      </c>
      <c r="G213" s="6" t="s">
        <v>34</v>
      </c>
      <c r="H213" s="6" t="s">
        <v>215</v>
      </c>
      <c r="I213" s="6" t="s">
        <v>447</v>
      </c>
      <c r="J213" s="6" t="s">
        <v>103</v>
      </c>
    </row>
    <row r="214" customFormat="false" ht="15" hidden="false" customHeight="false" outlineLevel="0" collapsed="false">
      <c r="A214" s="6" t="s">
        <v>1766</v>
      </c>
      <c r="B214" s="6" t="s">
        <v>1675</v>
      </c>
      <c r="C214" s="6" t="s">
        <v>1767</v>
      </c>
      <c r="D214" s="6" t="s">
        <v>1375</v>
      </c>
      <c r="E214" s="6" t="s">
        <v>9</v>
      </c>
      <c r="F214" s="7" t="n">
        <v>0.586805555555556</v>
      </c>
      <c r="G214" s="6" t="s">
        <v>34</v>
      </c>
      <c r="H214" s="6" t="s">
        <v>215</v>
      </c>
      <c r="I214" s="6" t="s">
        <v>447</v>
      </c>
      <c r="J214" s="6" t="s">
        <v>103</v>
      </c>
    </row>
    <row r="215" customFormat="false" ht="23.85" hidden="false" customHeight="false" outlineLevel="0" collapsed="false">
      <c r="A215" s="6" t="s">
        <v>378</v>
      </c>
      <c r="B215" s="6" t="s">
        <v>1685</v>
      </c>
      <c r="C215" s="6" t="s">
        <v>379</v>
      </c>
      <c r="D215" s="6" t="s">
        <v>1375</v>
      </c>
      <c r="E215" s="6" t="s">
        <v>9</v>
      </c>
      <c r="F215" s="7" t="n">
        <v>0.586805555555556</v>
      </c>
      <c r="G215" s="6" t="s">
        <v>25</v>
      </c>
      <c r="H215" s="6" t="s">
        <v>134</v>
      </c>
      <c r="I215" s="6" t="s">
        <v>452</v>
      </c>
      <c r="J215" s="6" t="s">
        <v>92</v>
      </c>
    </row>
    <row r="216" customFormat="false" ht="23.85" hidden="false" customHeight="false" outlineLevel="0" collapsed="false">
      <c r="A216" s="6" t="s">
        <v>1768</v>
      </c>
      <c r="B216" s="6" t="s">
        <v>1769</v>
      </c>
      <c r="C216" s="6" t="s">
        <v>1770</v>
      </c>
      <c r="D216" s="6" t="s">
        <v>1375</v>
      </c>
      <c r="E216" s="6" t="s">
        <v>9</v>
      </c>
      <c r="F216" s="7" t="n">
        <v>0.586805555555556</v>
      </c>
      <c r="G216" s="6" t="s">
        <v>25</v>
      </c>
      <c r="H216" s="6" t="s">
        <v>134</v>
      </c>
      <c r="I216" s="6" t="s">
        <v>452</v>
      </c>
      <c r="J216" s="6" t="s">
        <v>92</v>
      </c>
    </row>
    <row r="217" customFormat="false" ht="23.85" hidden="false" customHeight="false" outlineLevel="0" collapsed="false">
      <c r="A217" s="6" t="s">
        <v>1771</v>
      </c>
      <c r="B217" s="6" t="s">
        <v>1772</v>
      </c>
      <c r="C217" s="6" t="s">
        <v>1773</v>
      </c>
      <c r="D217" s="6" t="s">
        <v>1375</v>
      </c>
      <c r="E217" s="6" t="s">
        <v>9</v>
      </c>
      <c r="F217" s="7" t="n">
        <v>0.586805555555556</v>
      </c>
      <c r="G217" s="6" t="s">
        <v>25</v>
      </c>
      <c r="H217" s="6" t="s">
        <v>134</v>
      </c>
      <c r="I217" s="6" t="s">
        <v>452</v>
      </c>
      <c r="J217" s="6" t="s">
        <v>92</v>
      </c>
    </row>
    <row r="218" customFormat="false" ht="23.85" hidden="false" customHeight="false" outlineLevel="0" collapsed="false">
      <c r="A218" s="6" t="s">
        <v>1392</v>
      </c>
      <c r="B218" s="6" t="s">
        <v>1393</v>
      </c>
      <c r="C218" s="6" t="s">
        <v>1394</v>
      </c>
      <c r="D218" s="6" t="s">
        <v>1375</v>
      </c>
      <c r="E218" s="6" t="s">
        <v>9</v>
      </c>
      <c r="F218" s="7" t="n">
        <v>0.586805555555556</v>
      </c>
      <c r="G218" s="6" t="s">
        <v>25</v>
      </c>
      <c r="H218" s="6" t="s">
        <v>134</v>
      </c>
      <c r="I218" s="6" t="s">
        <v>452</v>
      </c>
      <c r="J218" s="6" t="s">
        <v>92</v>
      </c>
    </row>
    <row r="219" customFormat="false" ht="15" hidden="false" customHeight="false" outlineLevel="0" collapsed="false">
      <c r="A219" s="6" t="s">
        <v>1774</v>
      </c>
      <c r="B219" s="6" t="s">
        <v>1775</v>
      </c>
      <c r="C219" s="6" t="s">
        <v>1422</v>
      </c>
      <c r="D219" s="6" t="s">
        <v>1375</v>
      </c>
      <c r="E219" s="6" t="s">
        <v>9</v>
      </c>
      <c r="F219" s="7" t="n">
        <v>0.586805555555556</v>
      </c>
      <c r="G219" s="6" t="s">
        <v>24</v>
      </c>
      <c r="H219" s="6" t="s">
        <v>134</v>
      </c>
      <c r="I219" s="6" t="s">
        <v>457</v>
      </c>
      <c r="J219" s="6" t="s">
        <v>80</v>
      </c>
    </row>
    <row r="220" customFormat="false" ht="15" hidden="false" customHeight="false" outlineLevel="0" collapsed="false">
      <c r="A220" s="6" t="s">
        <v>1776</v>
      </c>
      <c r="B220" s="6" t="s">
        <v>1775</v>
      </c>
      <c r="C220" s="6" t="s">
        <v>1777</v>
      </c>
      <c r="D220" s="6" t="s">
        <v>1375</v>
      </c>
      <c r="E220" s="6" t="s">
        <v>9</v>
      </c>
      <c r="F220" s="7" t="n">
        <v>0.586805555555556</v>
      </c>
      <c r="G220" s="6" t="s">
        <v>24</v>
      </c>
      <c r="H220" s="6" t="s">
        <v>134</v>
      </c>
      <c r="I220" s="6" t="s">
        <v>457</v>
      </c>
      <c r="J220" s="6" t="s">
        <v>80</v>
      </c>
    </row>
    <row r="221" customFormat="false" ht="15" hidden="false" customHeight="false" outlineLevel="0" collapsed="false">
      <c r="A221" s="6" t="s">
        <v>1563</v>
      </c>
      <c r="B221" s="6" t="s">
        <v>1564</v>
      </c>
      <c r="C221" s="6" t="s">
        <v>1565</v>
      </c>
      <c r="D221" s="6" t="s">
        <v>1375</v>
      </c>
      <c r="E221" s="6" t="s">
        <v>9</v>
      </c>
      <c r="F221" s="7" t="n">
        <v>0.586805555555556</v>
      </c>
      <c r="G221" s="6" t="s">
        <v>24</v>
      </c>
      <c r="H221" s="6" t="s">
        <v>134</v>
      </c>
      <c r="I221" s="6" t="s">
        <v>457</v>
      </c>
      <c r="J221" s="6" t="s">
        <v>80</v>
      </c>
    </row>
    <row r="222" customFormat="false" ht="15" hidden="false" customHeight="false" outlineLevel="0" collapsed="false">
      <c r="A222" s="6" t="s">
        <v>1778</v>
      </c>
      <c r="B222" s="6" t="s">
        <v>1779</v>
      </c>
      <c r="C222" s="6" t="s">
        <v>727</v>
      </c>
      <c r="D222" s="6" t="s">
        <v>1375</v>
      </c>
      <c r="E222" s="6" t="s">
        <v>9</v>
      </c>
      <c r="F222" s="7" t="n">
        <v>0.586805555555556</v>
      </c>
      <c r="G222" s="6" t="s">
        <v>24</v>
      </c>
      <c r="H222" s="6" t="s">
        <v>134</v>
      </c>
      <c r="I222" s="6" t="s">
        <v>457</v>
      </c>
      <c r="J222" s="6" t="s">
        <v>80</v>
      </c>
    </row>
    <row r="223" customFormat="false" ht="15" hidden="false" customHeight="false" outlineLevel="0" collapsed="false">
      <c r="A223" s="6" t="s">
        <v>1780</v>
      </c>
      <c r="B223" s="6" t="s">
        <v>1564</v>
      </c>
      <c r="C223" s="6" t="s">
        <v>1781</v>
      </c>
      <c r="D223" s="6" t="s">
        <v>1375</v>
      </c>
      <c r="E223" s="6" t="s">
        <v>9</v>
      </c>
      <c r="F223" s="7" t="n">
        <v>0.586805555555556</v>
      </c>
      <c r="G223" s="6" t="s">
        <v>24</v>
      </c>
      <c r="H223" s="6" t="s">
        <v>134</v>
      </c>
      <c r="I223" s="6" t="s">
        <v>457</v>
      </c>
      <c r="J223" s="6" t="s">
        <v>80</v>
      </c>
    </row>
    <row r="224" customFormat="false" ht="15" hidden="false" customHeight="false" outlineLevel="0" collapsed="false">
      <c r="A224" s="6" t="s">
        <v>1782</v>
      </c>
      <c r="B224" s="6" t="s">
        <v>1783</v>
      </c>
      <c r="C224" s="6" t="s">
        <v>1784</v>
      </c>
      <c r="D224" s="6" t="s">
        <v>1375</v>
      </c>
      <c r="E224" s="6" t="s">
        <v>9</v>
      </c>
      <c r="F224" s="7" t="n">
        <v>0.586805555555556</v>
      </c>
      <c r="G224" s="6" t="s">
        <v>24</v>
      </c>
      <c r="H224" s="6" t="s">
        <v>134</v>
      </c>
      <c r="I224" s="6" t="s">
        <v>457</v>
      </c>
      <c r="J224" s="6" t="s">
        <v>80</v>
      </c>
    </row>
    <row r="225" customFormat="false" ht="15" hidden="false" customHeight="false" outlineLevel="0" collapsed="false">
      <c r="A225" s="6" t="s">
        <v>1785</v>
      </c>
      <c r="B225" s="6" t="s">
        <v>1786</v>
      </c>
      <c r="C225" s="6" t="s">
        <v>1787</v>
      </c>
      <c r="D225" s="6" t="s">
        <v>1375</v>
      </c>
      <c r="E225" s="6" t="s">
        <v>9</v>
      </c>
      <c r="F225" s="7" t="n">
        <v>0.586805555555556</v>
      </c>
      <c r="G225" s="6" t="s">
        <v>24</v>
      </c>
      <c r="H225" s="6" t="s">
        <v>134</v>
      </c>
      <c r="I225" s="6" t="s">
        <v>457</v>
      </c>
      <c r="J225" s="6" t="s">
        <v>80</v>
      </c>
    </row>
    <row r="226" customFormat="false" ht="23.85" hidden="false" customHeight="false" outlineLevel="0" collapsed="false">
      <c r="A226" s="6" t="s">
        <v>375</v>
      </c>
      <c r="B226" s="6" t="s">
        <v>1684</v>
      </c>
      <c r="C226" s="6" t="s">
        <v>85</v>
      </c>
      <c r="D226" s="6" t="s">
        <v>1375</v>
      </c>
      <c r="E226" s="6" t="s">
        <v>9</v>
      </c>
      <c r="F226" s="7" t="n">
        <v>0.586805555555556</v>
      </c>
      <c r="G226" s="6" t="s">
        <v>27</v>
      </c>
      <c r="H226" s="6" t="s">
        <v>215</v>
      </c>
      <c r="I226" s="6" t="s">
        <v>462</v>
      </c>
      <c r="J226" s="6" t="s">
        <v>86</v>
      </c>
    </row>
    <row r="227" customFormat="false" ht="23.85" hidden="false" customHeight="false" outlineLevel="0" collapsed="false">
      <c r="A227" s="6" t="s">
        <v>1788</v>
      </c>
      <c r="B227" s="6" t="s">
        <v>1644</v>
      </c>
      <c r="C227" s="6" t="s">
        <v>1605</v>
      </c>
      <c r="D227" s="6" t="s">
        <v>1375</v>
      </c>
      <c r="E227" s="6" t="s">
        <v>9</v>
      </c>
      <c r="F227" s="7" t="n">
        <v>0.586805555555556</v>
      </c>
      <c r="G227" s="6" t="s">
        <v>27</v>
      </c>
      <c r="H227" s="6" t="s">
        <v>215</v>
      </c>
      <c r="I227" s="6" t="s">
        <v>462</v>
      </c>
      <c r="J227" s="6" t="s">
        <v>86</v>
      </c>
    </row>
    <row r="228" customFormat="false" ht="23.85" hidden="false" customHeight="false" outlineLevel="0" collapsed="false">
      <c r="A228" s="6" t="s">
        <v>1789</v>
      </c>
      <c r="B228" s="6" t="s">
        <v>1790</v>
      </c>
      <c r="C228" s="6" t="s">
        <v>1791</v>
      </c>
      <c r="D228" s="6" t="s">
        <v>1375</v>
      </c>
      <c r="E228" s="6" t="s">
        <v>9</v>
      </c>
      <c r="F228" s="7" t="n">
        <v>0.586805555555556</v>
      </c>
      <c r="G228" s="6" t="s">
        <v>27</v>
      </c>
      <c r="H228" s="6" t="s">
        <v>215</v>
      </c>
      <c r="I228" s="6" t="s">
        <v>462</v>
      </c>
      <c r="J228" s="6" t="s">
        <v>86</v>
      </c>
    </row>
    <row r="229" customFormat="false" ht="23.85" hidden="false" customHeight="false" outlineLevel="0" collapsed="false">
      <c r="A229" s="6" t="s">
        <v>1792</v>
      </c>
      <c r="B229" s="6" t="s">
        <v>1793</v>
      </c>
      <c r="C229" s="6" t="s">
        <v>1794</v>
      </c>
      <c r="D229" s="6" t="s">
        <v>1375</v>
      </c>
      <c r="E229" s="6" t="s">
        <v>9</v>
      </c>
      <c r="F229" s="7" t="n">
        <v>0.586805555555556</v>
      </c>
      <c r="G229" s="6" t="s">
        <v>27</v>
      </c>
      <c r="H229" s="6" t="s">
        <v>215</v>
      </c>
      <c r="I229" s="6" t="s">
        <v>462</v>
      </c>
      <c r="J229" s="6" t="s">
        <v>86</v>
      </c>
    </row>
    <row r="230" customFormat="false" ht="23.85" hidden="false" customHeight="false" outlineLevel="0" collapsed="false">
      <c r="A230" s="6" t="s">
        <v>1795</v>
      </c>
      <c r="B230" s="6" t="s">
        <v>1466</v>
      </c>
      <c r="C230" s="6" t="s">
        <v>1796</v>
      </c>
      <c r="D230" s="6" t="s">
        <v>1375</v>
      </c>
      <c r="E230" s="6" t="s">
        <v>9</v>
      </c>
      <c r="F230" s="7" t="n">
        <v>0.586805555555556</v>
      </c>
      <c r="G230" s="6" t="s">
        <v>27</v>
      </c>
      <c r="H230" s="6" t="s">
        <v>215</v>
      </c>
      <c r="I230" s="6" t="s">
        <v>462</v>
      </c>
      <c r="J230" s="6" t="s">
        <v>86</v>
      </c>
    </row>
    <row r="231" customFormat="false" ht="23.85" hidden="false" customHeight="false" outlineLevel="0" collapsed="false">
      <c r="A231" s="6" t="s">
        <v>1477</v>
      </c>
      <c r="B231" s="6" t="s">
        <v>1478</v>
      </c>
      <c r="C231" s="6" t="s">
        <v>1479</v>
      </c>
      <c r="D231" s="6" t="s">
        <v>1375</v>
      </c>
      <c r="E231" s="6" t="s">
        <v>9</v>
      </c>
      <c r="F231" s="7" t="n">
        <v>0.586805555555556</v>
      </c>
      <c r="G231" s="6" t="s">
        <v>27</v>
      </c>
      <c r="H231" s="6" t="s">
        <v>215</v>
      </c>
      <c r="I231" s="6" t="s">
        <v>462</v>
      </c>
      <c r="J231" s="6" t="s">
        <v>86</v>
      </c>
    </row>
    <row r="232" customFormat="false" ht="23.85" hidden="false" customHeight="false" outlineLevel="0" collapsed="false">
      <c r="A232" s="6" t="s">
        <v>1797</v>
      </c>
      <c r="B232" s="6" t="s">
        <v>1798</v>
      </c>
      <c r="C232" s="6" t="s">
        <v>1799</v>
      </c>
      <c r="D232" s="6" t="s">
        <v>1375</v>
      </c>
      <c r="E232" s="6" t="s">
        <v>9</v>
      </c>
      <c r="F232" s="7" t="n">
        <v>0.586805555555556</v>
      </c>
      <c r="G232" s="6" t="s">
        <v>21</v>
      </c>
      <c r="H232" s="6" t="s">
        <v>134</v>
      </c>
      <c r="I232" s="6" t="s">
        <v>467</v>
      </c>
      <c r="J232" s="6" t="s">
        <v>64</v>
      </c>
    </row>
    <row r="233" customFormat="false" ht="23.85" hidden="false" customHeight="false" outlineLevel="0" collapsed="false">
      <c r="A233" s="6" t="s">
        <v>1800</v>
      </c>
      <c r="B233" s="6" t="s">
        <v>1798</v>
      </c>
      <c r="C233" s="6" t="s">
        <v>587</v>
      </c>
      <c r="D233" s="6" t="s">
        <v>1375</v>
      </c>
      <c r="E233" s="6" t="s">
        <v>9</v>
      </c>
      <c r="F233" s="7" t="n">
        <v>0.586805555555556</v>
      </c>
      <c r="G233" s="6" t="s">
        <v>21</v>
      </c>
      <c r="H233" s="6" t="s">
        <v>134</v>
      </c>
      <c r="I233" s="6" t="s">
        <v>467</v>
      </c>
      <c r="J233" s="6" t="s">
        <v>64</v>
      </c>
    </row>
    <row r="234" customFormat="false" ht="23.85" hidden="false" customHeight="false" outlineLevel="0" collapsed="false">
      <c r="A234" s="6" t="s">
        <v>1801</v>
      </c>
      <c r="B234" s="6" t="s">
        <v>1802</v>
      </c>
      <c r="C234" s="6" t="s">
        <v>1803</v>
      </c>
      <c r="D234" s="6" t="s">
        <v>1375</v>
      </c>
      <c r="E234" s="6" t="s">
        <v>9</v>
      </c>
      <c r="F234" s="7" t="n">
        <v>0.586805555555556</v>
      </c>
      <c r="G234" s="6" t="s">
        <v>21</v>
      </c>
      <c r="H234" s="6" t="s">
        <v>134</v>
      </c>
      <c r="I234" s="6" t="s">
        <v>467</v>
      </c>
      <c r="J234" s="6" t="s">
        <v>64</v>
      </c>
    </row>
    <row r="235" customFormat="false" ht="23.85" hidden="false" customHeight="false" outlineLevel="0" collapsed="false">
      <c r="A235" s="6" t="s">
        <v>1804</v>
      </c>
      <c r="B235" s="6" t="s">
        <v>1805</v>
      </c>
      <c r="C235" s="6" t="s">
        <v>1806</v>
      </c>
      <c r="D235" s="6" t="s">
        <v>1375</v>
      </c>
      <c r="E235" s="6" t="s">
        <v>9</v>
      </c>
      <c r="F235" s="7" t="n">
        <v>0.586805555555556</v>
      </c>
      <c r="G235" s="6" t="s">
        <v>21</v>
      </c>
      <c r="H235" s="6" t="s">
        <v>134</v>
      </c>
      <c r="I235" s="6" t="s">
        <v>467</v>
      </c>
      <c r="J235" s="6" t="s">
        <v>64</v>
      </c>
    </row>
    <row r="236" customFormat="false" ht="23.85" hidden="false" customHeight="false" outlineLevel="0" collapsed="false">
      <c r="A236" s="6" t="s">
        <v>1397</v>
      </c>
      <c r="B236" s="6" t="s">
        <v>1398</v>
      </c>
      <c r="C236" s="6" t="s">
        <v>1399</v>
      </c>
      <c r="D236" s="6" t="s">
        <v>1375</v>
      </c>
      <c r="E236" s="6" t="s">
        <v>9</v>
      </c>
      <c r="F236" s="7" t="n">
        <v>0.586805555555556</v>
      </c>
      <c r="G236" s="6" t="s">
        <v>21</v>
      </c>
      <c r="H236" s="6" t="s">
        <v>134</v>
      </c>
      <c r="I236" s="6" t="s">
        <v>467</v>
      </c>
      <c r="J236" s="6" t="s">
        <v>64</v>
      </c>
    </row>
    <row r="237" customFormat="false" ht="23.85" hidden="false" customHeight="false" outlineLevel="0" collapsed="false">
      <c r="A237" s="6" t="s">
        <v>210</v>
      </c>
      <c r="B237" s="6"/>
      <c r="C237" s="6" t="s">
        <v>211</v>
      </c>
      <c r="D237" s="6" t="s">
        <v>1375</v>
      </c>
      <c r="E237" s="6" t="s">
        <v>9</v>
      </c>
      <c r="F237" s="7" t="n">
        <v>0.618055555555556</v>
      </c>
      <c r="G237" s="6" t="s">
        <v>31</v>
      </c>
      <c r="H237" s="6" t="s">
        <v>31</v>
      </c>
      <c r="I237" s="6" t="s">
        <v>472</v>
      </c>
      <c r="J237" s="6" t="s">
        <v>212</v>
      </c>
    </row>
    <row r="238" customFormat="false" ht="23.85" hidden="false" customHeight="false" outlineLevel="0" collapsed="false">
      <c r="A238" s="6" t="s">
        <v>475</v>
      </c>
      <c r="B238" s="6" t="s">
        <v>1807</v>
      </c>
      <c r="C238" s="6" t="s">
        <v>476</v>
      </c>
      <c r="D238" s="6" t="s">
        <v>1375</v>
      </c>
      <c r="E238" s="6" t="s">
        <v>9</v>
      </c>
      <c r="F238" s="7" t="n">
        <v>0.659722222222222</v>
      </c>
      <c r="G238" s="6" t="s">
        <v>24</v>
      </c>
      <c r="H238" s="6" t="s">
        <v>81</v>
      </c>
      <c r="I238" s="6" t="s">
        <v>473</v>
      </c>
      <c r="J238" s="6" t="s">
        <v>80</v>
      </c>
    </row>
    <row r="239" customFormat="false" ht="23.85" hidden="false" customHeight="false" outlineLevel="0" collapsed="false">
      <c r="A239" s="6" t="s">
        <v>1704</v>
      </c>
      <c r="B239" s="6" t="s">
        <v>1691</v>
      </c>
      <c r="C239" s="6" t="s">
        <v>1705</v>
      </c>
      <c r="D239" s="6" t="s">
        <v>1375</v>
      </c>
      <c r="E239" s="6" t="s">
        <v>9</v>
      </c>
      <c r="F239" s="7" t="n">
        <v>0.659722222222222</v>
      </c>
      <c r="G239" s="6" t="s">
        <v>38</v>
      </c>
      <c r="H239" s="6" t="s">
        <v>67</v>
      </c>
      <c r="I239" s="6" t="s">
        <v>477</v>
      </c>
      <c r="J239" s="6" t="s">
        <v>97</v>
      </c>
    </row>
    <row r="240" customFormat="false" ht="23.85" hidden="false" customHeight="false" outlineLevel="0" collapsed="false">
      <c r="A240" s="6" t="s">
        <v>1808</v>
      </c>
      <c r="B240" s="6" t="s">
        <v>1809</v>
      </c>
      <c r="C240" s="6" t="s">
        <v>1705</v>
      </c>
      <c r="D240" s="6" t="s">
        <v>1375</v>
      </c>
      <c r="E240" s="6" t="s">
        <v>9</v>
      </c>
      <c r="F240" s="7" t="n">
        <v>0.659722222222222</v>
      </c>
      <c r="G240" s="6" t="s">
        <v>38</v>
      </c>
      <c r="H240" s="6" t="s">
        <v>67</v>
      </c>
      <c r="I240" s="6" t="s">
        <v>477</v>
      </c>
      <c r="J240" s="6" t="s">
        <v>97</v>
      </c>
    </row>
    <row r="241" customFormat="false" ht="23.85" hidden="false" customHeight="false" outlineLevel="0" collapsed="false">
      <c r="A241" s="6" t="s">
        <v>1810</v>
      </c>
      <c r="B241" s="6" t="s">
        <v>1811</v>
      </c>
      <c r="C241" s="6" t="s">
        <v>1812</v>
      </c>
      <c r="D241" s="6" t="s">
        <v>1375</v>
      </c>
      <c r="E241" s="6" t="s">
        <v>9</v>
      </c>
      <c r="F241" s="7" t="n">
        <v>0.659722222222222</v>
      </c>
      <c r="G241" s="6" t="s">
        <v>38</v>
      </c>
      <c r="H241" s="6" t="s">
        <v>67</v>
      </c>
      <c r="I241" s="6" t="s">
        <v>477</v>
      </c>
      <c r="J241" s="6" t="s">
        <v>97</v>
      </c>
    </row>
    <row r="242" customFormat="false" ht="15" hidden="false" customHeight="false" outlineLevel="0" collapsed="false">
      <c r="A242" s="6" t="s">
        <v>1813</v>
      </c>
      <c r="B242" s="6" t="s">
        <v>1446</v>
      </c>
      <c r="C242" s="6" t="s">
        <v>1814</v>
      </c>
      <c r="D242" s="6" t="s">
        <v>1375</v>
      </c>
      <c r="E242" s="6" t="s">
        <v>9</v>
      </c>
      <c r="F242" s="7" t="n">
        <v>0.659722222222222</v>
      </c>
      <c r="G242" s="6" t="s">
        <v>21</v>
      </c>
      <c r="H242" s="6" t="s">
        <v>67</v>
      </c>
      <c r="I242" s="6" t="s">
        <v>481</v>
      </c>
      <c r="J242" s="6" t="s">
        <v>64</v>
      </c>
    </row>
    <row r="243" customFormat="false" ht="15" hidden="false" customHeight="false" outlineLevel="0" collapsed="false">
      <c r="A243" s="6" t="s">
        <v>1397</v>
      </c>
      <c r="B243" s="6" t="s">
        <v>1398</v>
      </c>
      <c r="C243" s="6" t="s">
        <v>1399</v>
      </c>
      <c r="D243" s="6" t="s">
        <v>1375</v>
      </c>
      <c r="E243" s="6" t="s">
        <v>9</v>
      </c>
      <c r="F243" s="7" t="n">
        <v>0.659722222222222</v>
      </c>
      <c r="G243" s="6" t="s">
        <v>21</v>
      </c>
      <c r="H243" s="6" t="s">
        <v>67</v>
      </c>
      <c r="I243" s="6" t="s">
        <v>481</v>
      </c>
      <c r="J243" s="6" t="s">
        <v>64</v>
      </c>
    </row>
    <row r="244" customFormat="false" ht="23.85" hidden="false" customHeight="false" outlineLevel="0" collapsed="false">
      <c r="A244" s="6" t="s">
        <v>487</v>
      </c>
      <c r="B244" s="6" t="s">
        <v>1500</v>
      </c>
      <c r="C244" s="6" t="s">
        <v>488</v>
      </c>
      <c r="D244" s="6" t="s">
        <v>1375</v>
      </c>
      <c r="E244" s="6" t="s">
        <v>9</v>
      </c>
      <c r="F244" s="7" t="n">
        <v>0.659722222222222</v>
      </c>
      <c r="G244" s="6" t="s">
        <v>32</v>
      </c>
      <c r="H244" s="6" t="s">
        <v>81</v>
      </c>
      <c r="I244" s="6" t="s">
        <v>485</v>
      </c>
      <c r="J244" s="6" t="s">
        <v>108</v>
      </c>
    </row>
    <row r="245" customFormat="false" ht="23.85" hidden="false" customHeight="false" outlineLevel="0" collapsed="false">
      <c r="A245" s="6" t="s">
        <v>491</v>
      </c>
      <c r="B245" s="6" t="s">
        <v>1815</v>
      </c>
      <c r="C245" s="6" t="s">
        <v>492</v>
      </c>
      <c r="D245" s="6" t="s">
        <v>1375</v>
      </c>
      <c r="E245" s="6" t="s">
        <v>9</v>
      </c>
      <c r="F245" s="7" t="n">
        <v>0.659722222222222</v>
      </c>
      <c r="G245" s="6" t="s">
        <v>26</v>
      </c>
      <c r="H245" s="6" t="s">
        <v>81</v>
      </c>
      <c r="I245" s="6" t="s">
        <v>489</v>
      </c>
      <c r="J245" s="6" t="s">
        <v>255</v>
      </c>
    </row>
    <row r="246" customFormat="false" ht="23.85" hidden="false" customHeight="false" outlineLevel="0" collapsed="false">
      <c r="A246" s="6" t="s">
        <v>1816</v>
      </c>
      <c r="B246" s="6" t="s">
        <v>1817</v>
      </c>
      <c r="C246" s="6" t="s">
        <v>1791</v>
      </c>
      <c r="D246" s="6" t="s">
        <v>1375</v>
      </c>
      <c r="E246" s="6" t="s">
        <v>9</v>
      </c>
      <c r="F246" s="7" t="n">
        <v>0.659722222222222</v>
      </c>
      <c r="G246" s="6" t="s">
        <v>34</v>
      </c>
      <c r="H246" s="6" t="s">
        <v>81</v>
      </c>
      <c r="I246" s="6" t="s">
        <v>493</v>
      </c>
      <c r="J246" s="6" t="s">
        <v>103</v>
      </c>
    </row>
    <row r="247" customFormat="false" ht="23.85" hidden="false" customHeight="false" outlineLevel="0" collapsed="false">
      <c r="A247" s="6" t="s">
        <v>1818</v>
      </c>
      <c r="B247" s="6" t="s">
        <v>1729</v>
      </c>
      <c r="C247" s="6" t="s">
        <v>1819</v>
      </c>
      <c r="D247" s="6" t="s">
        <v>1375</v>
      </c>
      <c r="E247" s="6" t="s">
        <v>9</v>
      </c>
      <c r="F247" s="7" t="n">
        <v>0.659722222222222</v>
      </c>
      <c r="G247" s="6" t="s">
        <v>34</v>
      </c>
      <c r="H247" s="6" t="s">
        <v>81</v>
      </c>
      <c r="I247" s="6" t="s">
        <v>493</v>
      </c>
      <c r="J247" s="6" t="s">
        <v>103</v>
      </c>
    </row>
    <row r="248" customFormat="false" ht="23.85" hidden="false" customHeight="false" outlineLevel="0" collapsed="false">
      <c r="A248" s="6" t="s">
        <v>499</v>
      </c>
      <c r="B248" s="6" t="s">
        <v>1820</v>
      </c>
      <c r="C248" s="6" t="s">
        <v>500</v>
      </c>
      <c r="D248" s="6" t="s">
        <v>1375</v>
      </c>
      <c r="E248" s="6" t="s">
        <v>9</v>
      </c>
      <c r="F248" s="7" t="n">
        <v>0.659722222222222</v>
      </c>
      <c r="G248" s="6" t="s">
        <v>27</v>
      </c>
      <c r="H248" s="6" t="s">
        <v>81</v>
      </c>
      <c r="I248" s="6" t="s">
        <v>497</v>
      </c>
      <c r="J248" s="6" t="s">
        <v>86</v>
      </c>
    </row>
    <row r="249" customFormat="false" ht="35.05" hidden="false" customHeight="false" outlineLevel="0" collapsed="false">
      <c r="A249" s="6" t="s">
        <v>1821</v>
      </c>
      <c r="B249" s="6"/>
      <c r="C249" s="6"/>
      <c r="D249" s="6" t="s">
        <v>210</v>
      </c>
      <c r="E249" s="6" t="s">
        <v>9</v>
      </c>
      <c r="F249" s="7" t="n">
        <v>0.659722222222222</v>
      </c>
      <c r="G249" s="6" t="s">
        <v>39</v>
      </c>
      <c r="H249" s="6" t="s">
        <v>39</v>
      </c>
      <c r="I249" s="6" t="s">
        <v>502</v>
      </c>
      <c r="J249" s="6" t="s">
        <v>119</v>
      </c>
    </row>
    <row r="250" customFormat="false" ht="35.05" hidden="false" customHeight="false" outlineLevel="0" collapsed="false">
      <c r="A250" s="6" t="s">
        <v>1822</v>
      </c>
      <c r="B250" s="6"/>
      <c r="C250" s="6"/>
      <c r="D250" s="6" t="s">
        <v>210</v>
      </c>
      <c r="E250" s="6" t="s">
        <v>9</v>
      </c>
      <c r="F250" s="7" t="n">
        <v>0.659722222222222</v>
      </c>
      <c r="G250" s="6" t="s">
        <v>39</v>
      </c>
      <c r="H250" s="6" t="s">
        <v>39</v>
      </c>
      <c r="I250" s="6" t="s">
        <v>502</v>
      </c>
      <c r="J250" s="6" t="s">
        <v>119</v>
      </c>
    </row>
    <row r="251" customFormat="false" ht="35.05" hidden="false" customHeight="false" outlineLevel="0" collapsed="false">
      <c r="A251" s="6" t="s">
        <v>1823</v>
      </c>
      <c r="B251" s="6"/>
      <c r="C251" s="6"/>
      <c r="D251" s="6" t="s">
        <v>210</v>
      </c>
      <c r="E251" s="6" t="s">
        <v>9</v>
      </c>
      <c r="F251" s="7" t="n">
        <v>0.659722222222222</v>
      </c>
      <c r="G251" s="6" t="s">
        <v>39</v>
      </c>
      <c r="H251" s="6" t="s">
        <v>39</v>
      </c>
      <c r="I251" s="6" t="s">
        <v>502</v>
      </c>
      <c r="J251" s="6" t="s">
        <v>119</v>
      </c>
    </row>
    <row r="252" customFormat="false" ht="35.05" hidden="false" customHeight="false" outlineLevel="0" collapsed="false">
      <c r="A252" s="6" t="s">
        <v>1824</v>
      </c>
      <c r="B252" s="6"/>
      <c r="C252" s="6"/>
      <c r="D252" s="6" t="s">
        <v>210</v>
      </c>
      <c r="E252" s="6" t="s">
        <v>9</v>
      </c>
      <c r="F252" s="7" t="n">
        <v>0.659722222222222</v>
      </c>
      <c r="G252" s="6" t="s">
        <v>39</v>
      </c>
      <c r="H252" s="6" t="s">
        <v>39</v>
      </c>
      <c r="I252" s="6" t="s">
        <v>502</v>
      </c>
      <c r="J252" s="6" t="s">
        <v>119</v>
      </c>
    </row>
    <row r="253" customFormat="false" ht="23.85" hidden="false" customHeight="false" outlineLevel="0" collapsed="false">
      <c r="A253" s="6" t="s">
        <v>1825</v>
      </c>
      <c r="B253" s="6" t="s">
        <v>1826</v>
      </c>
      <c r="C253" s="6" t="s">
        <v>508</v>
      </c>
      <c r="D253" s="6" t="s">
        <v>1375</v>
      </c>
      <c r="E253" s="6" t="s">
        <v>9</v>
      </c>
      <c r="F253" s="7" t="n">
        <v>0.666666666666667</v>
      </c>
      <c r="G253" s="6" t="s">
        <v>36</v>
      </c>
      <c r="H253" s="6" t="s">
        <v>39</v>
      </c>
      <c r="I253" s="6" t="s">
        <v>505</v>
      </c>
      <c r="J253" s="6"/>
    </row>
    <row r="254" customFormat="false" ht="23.85" hidden="false" customHeight="false" outlineLevel="0" collapsed="false">
      <c r="A254" s="6" t="s">
        <v>1827</v>
      </c>
      <c r="B254" s="6" t="s">
        <v>1828</v>
      </c>
      <c r="C254" s="6" t="s">
        <v>508</v>
      </c>
      <c r="D254" s="6" t="s">
        <v>1375</v>
      </c>
      <c r="E254" s="6" t="s">
        <v>9</v>
      </c>
      <c r="F254" s="7" t="n">
        <v>0.666666666666667</v>
      </c>
      <c r="G254" s="6" t="s">
        <v>36</v>
      </c>
      <c r="H254" s="6" t="s">
        <v>39</v>
      </c>
      <c r="I254" s="6" t="s">
        <v>505</v>
      </c>
      <c r="J254" s="6"/>
    </row>
    <row r="255" customFormat="false" ht="23.85" hidden="false" customHeight="false" outlineLevel="0" collapsed="false">
      <c r="A255" s="6" t="s">
        <v>1534</v>
      </c>
      <c r="B255" s="6" t="s">
        <v>1412</v>
      </c>
      <c r="C255" s="6" t="s">
        <v>1535</v>
      </c>
      <c r="D255" s="6" t="s">
        <v>1375</v>
      </c>
      <c r="E255" s="6" t="s">
        <v>9</v>
      </c>
      <c r="F255" s="7" t="n">
        <v>0.670138888888889</v>
      </c>
      <c r="G255" s="6" t="s">
        <v>28</v>
      </c>
      <c r="H255" s="6" t="s">
        <v>67</v>
      </c>
      <c r="I255" s="6" t="s">
        <v>510</v>
      </c>
      <c r="J255" s="6" t="s">
        <v>114</v>
      </c>
    </row>
    <row r="256" customFormat="false" ht="23.85" hidden="false" customHeight="false" outlineLevel="0" collapsed="false">
      <c r="A256" s="6" t="s">
        <v>1541</v>
      </c>
      <c r="B256" s="6" t="s">
        <v>1542</v>
      </c>
      <c r="C256" s="6" t="s">
        <v>1543</v>
      </c>
      <c r="D256" s="6" t="s">
        <v>1375</v>
      </c>
      <c r="E256" s="6" t="s">
        <v>9</v>
      </c>
      <c r="F256" s="7" t="n">
        <v>0.670138888888889</v>
      </c>
      <c r="G256" s="6" t="s">
        <v>28</v>
      </c>
      <c r="H256" s="6" t="s">
        <v>67</v>
      </c>
      <c r="I256" s="6" t="s">
        <v>510</v>
      </c>
      <c r="J256" s="6" t="s">
        <v>114</v>
      </c>
    </row>
    <row r="257" customFormat="false" ht="23.85" hidden="false" customHeight="false" outlineLevel="0" collapsed="false">
      <c r="A257" s="6" t="s">
        <v>1776</v>
      </c>
      <c r="B257" s="6" t="s">
        <v>1775</v>
      </c>
      <c r="C257" s="6" t="s">
        <v>1777</v>
      </c>
      <c r="D257" s="6" t="s">
        <v>1375</v>
      </c>
      <c r="E257" s="6" t="s">
        <v>9</v>
      </c>
      <c r="F257" s="7" t="n">
        <v>0.670138888888889</v>
      </c>
      <c r="G257" s="6" t="s">
        <v>38</v>
      </c>
      <c r="H257" s="6" t="s">
        <v>134</v>
      </c>
      <c r="I257" s="6" t="s">
        <v>515</v>
      </c>
      <c r="J257" s="6" t="s">
        <v>97</v>
      </c>
    </row>
    <row r="258" customFormat="false" ht="23.85" hidden="false" customHeight="false" outlineLevel="0" collapsed="false">
      <c r="A258" s="6" t="s">
        <v>1829</v>
      </c>
      <c r="B258" s="6" t="s">
        <v>1830</v>
      </c>
      <c r="C258" s="6" t="s">
        <v>79</v>
      </c>
      <c r="D258" s="6" t="s">
        <v>1375</v>
      </c>
      <c r="E258" s="6" t="s">
        <v>9</v>
      </c>
      <c r="F258" s="7" t="n">
        <v>0.670138888888889</v>
      </c>
      <c r="G258" s="6" t="s">
        <v>38</v>
      </c>
      <c r="H258" s="6" t="s">
        <v>134</v>
      </c>
      <c r="I258" s="6" t="s">
        <v>515</v>
      </c>
      <c r="J258" s="6" t="s">
        <v>97</v>
      </c>
    </row>
    <row r="259" customFormat="false" ht="23.85" hidden="false" customHeight="false" outlineLevel="0" collapsed="false">
      <c r="A259" s="6" t="s">
        <v>1831</v>
      </c>
      <c r="B259" s="6" t="s">
        <v>1832</v>
      </c>
      <c r="C259" s="6" t="s">
        <v>492</v>
      </c>
      <c r="D259" s="6" t="s">
        <v>1375</v>
      </c>
      <c r="E259" s="6" t="s">
        <v>9</v>
      </c>
      <c r="F259" s="7" t="n">
        <v>0.670138888888889</v>
      </c>
      <c r="G259" s="6" t="s">
        <v>38</v>
      </c>
      <c r="H259" s="6" t="s">
        <v>134</v>
      </c>
      <c r="I259" s="6" t="s">
        <v>515</v>
      </c>
      <c r="J259" s="6" t="s">
        <v>97</v>
      </c>
    </row>
    <row r="260" customFormat="false" ht="23.85" hidden="false" customHeight="false" outlineLevel="0" collapsed="false">
      <c r="A260" s="6" t="s">
        <v>1833</v>
      </c>
      <c r="B260" s="6" t="s">
        <v>1834</v>
      </c>
      <c r="C260" s="6" t="s">
        <v>85</v>
      </c>
      <c r="D260" s="6" t="s">
        <v>1375</v>
      </c>
      <c r="E260" s="6" t="s">
        <v>9</v>
      </c>
      <c r="F260" s="7" t="n">
        <v>0.670138888888889</v>
      </c>
      <c r="G260" s="6" t="s">
        <v>38</v>
      </c>
      <c r="H260" s="6" t="s">
        <v>134</v>
      </c>
      <c r="I260" s="6" t="s">
        <v>515</v>
      </c>
      <c r="J260" s="6" t="s">
        <v>97</v>
      </c>
    </row>
    <row r="261" customFormat="false" ht="23.85" hidden="false" customHeight="false" outlineLevel="0" collapsed="false">
      <c r="A261" s="6" t="s">
        <v>1810</v>
      </c>
      <c r="B261" s="6" t="s">
        <v>1811</v>
      </c>
      <c r="C261" s="6" t="s">
        <v>1812</v>
      </c>
      <c r="D261" s="6" t="s">
        <v>1375</v>
      </c>
      <c r="E261" s="6" t="s">
        <v>9</v>
      </c>
      <c r="F261" s="7" t="n">
        <v>0.670138888888889</v>
      </c>
      <c r="G261" s="6" t="s">
        <v>38</v>
      </c>
      <c r="H261" s="6" t="s">
        <v>134</v>
      </c>
      <c r="I261" s="6" t="s">
        <v>515</v>
      </c>
      <c r="J261" s="6" t="s">
        <v>97</v>
      </c>
    </row>
    <row r="262" customFormat="false" ht="23.85" hidden="false" customHeight="false" outlineLevel="0" collapsed="false">
      <c r="A262" s="6" t="s">
        <v>1721</v>
      </c>
      <c r="B262" s="6" t="s">
        <v>1722</v>
      </c>
      <c r="C262" s="6" t="s">
        <v>1723</v>
      </c>
      <c r="D262" s="6" t="s">
        <v>1375</v>
      </c>
      <c r="E262" s="6" t="s">
        <v>9</v>
      </c>
      <c r="F262" s="7" t="n">
        <v>0.670138888888889</v>
      </c>
      <c r="G262" s="6" t="s">
        <v>26</v>
      </c>
      <c r="H262" s="6" t="s">
        <v>215</v>
      </c>
      <c r="I262" s="6" t="s">
        <v>520</v>
      </c>
      <c r="J262" s="6" t="s">
        <v>255</v>
      </c>
    </row>
    <row r="263" customFormat="false" ht="23.85" hidden="false" customHeight="false" outlineLevel="0" collapsed="false">
      <c r="A263" s="6" t="s">
        <v>1835</v>
      </c>
      <c r="B263" s="6" t="s">
        <v>1836</v>
      </c>
      <c r="C263" s="6" t="s">
        <v>1837</v>
      </c>
      <c r="D263" s="6" t="s">
        <v>1375</v>
      </c>
      <c r="E263" s="6" t="s">
        <v>9</v>
      </c>
      <c r="F263" s="7" t="n">
        <v>0.670138888888889</v>
      </c>
      <c r="G263" s="6" t="s">
        <v>26</v>
      </c>
      <c r="H263" s="6" t="s">
        <v>215</v>
      </c>
      <c r="I263" s="6" t="s">
        <v>520</v>
      </c>
      <c r="J263" s="6" t="s">
        <v>255</v>
      </c>
    </row>
    <row r="264" customFormat="false" ht="23.85" hidden="false" customHeight="false" outlineLevel="0" collapsed="false">
      <c r="A264" s="6" t="s">
        <v>1838</v>
      </c>
      <c r="B264" s="6" t="s">
        <v>1839</v>
      </c>
      <c r="C264" s="6" t="s">
        <v>1840</v>
      </c>
      <c r="D264" s="6" t="s">
        <v>1375</v>
      </c>
      <c r="E264" s="6" t="s">
        <v>9</v>
      </c>
      <c r="F264" s="7" t="n">
        <v>0.670138888888889</v>
      </c>
      <c r="G264" s="6" t="s">
        <v>26</v>
      </c>
      <c r="H264" s="6" t="s">
        <v>215</v>
      </c>
      <c r="I264" s="6" t="s">
        <v>520</v>
      </c>
      <c r="J264" s="6" t="s">
        <v>255</v>
      </c>
    </row>
    <row r="265" customFormat="false" ht="23.85" hidden="false" customHeight="false" outlineLevel="0" collapsed="false">
      <c r="A265" s="6" t="s">
        <v>491</v>
      </c>
      <c r="B265" s="6" t="s">
        <v>1815</v>
      </c>
      <c r="C265" s="6" t="s">
        <v>492</v>
      </c>
      <c r="D265" s="6" t="s">
        <v>1375</v>
      </c>
      <c r="E265" s="6" t="s">
        <v>9</v>
      </c>
      <c r="F265" s="7" t="n">
        <v>0.670138888888889</v>
      </c>
      <c r="G265" s="6" t="s">
        <v>26</v>
      </c>
      <c r="H265" s="6" t="s">
        <v>215</v>
      </c>
      <c r="I265" s="6" t="s">
        <v>520</v>
      </c>
      <c r="J265" s="6" t="s">
        <v>255</v>
      </c>
    </row>
    <row r="266" customFormat="false" ht="23.85" hidden="false" customHeight="false" outlineLevel="0" collapsed="false">
      <c r="A266" s="6" t="s">
        <v>1686</v>
      </c>
      <c r="B266" s="6" t="s">
        <v>1687</v>
      </c>
      <c r="C266" s="6" t="s">
        <v>1688</v>
      </c>
      <c r="D266" s="6" t="s">
        <v>1375</v>
      </c>
      <c r="E266" s="6" t="s">
        <v>9</v>
      </c>
      <c r="F266" s="7" t="n">
        <v>0.670138888888889</v>
      </c>
      <c r="G266" s="6" t="s">
        <v>26</v>
      </c>
      <c r="H266" s="6" t="s">
        <v>215</v>
      </c>
      <c r="I266" s="6" t="s">
        <v>520</v>
      </c>
      <c r="J266" s="6" t="s">
        <v>255</v>
      </c>
    </row>
    <row r="267" customFormat="false" ht="15" hidden="false" customHeight="false" outlineLevel="0" collapsed="false">
      <c r="A267" s="6" t="s">
        <v>1841</v>
      </c>
      <c r="B267" s="6" t="s">
        <v>1842</v>
      </c>
      <c r="C267" s="6" t="s">
        <v>1733</v>
      </c>
      <c r="D267" s="6" t="s">
        <v>1375</v>
      </c>
      <c r="E267" s="6" t="s">
        <v>9</v>
      </c>
      <c r="F267" s="7" t="n">
        <v>0.670138888888889</v>
      </c>
      <c r="G267" s="6" t="s">
        <v>32</v>
      </c>
      <c r="H267" s="6" t="s">
        <v>215</v>
      </c>
      <c r="I267" s="6" t="s">
        <v>524</v>
      </c>
      <c r="J267" s="6" t="s">
        <v>108</v>
      </c>
    </row>
    <row r="268" customFormat="false" ht="15" hidden="false" customHeight="false" outlineLevel="0" collapsed="false">
      <c r="A268" s="6" t="s">
        <v>1843</v>
      </c>
      <c r="B268" s="6" t="s">
        <v>1844</v>
      </c>
      <c r="C268" s="6" t="s">
        <v>587</v>
      </c>
      <c r="D268" s="6" t="s">
        <v>1375</v>
      </c>
      <c r="E268" s="6" t="s">
        <v>9</v>
      </c>
      <c r="F268" s="7" t="n">
        <v>0.670138888888889</v>
      </c>
      <c r="G268" s="6" t="s">
        <v>32</v>
      </c>
      <c r="H268" s="6" t="s">
        <v>215</v>
      </c>
      <c r="I268" s="6" t="s">
        <v>524</v>
      </c>
      <c r="J268" s="6" t="s">
        <v>108</v>
      </c>
    </row>
    <row r="269" customFormat="false" ht="15" hidden="false" customHeight="false" outlineLevel="0" collapsed="false">
      <c r="A269" s="6" t="s">
        <v>1845</v>
      </c>
      <c r="B269" s="6" t="s">
        <v>1846</v>
      </c>
      <c r="C269" s="6" t="s">
        <v>587</v>
      </c>
      <c r="D269" s="6" t="s">
        <v>1375</v>
      </c>
      <c r="E269" s="6" t="s">
        <v>9</v>
      </c>
      <c r="F269" s="7" t="n">
        <v>0.670138888888889</v>
      </c>
      <c r="G269" s="6" t="s">
        <v>32</v>
      </c>
      <c r="H269" s="6" t="s">
        <v>215</v>
      </c>
      <c r="I269" s="6" t="s">
        <v>524</v>
      </c>
      <c r="J269" s="6" t="s">
        <v>108</v>
      </c>
    </row>
    <row r="270" customFormat="false" ht="15" hidden="false" customHeight="false" outlineLevel="0" collapsed="false">
      <c r="A270" s="6" t="s">
        <v>531</v>
      </c>
      <c r="B270" s="6" t="s">
        <v>1847</v>
      </c>
      <c r="C270" s="6" t="s">
        <v>532</v>
      </c>
      <c r="D270" s="6" t="s">
        <v>1375</v>
      </c>
      <c r="E270" s="6" t="s">
        <v>9</v>
      </c>
      <c r="F270" s="7" t="n">
        <v>0.670138888888889</v>
      </c>
      <c r="G270" s="6" t="s">
        <v>21</v>
      </c>
      <c r="H270" s="6" t="s">
        <v>81</v>
      </c>
      <c r="I270" s="6" t="s">
        <v>529</v>
      </c>
      <c r="J270" s="6" t="s">
        <v>64</v>
      </c>
    </row>
    <row r="271" customFormat="false" ht="15" hidden="false" customHeight="false" outlineLevel="0" collapsed="false">
      <c r="A271" s="6" t="s">
        <v>1848</v>
      </c>
      <c r="B271" s="6" t="s">
        <v>1849</v>
      </c>
      <c r="C271" s="6" t="s">
        <v>1850</v>
      </c>
      <c r="D271" s="6" t="s">
        <v>1375</v>
      </c>
      <c r="E271" s="6" t="s">
        <v>9</v>
      </c>
      <c r="F271" s="7" t="n">
        <v>0.670138888888889</v>
      </c>
      <c r="G271" s="6" t="s">
        <v>34</v>
      </c>
      <c r="H271" s="6" t="s">
        <v>67</v>
      </c>
      <c r="I271" s="6" t="s">
        <v>534</v>
      </c>
      <c r="J271" s="6" t="s">
        <v>103</v>
      </c>
    </row>
    <row r="272" customFormat="false" ht="15" hidden="false" customHeight="false" outlineLevel="0" collapsed="false">
      <c r="A272" s="6" t="s">
        <v>1851</v>
      </c>
      <c r="B272" s="6" t="s">
        <v>1852</v>
      </c>
      <c r="C272" s="6" t="s">
        <v>1853</v>
      </c>
      <c r="D272" s="6" t="s">
        <v>1375</v>
      </c>
      <c r="E272" s="6" t="s">
        <v>9</v>
      </c>
      <c r="F272" s="7" t="n">
        <v>0.670138888888889</v>
      </c>
      <c r="G272" s="6" t="s">
        <v>34</v>
      </c>
      <c r="H272" s="6" t="s">
        <v>67</v>
      </c>
      <c r="I272" s="6" t="s">
        <v>534</v>
      </c>
      <c r="J272" s="6" t="s">
        <v>103</v>
      </c>
    </row>
    <row r="273" customFormat="false" ht="15" hidden="false" customHeight="false" outlineLevel="0" collapsed="false">
      <c r="A273" s="6" t="s">
        <v>975</v>
      </c>
      <c r="B273" s="6" t="s">
        <v>1854</v>
      </c>
      <c r="C273" s="6" t="s">
        <v>976</v>
      </c>
      <c r="D273" s="6" t="s">
        <v>1375</v>
      </c>
      <c r="E273" s="6" t="s">
        <v>9</v>
      </c>
      <c r="F273" s="7" t="n">
        <v>0.670138888888889</v>
      </c>
      <c r="G273" s="6" t="s">
        <v>34</v>
      </c>
      <c r="H273" s="6" t="s">
        <v>67</v>
      </c>
      <c r="I273" s="6" t="s">
        <v>534</v>
      </c>
      <c r="J273" s="6" t="s">
        <v>103</v>
      </c>
    </row>
    <row r="274" customFormat="false" ht="23.85" hidden="false" customHeight="false" outlineLevel="0" collapsed="false">
      <c r="A274" s="6" t="s">
        <v>540</v>
      </c>
      <c r="B274" s="6" t="s">
        <v>1855</v>
      </c>
      <c r="C274" s="6" t="s">
        <v>541</v>
      </c>
      <c r="D274" s="6" t="s">
        <v>1375</v>
      </c>
      <c r="E274" s="6" t="s">
        <v>9</v>
      </c>
      <c r="F274" s="7" t="n">
        <v>0.670138888888889</v>
      </c>
      <c r="G274" s="6" t="s">
        <v>27</v>
      </c>
      <c r="H274" s="6" t="s">
        <v>81</v>
      </c>
      <c r="I274" s="6" t="s">
        <v>538</v>
      </c>
      <c r="J274" s="6" t="s">
        <v>86</v>
      </c>
    </row>
    <row r="275" customFormat="false" ht="23.85" hidden="false" customHeight="false" outlineLevel="0" collapsed="false">
      <c r="A275" s="6" t="s">
        <v>544</v>
      </c>
      <c r="B275" s="6" t="s">
        <v>1856</v>
      </c>
      <c r="C275" s="6" t="s">
        <v>545</v>
      </c>
      <c r="D275" s="6" t="s">
        <v>1375</v>
      </c>
      <c r="E275" s="6" t="s">
        <v>9</v>
      </c>
      <c r="F275" s="7" t="n">
        <v>0.670138888888889</v>
      </c>
      <c r="G275" s="6" t="s">
        <v>24</v>
      </c>
      <c r="H275" s="6" t="s">
        <v>81</v>
      </c>
      <c r="I275" s="6" t="s">
        <v>542</v>
      </c>
      <c r="J275" s="6" t="s">
        <v>80</v>
      </c>
    </row>
    <row r="276" customFormat="false" ht="23.85" hidden="false" customHeight="false" outlineLevel="0" collapsed="false">
      <c r="A276" s="6" t="s">
        <v>84</v>
      </c>
      <c r="B276" s="6" t="s">
        <v>1388</v>
      </c>
      <c r="C276" s="6" t="s">
        <v>85</v>
      </c>
      <c r="D276" s="6" t="s">
        <v>1375</v>
      </c>
      <c r="E276" s="6" t="s">
        <v>9</v>
      </c>
      <c r="F276" s="7" t="n">
        <v>0.680555555555556</v>
      </c>
      <c r="G276" s="6" t="s">
        <v>24</v>
      </c>
      <c r="H276" s="6" t="s">
        <v>134</v>
      </c>
      <c r="I276" s="6" t="s">
        <v>546</v>
      </c>
      <c r="J276" s="6" t="s">
        <v>80</v>
      </c>
    </row>
    <row r="277" customFormat="false" ht="23.85" hidden="false" customHeight="false" outlineLevel="0" collapsed="false">
      <c r="A277" s="6" t="s">
        <v>1857</v>
      </c>
      <c r="B277" s="6" t="s">
        <v>1858</v>
      </c>
      <c r="C277" s="6" t="s">
        <v>1859</v>
      </c>
      <c r="D277" s="6" t="s">
        <v>1375</v>
      </c>
      <c r="E277" s="6" t="s">
        <v>9</v>
      </c>
      <c r="F277" s="7" t="n">
        <v>0.680555555555556</v>
      </c>
      <c r="G277" s="6" t="s">
        <v>24</v>
      </c>
      <c r="H277" s="6" t="s">
        <v>134</v>
      </c>
      <c r="I277" s="6" t="s">
        <v>546</v>
      </c>
      <c r="J277" s="6" t="s">
        <v>80</v>
      </c>
    </row>
    <row r="278" customFormat="false" ht="23.85" hidden="false" customHeight="false" outlineLevel="0" collapsed="false">
      <c r="A278" s="6" t="s">
        <v>1860</v>
      </c>
      <c r="B278" s="6" t="s">
        <v>1861</v>
      </c>
      <c r="C278" s="6" t="s">
        <v>1862</v>
      </c>
      <c r="D278" s="6" t="s">
        <v>1375</v>
      </c>
      <c r="E278" s="6" t="s">
        <v>9</v>
      </c>
      <c r="F278" s="7" t="n">
        <v>0.680555555555556</v>
      </c>
      <c r="G278" s="6" t="s">
        <v>24</v>
      </c>
      <c r="H278" s="6" t="s">
        <v>134</v>
      </c>
      <c r="I278" s="6" t="s">
        <v>546</v>
      </c>
      <c r="J278" s="6" t="s">
        <v>80</v>
      </c>
    </row>
    <row r="279" customFormat="false" ht="23.85" hidden="false" customHeight="false" outlineLevel="0" collapsed="false">
      <c r="A279" s="6" t="s">
        <v>1863</v>
      </c>
      <c r="B279" s="6" t="s">
        <v>1864</v>
      </c>
      <c r="C279" s="6" t="s">
        <v>133</v>
      </c>
      <c r="D279" s="6" t="s">
        <v>1375</v>
      </c>
      <c r="E279" s="6" t="s">
        <v>9</v>
      </c>
      <c r="F279" s="7" t="n">
        <v>0.680555555555556</v>
      </c>
      <c r="G279" s="6" t="s">
        <v>24</v>
      </c>
      <c r="H279" s="6" t="s">
        <v>134</v>
      </c>
      <c r="I279" s="6" t="s">
        <v>546</v>
      </c>
      <c r="J279" s="6" t="s">
        <v>80</v>
      </c>
    </row>
    <row r="280" customFormat="false" ht="23.85" hidden="false" customHeight="false" outlineLevel="0" collapsed="false">
      <c r="A280" s="6" t="s">
        <v>1865</v>
      </c>
      <c r="B280" s="6" t="s">
        <v>1866</v>
      </c>
      <c r="C280" s="6" t="s">
        <v>1588</v>
      </c>
      <c r="D280" s="6" t="s">
        <v>1375</v>
      </c>
      <c r="E280" s="6" t="s">
        <v>9</v>
      </c>
      <c r="F280" s="7" t="n">
        <v>0.680555555555556</v>
      </c>
      <c r="G280" s="6" t="s">
        <v>24</v>
      </c>
      <c r="H280" s="6" t="s">
        <v>134</v>
      </c>
      <c r="I280" s="6" t="s">
        <v>546</v>
      </c>
      <c r="J280" s="6" t="s">
        <v>80</v>
      </c>
    </row>
    <row r="281" customFormat="false" ht="23.85" hidden="false" customHeight="false" outlineLevel="0" collapsed="false">
      <c r="A281" s="6" t="s">
        <v>1785</v>
      </c>
      <c r="B281" s="6" t="s">
        <v>1786</v>
      </c>
      <c r="C281" s="6" t="s">
        <v>1787</v>
      </c>
      <c r="D281" s="6" t="s">
        <v>1375</v>
      </c>
      <c r="E281" s="6" t="s">
        <v>9</v>
      </c>
      <c r="F281" s="7" t="n">
        <v>0.680555555555556</v>
      </c>
      <c r="G281" s="6" t="s">
        <v>24</v>
      </c>
      <c r="H281" s="6" t="s">
        <v>134</v>
      </c>
      <c r="I281" s="6" t="s">
        <v>546</v>
      </c>
      <c r="J281" s="6" t="s">
        <v>80</v>
      </c>
    </row>
    <row r="282" customFormat="false" ht="23.85" hidden="false" customHeight="false" outlineLevel="0" collapsed="false">
      <c r="A282" s="6" t="s">
        <v>711</v>
      </c>
      <c r="B282" s="6" t="s">
        <v>1867</v>
      </c>
      <c r="C282" s="6" t="s">
        <v>712</v>
      </c>
      <c r="D282" s="6" t="s">
        <v>1375</v>
      </c>
      <c r="E282" s="6" t="s">
        <v>9</v>
      </c>
      <c r="F282" s="7" t="n">
        <v>0.680555555555556</v>
      </c>
      <c r="G282" s="6" t="s">
        <v>27</v>
      </c>
      <c r="H282" s="6" t="s">
        <v>134</v>
      </c>
      <c r="I282" s="6" t="s">
        <v>550</v>
      </c>
      <c r="J282" s="6" t="s">
        <v>86</v>
      </c>
    </row>
    <row r="283" customFormat="false" ht="23.85" hidden="false" customHeight="false" outlineLevel="0" collapsed="false">
      <c r="A283" s="6" t="s">
        <v>1868</v>
      </c>
      <c r="B283" s="6" t="s">
        <v>1869</v>
      </c>
      <c r="C283" s="6" t="s">
        <v>1870</v>
      </c>
      <c r="D283" s="6" t="s">
        <v>1375</v>
      </c>
      <c r="E283" s="6" t="s">
        <v>9</v>
      </c>
      <c r="F283" s="7" t="n">
        <v>0.680555555555556</v>
      </c>
      <c r="G283" s="6" t="s">
        <v>27</v>
      </c>
      <c r="H283" s="6" t="s">
        <v>134</v>
      </c>
      <c r="I283" s="6" t="s">
        <v>550</v>
      </c>
      <c r="J283" s="6" t="s">
        <v>86</v>
      </c>
    </row>
    <row r="284" customFormat="false" ht="23.85" hidden="false" customHeight="false" outlineLevel="0" collapsed="false">
      <c r="A284" s="6" t="s">
        <v>1871</v>
      </c>
      <c r="B284" s="6" t="s">
        <v>1872</v>
      </c>
      <c r="C284" s="6" t="s">
        <v>727</v>
      </c>
      <c r="D284" s="6" t="s">
        <v>1375</v>
      </c>
      <c r="E284" s="6" t="s">
        <v>9</v>
      </c>
      <c r="F284" s="7" t="n">
        <v>0.680555555555556</v>
      </c>
      <c r="G284" s="6" t="s">
        <v>27</v>
      </c>
      <c r="H284" s="6" t="s">
        <v>134</v>
      </c>
      <c r="I284" s="6" t="s">
        <v>550</v>
      </c>
      <c r="J284" s="6" t="s">
        <v>86</v>
      </c>
    </row>
    <row r="285" customFormat="false" ht="23.85" hidden="false" customHeight="false" outlineLevel="0" collapsed="false">
      <c r="A285" s="6" t="s">
        <v>1873</v>
      </c>
      <c r="B285" s="6" t="s">
        <v>1874</v>
      </c>
      <c r="C285" s="6" t="s">
        <v>587</v>
      </c>
      <c r="D285" s="6" t="s">
        <v>1375</v>
      </c>
      <c r="E285" s="6" t="s">
        <v>9</v>
      </c>
      <c r="F285" s="7" t="n">
        <v>0.680555555555556</v>
      </c>
      <c r="G285" s="6" t="s">
        <v>27</v>
      </c>
      <c r="H285" s="6" t="s">
        <v>134</v>
      </c>
      <c r="I285" s="6" t="s">
        <v>550</v>
      </c>
      <c r="J285" s="6" t="s">
        <v>86</v>
      </c>
    </row>
    <row r="286" customFormat="false" ht="23.85" hidden="false" customHeight="false" outlineLevel="0" collapsed="false">
      <c r="A286" s="6" t="s">
        <v>1875</v>
      </c>
      <c r="B286" s="6" t="s">
        <v>1729</v>
      </c>
      <c r="C286" s="6" t="s">
        <v>1876</v>
      </c>
      <c r="D286" s="6" t="s">
        <v>1375</v>
      </c>
      <c r="E286" s="6" t="s">
        <v>9</v>
      </c>
      <c r="F286" s="7" t="n">
        <v>0.680555555555556</v>
      </c>
      <c r="G286" s="6" t="s">
        <v>27</v>
      </c>
      <c r="H286" s="6" t="s">
        <v>134</v>
      </c>
      <c r="I286" s="6" t="s">
        <v>550</v>
      </c>
      <c r="J286" s="6" t="s">
        <v>86</v>
      </c>
    </row>
    <row r="287" customFormat="false" ht="23.85" hidden="false" customHeight="false" outlineLevel="0" collapsed="false">
      <c r="A287" s="6" t="s">
        <v>1877</v>
      </c>
      <c r="B287" s="6" t="s">
        <v>1446</v>
      </c>
      <c r="C287" s="6" t="s">
        <v>1878</v>
      </c>
      <c r="D287" s="6" t="s">
        <v>1375</v>
      </c>
      <c r="E287" s="6" t="s">
        <v>9</v>
      </c>
      <c r="F287" s="7" t="n">
        <v>0.680555555555556</v>
      </c>
      <c r="G287" s="6" t="s">
        <v>27</v>
      </c>
      <c r="H287" s="6" t="s">
        <v>134</v>
      </c>
      <c r="I287" s="6" t="s">
        <v>550</v>
      </c>
      <c r="J287" s="6" t="s">
        <v>86</v>
      </c>
    </row>
    <row r="288" customFormat="false" ht="23.85" hidden="false" customHeight="false" outlineLevel="0" collapsed="false">
      <c r="A288" s="6" t="s">
        <v>1477</v>
      </c>
      <c r="B288" s="6" t="s">
        <v>1478</v>
      </c>
      <c r="C288" s="6" t="s">
        <v>1479</v>
      </c>
      <c r="D288" s="6" t="s">
        <v>1375</v>
      </c>
      <c r="E288" s="6" t="s">
        <v>9</v>
      </c>
      <c r="F288" s="7" t="n">
        <v>0.680555555555556</v>
      </c>
      <c r="G288" s="6" t="s">
        <v>27</v>
      </c>
      <c r="H288" s="6" t="s">
        <v>134</v>
      </c>
      <c r="I288" s="6" t="s">
        <v>550</v>
      </c>
      <c r="J288" s="6" t="s">
        <v>86</v>
      </c>
    </row>
    <row r="289" customFormat="false" ht="23.85" hidden="false" customHeight="false" outlineLevel="0" collapsed="false">
      <c r="A289" s="6" t="s">
        <v>1879</v>
      </c>
      <c r="B289" s="6" t="s">
        <v>1880</v>
      </c>
      <c r="C289" s="6" t="s">
        <v>1881</v>
      </c>
      <c r="D289" s="6" t="s">
        <v>1375</v>
      </c>
      <c r="E289" s="6" t="s">
        <v>9</v>
      </c>
      <c r="F289" s="7" t="n">
        <v>0.680555555555556</v>
      </c>
      <c r="G289" s="6" t="s">
        <v>28</v>
      </c>
      <c r="H289" s="6" t="s">
        <v>554</v>
      </c>
      <c r="I289" s="6" t="s">
        <v>555</v>
      </c>
      <c r="J289" s="6" t="s">
        <v>114</v>
      </c>
    </row>
    <row r="290" customFormat="false" ht="23.85" hidden="false" customHeight="false" outlineLevel="0" collapsed="false">
      <c r="A290" s="6" t="s">
        <v>1882</v>
      </c>
      <c r="B290" s="6" t="s">
        <v>1883</v>
      </c>
      <c r="C290" s="6" t="s">
        <v>1662</v>
      </c>
      <c r="D290" s="6" t="s">
        <v>1375</v>
      </c>
      <c r="E290" s="6" t="s">
        <v>9</v>
      </c>
      <c r="F290" s="7" t="n">
        <v>0.680555555555556</v>
      </c>
      <c r="G290" s="6" t="s">
        <v>28</v>
      </c>
      <c r="H290" s="6" t="s">
        <v>554</v>
      </c>
      <c r="I290" s="6" t="s">
        <v>555</v>
      </c>
      <c r="J290" s="6" t="s">
        <v>114</v>
      </c>
    </row>
    <row r="291" customFormat="false" ht="23.85" hidden="false" customHeight="false" outlineLevel="0" collapsed="false">
      <c r="A291" s="6" t="s">
        <v>1416</v>
      </c>
      <c r="B291" s="6" t="s">
        <v>1417</v>
      </c>
      <c r="C291" s="6" t="s">
        <v>1418</v>
      </c>
      <c r="D291" s="6" t="s">
        <v>1375</v>
      </c>
      <c r="E291" s="6" t="s">
        <v>9</v>
      </c>
      <c r="F291" s="7" t="n">
        <v>0.680555555555556</v>
      </c>
      <c r="G291" s="6" t="s">
        <v>28</v>
      </c>
      <c r="H291" s="6" t="s">
        <v>554</v>
      </c>
      <c r="I291" s="6" t="s">
        <v>555</v>
      </c>
      <c r="J291" s="6" t="s">
        <v>114</v>
      </c>
    </row>
    <row r="292" customFormat="false" ht="23.85" hidden="false" customHeight="false" outlineLevel="0" collapsed="false">
      <c r="A292" s="6" t="s">
        <v>1884</v>
      </c>
      <c r="B292" s="6" t="s">
        <v>1885</v>
      </c>
      <c r="C292" s="6" t="s">
        <v>1886</v>
      </c>
      <c r="D292" s="6" t="s">
        <v>1375</v>
      </c>
      <c r="E292" s="6" t="s">
        <v>9</v>
      </c>
      <c r="F292" s="7" t="n">
        <v>0.680555555555556</v>
      </c>
      <c r="G292" s="6" t="s">
        <v>28</v>
      </c>
      <c r="H292" s="6" t="s">
        <v>554</v>
      </c>
      <c r="I292" s="6" t="s">
        <v>555</v>
      </c>
      <c r="J292" s="6" t="s">
        <v>114</v>
      </c>
    </row>
    <row r="293" customFormat="false" ht="23.85" hidden="false" customHeight="false" outlineLevel="0" collapsed="false">
      <c r="A293" s="6" t="s">
        <v>1887</v>
      </c>
      <c r="B293" s="6" t="s">
        <v>1888</v>
      </c>
      <c r="C293" s="6" t="s">
        <v>1889</v>
      </c>
      <c r="D293" s="6" t="s">
        <v>1375</v>
      </c>
      <c r="E293" s="6" t="s">
        <v>9</v>
      </c>
      <c r="F293" s="7" t="n">
        <v>0.680555555555556</v>
      </c>
      <c r="G293" s="6" t="s">
        <v>28</v>
      </c>
      <c r="H293" s="6" t="s">
        <v>554</v>
      </c>
      <c r="I293" s="6" t="s">
        <v>555</v>
      </c>
      <c r="J293" s="6" t="s">
        <v>114</v>
      </c>
    </row>
    <row r="294" customFormat="false" ht="23.85" hidden="false" customHeight="false" outlineLevel="0" collapsed="false">
      <c r="A294" s="6" t="s">
        <v>1752</v>
      </c>
      <c r="B294" s="6" t="s">
        <v>1442</v>
      </c>
      <c r="C294" s="6" t="s">
        <v>1753</v>
      </c>
      <c r="D294" s="6" t="s">
        <v>1375</v>
      </c>
      <c r="E294" s="6" t="s">
        <v>9</v>
      </c>
      <c r="F294" s="7" t="n">
        <v>0.680555555555556</v>
      </c>
      <c r="G294" s="6" t="s">
        <v>28</v>
      </c>
      <c r="H294" s="6" t="s">
        <v>554</v>
      </c>
      <c r="I294" s="6" t="s">
        <v>555</v>
      </c>
      <c r="J294" s="6" t="s">
        <v>114</v>
      </c>
    </row>
    <row r="295" customFormat="false" ht="23.85" hidden="false" customHeight="false" outlineLevel="0" collapsed="false">
      <c r="A295" s="6" t="s">
        <v>1890</v>
      </c>
      <c r="B295" s="6" t="s">
        <v>1891</v>
      </c>
      <c r="C295" s="6" t="s">
        <v>492</v>
      </c>
      <c r="D295" s="6" t="s">
        <v>1375</v>
      </c>
      <c r="E295" s="6" t="s">
        <v>9</v>
      </c>
      <c r="F295" s="7" t="n">
        <v>0.680555555555556</v>
      </c>
      <c r="G295" s="6" t="s">
        <v>34</v>
      </c>
      <c r="H295" s="6" t="s">
        <v>215</v>
      </c>
      <c r="I295" s="6" t="s">
        <v>560</v>
      </c>
      <c r="J295" s="6" t="s">
        <v>103</v>
      </c>
    </row>
    <row r="296" customFormat="false" ht="15" hidden="false" customHeight="false" outlineLevel="0" collapsed="false">
      <c r="A296" s="6" t="s">
        <v>1892</v>
      </c>
      <c r="B296" s="6" t="s">
        <v>1893</v>
      </c>
      <c r="C296" s="6" t="s">
        <v>79</v>
      </c>
      <c r="D296" s="6" t="s">
        <v>1375</v>
      </c>
      <c r="E296" s="6" t="s">
        <v>9</v>
      </c>
      <c r="F296" s="7" t="n">
        <v>0.680555555555556</v>
      </c>
      <c r="G296" s="6" t="s">
        <v>34</v>
      </c>
      <c r="H296" s="6" t="s">
        <v>215</v>
      </c>
      <c r="I296" s="6" t="s">
        <v>560</v>
      </c>
      <c r="J296" s="6" t="s">
        <v>103</v>
      </c>
    </row>
    <row r="297" customFormat="false" ht="15" hidden="false" customHeight="false" outlineLevel="0" collapsed="false">
      <c r="A297" s="6" t="s">
        <v>1894</v>
      </c>
      <c r="B297" s="6" t="s">
        <v>1895</v>
      </c>
      <c r="C297" s="6" t="s">
        <v>1896</v>
      </c>
      <c r="D297" s="6" t="s">
        <v>1375</v>
      </c>
      <c r="E297" s="6" t="s">
        <v>9</v>
      </c>
      <c r="F297" s="7" t="n">
        <v>0.680555555555556</v>
      </c>
      <c r="G297" s="6" t="s">
        <v>34</v>
      </c>
      <c r="H297" s="6" t="s">
        <v>215</v>
      </c>
      <c r="I297" s="6" t="s">
        <v>560</v>
      </c>
      <c r="J297" s="6" t="s">
        <v>103</v>
      </c>
    </row>
    <row r="298" customFormat="false" ht="15" hidden="false" customHeight="false" outlineLevel="0" collapsed="false">
      <c r="A298" s="6" t="s">
        <v>1897</v>
      </c>
      <c r="B298" s="6" t="s">
        <v>1898</v>
      </c>
      <c r="C298" s="6" t="s">
        <v>1053</v>
      </c>
      <c r="D298" s="6" t="s">
        <v>1375</v>
      </c>
      <c r="E298" s="6" t="s">
        <v>9</v>
      </c>
      <c r="F298" s="7" t="n">
        <v>0.680555555555556</v>
      </c>
      <c r="G298" s="6" t="s">
        <v>34</v>
      </c>
      <c r="H298" s="6" t="s">
        <v>215</v>
      </c>
      <c r="I298" s="6" t="s">
        <v>560</v>
      </c>
      <c r="J298" s="6" t="s">
        <v>103</v>
      </c>
    </row>
    <row r="299" customFormat="false" ht="15" hidden="false" customHeight="false" outlineLevel="0" collapsed="false">
      <c r="A299" s="6" t="s">
        <v>1028</v>
      </c>
      <c r="B299" s="6" t="s">
        <v>1899</v>
      </c>
      <c r="C299" s="6" t="s">
        <v>1029</v>
      </c>
      <c r="D299" s="6" t="s">
        <v>1375</v>
      </c>
      <c r="E299" s="6" t="s">
        <v>9</v>
      </c>
      <c r="F299" s="7" t="n">
        <v>0.680555555555556</v>
      </c>
      <c r="G299" s="6" t="s">
        <v>34</v>
      </c>
      <c r="H299" s="6" t="s">
        <v>215</v>
      </c>
      <c r="I299" s="6" t="s">
        <v>560</v>
      </c>
      <c r="J299" s="6" t="s">
        <v>103</v>
      </c>
    </row>
    <row r="300" customFormat="false" ht="15" hidden="false" customHeight="false" outlineLevel="0" collapsed="false">
      <c r="A300" s="6" t="s">
        <v>1766</v>
      </c>
      <c r="B300" s="6" t="s">
        <v>1675</v>
      </c>
      <c r="C300" s="6" t="s">
        <v>1767</v>
      </c>
      <c r="D300" s="6" t="s">
        <v>1375</v>
      </c>
      <c r="E300" s="6" t="s">
        <v>9</v>
      </c>
      <c r="F300" s="7" t="n">
        <v>0.680555555555556</v>
      </c>
      <c r="G300" s="6" t="s">
        <v>34</v>
      </c>
      <c r="H300" s="6" t="s">
        <v>215</v>
      </c>
      <c r="I300" s="6" t="s">
        <v>560</v>
      </c>
      <c r="J300" s="6" t="s">
        <v>103</v>
      </c>
    </row>
    <row r="301" customFormat="false" ht="23.85" hidden="false" customHeight="false" outlineLevel="0" collapsed="false">
      <c r="A301" s="6" t="s">
        <v>567</v>
      </c>
      <c r="B301" s="6" t="s">
        <v>1900</v>
      </c>
      <c r="C301" s="6" t="s">
        <v>568</v>
      </c>
      <c r="D301" s="6" t="s">
        <v>1375</v>
      </c>
      <c r="E301" s="6" t="s">
        <v>9</v>
      </c>
      <c r="F301" s="7" t="n">
        <v>0.680555555555556</v>
      </c>
      <c r="G301" s="6" t="s">
        <v>21</v>
      </c>
      <c r="H301" s="6" t="s">
        <v>81</v>
      </c>
      <c r="I301" s="6" t="s">
        <v>565</v>
      </c>
      <c r="J301" s="6" t="s">
        <v>64</v>
      </c>
    </row>
    <row r="302" customFormat="false" ht="23.85" hidden="false" customHeight="false" outlineLevel="0" collapsed="false">
      <c r="A302" s="6" t="s">
        <v>1901</v>
      </c>
      <c r="B302" s="6" t="s">
        <v>1902</v>
      </c>
      <c r="C302" s="6" t="s">
        <v>1903</v>
      </c>
      <c r="D302" s="6" t="s">
        <v>1375</v>
      </c>
      <c r="E302" s="6" t="s">
        <v>9</v>
      </c>
      <c r="F302" s="7" t="n">
        <v>0.680555555555556</v>
      </c>
      <c r="G302" s="6" t="s">
        <v>32</v>
      </c>
      <c r="H302" s="6" t="s">
        <v>134</v>
      </c>
      <c r="I302" s="6" t="s">
        <v>569</v>
      </c>
      <c r="J302" s="6" t="s">
        <v>108</v>
      </c>
    </row>
    <row r="303" customFormat="false" ht="23.85" hidden="false" customHeight="false" outlineLevel="0" collapsed="false">
      <c r="A303" s="6" t="s">
        <v>1904</v>
      </c>
      <c r="B303" s="6" t="s">
        <v>1905</v>
      </c>
      <c r="C303" s="6" t="s">
        <v>1906</v>
      </c>
      <c r="D303" s="6" t="s">
        <v>1375</v>
      </c>
      <c r="E303" s="6" t="s">
        <v>9</v>
      </c>
      <c r="F303" s="7" t="n">
        <v>0.680555555555556</v>
      </c>
      <c r="G303" s="6" t="s">
        <v>32</v>
      </c>
      <c r="H303" s="6" t="s">
        <v>134</v>
      </c>
      <c r="I303" s="6" t="s">
        <v>569</v>
      </c>
      <c r="J303" s="6" t="s">
        <v>108</v>
      </c>
    </row>
    <row r="304" customFormat="false" ht="23.85" hidden="false" customHeight="false" outlineLevel="0" collapsed="false">
      <c r="A304" s="6" t="s">
        <v>1907</v>
      </c>
      <c r="B304" s="6" t="s">
        <v>1908</v>
      </c>
      <c r="C304" s="6" t="s">
        <v>275</v>
      </c>
      <c r="D304" s="6" t="s">
        <v>1375</v>
      </c>
      <c r="E304" s="6" t="s">
        <v>9</v>
      </c>
      <c r="F304" s="7" t="n">
        <v>0.680555555555556</v>
      </c>
      <c r="G304" s="6" t="s">
        <v>32</v>
      </c>
      <c r="H304" s="6" t="s">
        <v>134</v>
      </c>
      <c r="I304" s="6" t="s">
        <v>569</v>
      </c>
      <c r="J304" s="6" t="s">
        <v>108</v>
      </c>
    </row>
    <row r="305" customFormat="false" ht="23.85" hidden="false" customHeight="false" outlineLevel="0" collapsed="false">
      <c r="A305" s="6" t="s">
        <v>1909</v>
      </c>
      <c r="B305" s="6" t="s">
        <v>1910</v>
      </c>
      <c r="C305" s="6" t="s">
        <v>1637</v>
      </c>
      <c r="D305" s="6" t="s">
        <v>1375</v>
      </c>
      <c r="E305" s="6" t="s">
        <v>9</v>
      </c>
      <c r="F305" s="7" t="n">
        <v>0.680555555555556</v>
      </c>
      <c r="G305" s="6" t="s">
        <v>32</v>
      </c>
      <c r="H305" s="6" t="s">
        <v>134</v>
      </c>
      <c r="I305" s="6" t="s">
        <v>569</v>
      </c>
      <c r="J305" s="6" t="s">
        <v>108</v>
      </c>
    </row>
    <row r="306" customFormat="false" ht="23.85" hidden="false" customHeight="false" outlineLevel="0" collapsed="false">
      <c r="A306" s="6" t="s">
        <v>1813</v>
      </c>
      <c r="B306" s="6" t="s">
        <v>1446</v>
      </c>
      <c r="C306" s="6" t="s">
        <v>1814</v>
      </c>
      <c r="D306" s="6" t="s">
        <v>1375</v>
      </c>
      <c r="E306" s="6" t="s">
        <v>9</v>
      </c>
      <c r="F306" s="7" t="n">
        <v>0.690972222222222</v>
      </c>
      <c r="G306" s="6" t="s">
        <v>21</v>
      </c>
      <c r="H306" s="6" t="s">
        <v>134</v>
      </c>
      <c r="I306" s="6" t="s">
        <v>574</v>
      </c>
      <c r="J306" s="6" t="s">
        <v>64</v>
      </c>
    </row>
    <row r="307" customFormat="false" ht="23.85" hidden="false" customHeight="false" outlineLevel="0" collapsed="false">
      <c r="A307" s="6" t="s">
        <v>1911</v>
      </c>
      <c r="B307" s="6" t="s">
        <v>1912</v>
      </c>
      <c r="C307" s="6" t="s">
        <v>79</v>
      </c>
      <c r="D307" s="6" t="s">
        <v>1375</v>
      </c>
      <c r="E307" s="6" t="s">
        <v>9</v>
      </c>
      <c r="F307" s="7" t="n">
        <v>0.690972222222222</v>
      </c>
      <c r="G307" s="6" t="s">
        <v>21</v>
      </c>
      <c r="H307" s="6" t="s">
        <v>134</v>
      </c>
      <c r="I307" s="6" t="s">
        <v>574</v>
      </c>
      <c r="J307" s="6" t="s">
        <v>64</v>
      </c>
    </row>
    <row r="308" customFormat="false" ht="23.85" hidden="false" customHeight="false" outlineLevel="0" collapsed="false">
      <c r="A308" s="6" t="s">
        <v>1913</v>
      </c>
      <c r="B308" s="6" t="s">
        <v>1914</v>
      </c>
      <c r="C308" s="6" t="s">
        <v>1915</v>
      </c>
      <c r="D308" s="6" t="s">
        <v>1375</v>
      </c>
      <c r="E308" s="6" t="s">
        <v>9</v>
      </c>
      <c r="F308" s="7" t="n">
        <v>0.690972222222222</v>
      </c>
      <c r="G308" s="6" t="s">
        <v>21</v>
      </c>
      <c r="H308" s="6" t="s">
        <v>134</v>
      </c>
      <c r="I308" s="6" t="s">
        <v>574</v>
      </c>
      <c r="J308" s="6" t="s">
        <v>64</v>
      </c>
    </row>
    <row r="309" customFormat="false" ht="23.85" hidden="false" customHeight="false" outlineLevel="0" collapsed="false">
      <c r="A309" s="6" t="s">
        <v>1916</v>
      </c>
      <c r="B309" s="6" t="s">
        <v>1917</v>
      </c>
      <c r="C309" s="6" t="s">
        <v>1918</v>
      </c>
      <c r="D309" s="6" t="s">
        <v>1375</v>
      </c>
      <c r="E309" s="6" t="s">
        <v>9</v>
      </c>
      <c r="F309" s="7" t="n">
        <v>0.690972222222222</v>
      </c>
      <c r="G309" s="6" t="s">
        <v>21</v>
      </c>
      <c r="H309" s="6" t="s">
        <v>134</v>
      </c>
      <c r="I309" s="6" t="s">
        <v>574</v>
      </c>
      <c r="J309" s="6" t="s">
        <v>64</v>
      </c>
    </row>
    <row r="310" customFormat="false" ht="23.85" hidden="false" customHeight="false" outlineLevel="0" collapsed="false">
      <c r="A310" s="6" t="s">
        <v>1397</v>
      </c>
      <c r="B310" s="6" t="s">
        <v>1398</v>
      </c>
      <c r="C310" s="6" t="s">
        <v>1399</v>
      </c>
      <c r="D310" s="6" t="s">
        <v>1375</v>
      </c>
      <c r="E310" s="6" t="s">
        <v>9</v>
      </c>
      <c r="F310" s="7" t="n">
        <v>0.690972222222222</v>
      </c>
      <c r="G310" s="6" t="s">
        <v>21</v>
      </c>
      <c r="H310" s="6" t="s">
        <v>134</v>
      </c>
      <c r="I310" s="6" t="s">
        <v>574</v>
      </c>
      <c r="J310" s="6" t="s">
        <v>64</v>
      </c>
    </row>
    <row r="311" customFormat="false" ht="15" hidden="false" customHeight="false" outlineLevel="0" collapsed="false">
      <c r="A311" s="6" t="s">
        <v>210</v>
      </c>
      <c r="B311" s="6"/>
      <c r="C311" s="6" t="s">
        <v>211</v>
      </c>
      <c r="D311" s="6" t="s">
        <v>1375</v>
      </c>
      <c r="E311" s="6" t="s">
        <v>9</v>
      </c>
      <c r="F311" s="7" t="n">
        <v>0.71875</v>
      </c>
      <c r="G311" s="6" t="s">
        <v>31</v>
      </c>
      <c r="H311" s="6" t="s">
        <v>59</v>
      </c>
      <c r="I311" s="6" t="s">
        <v>579</v>
      </c>
      <c r="J311" s="6" t="s">
        <v>580</v>
      </c>
    </row>
    <row r="312" customFormat="false" ht="23.85" hidden="false" customHeight="false" outlineLevel="0" collapsed="false">
      <c r="A312" s="6" t="s">
        <v>210</v>
      </c>
      <c r="B312" s="6"/>
      <c r="C312" s="6" t="s">
        <v>211</v>
      </c>
      <c r="D312" s="6" t="s">
        <v>1375</v>
      </c>
      <c r="E312" s="6" t="s">
        <v>10</v>
      </c>
      <c r="F312" s="7" t="n">
        <v>0.34375</v>
      </c>
      <c r="G312" s="6" t="s">
        <v>31</v>
      </c>
      <c r="H312" s="6" t="s">
        <v>31</v>
      </c>
      <c r="I312" s="6" t="s">
        <v>582</v>
      </c>
      <c r="J312" s="6" t="s">
        <v>212</v>
      </c>
    </row>
    <row r="313" customFormat="false" ht="15" hidden="false" customHeight="false" outlineLevel="0" collapsed="false">
      <c r="A313" s="6" t="s">
        <v>586</v>
      </c>
      <c r="B313" s="6" t="s">
        <v>1919</v>
      </c>
      <c r="C313" s="6" t="s">
        <v>587</v>
      </c>
      <c r="D313" s="6" t="s">
        <v>1375</v>
      </c>
      <c r="E313" s="6" t="s">
        <v>10</v>
      </c>
      <c r="F313" s="7" t="n">
        <v>0.381944444444444</v>
      </c>
      <c r="G313" s="6" t="s">
        <v>14</v>
      </c>
      <c r="H313" s="6" t="s">
        <v>59</v>
      </c>
      <c r="I313" s="6" t="s">
        <v>584</v>
      </c>
      <c r="J313" s="6" t="s">
        <v>588</v>
      </c>
    </row>
    <row r="314" customFormat="false" ht="15" hidden="false" customHeight="false" outlineLevel="0" collapsed="false">
      <c r="A314" s="6" t="s">
        <v>592</v>
      </c>
      <c r="B314" s="6" t="s">
        <v>1442</v>
      </c>
      <c r="C314" s="6" t="s">
        <v>593</v>
      </c>
      <c r="D314" s="6" t="s">
        <v>1375</v>
      </c>
      <c r="E314" s="6" t="s">
        <v>10</v>
      </c>
      <c r="F314" s="7" t="n">
        <v>0.385416666666667</v>
      </c>
      <c r="G314" s="6" t="s">
        <v>18</v>
      </c>
      <c r="H314" s="6" t="s">
        <v>59</v>
      </c>
      <c r="I314" s="6" t="s">
        <v>590</v>
      </c>
      <c r="J314" s="6" t="s">
        <v>64</v>
      </c>
    </row>
    <row r="315" customFormat="false" ht="15" hidden="false" customHeight="false" outlineLevel="0" collapsed="false">
      <c r="A315" s="6" t="s">
        <v>1920</v>
      </c>
      <c r="B315" s="6" t="s">
        <v>1442</v>
      </c>
      <c r="C315" s="6" t="s">
        <v>1921</v>
      </c>
      <c r="D315" s="6" t="s">
        <v>1375</v>
      </c>
      <c r="E315" s="6" t="s">
        <v>10</v>
      </c>
      <c r="F315" s="7" t="n">
        <v>0.388888888888889</v>
      </c>
      <c r="G315" s="6" t="s">
        <v>18</v>
      </c>
      <c r="H315" s="6" t="s">
        <v>594</v>
      </c>
      <c r="I315" s="6" t="s">
        <v>595</v>
      </c>
      <c r="J315" s="6" t="s">
        <v>64</v>
      </c>
    </row>
    <row r="316" customFormat="false" ht="15" hidden="false" customHeight="false" outlineLevel="0" collapsed="false">
      <c r="A316" s="6" t="s">
        <v>1922</v>
      </c>
      <c r="B316" s="6" t="s">
        <v>1923</v>
      </c>
      <c r="C316" s="6" t="s">
        <v>1924</v>
      </c>
      <c r="D316" s="6" t="s">
        <v>1375</v>
      </c>
      <c r="E316" s="6" t="s">
        <v>10</v>
      </c>
      <c r="F316" s="7" t="n">
        <v>0.388888888888889</v>
      </c>
      <c r="G316" s="6" t="s">
        <v>18</v>
      </c>
      <c r="H316" s="6" t="s">
        <v>594</v>
      </c>
      <c r="I316" s="6" t="s">
        <v>595</v>
      </c>
      <c r="J316" s="6" t="s">
        <v>64</v>
      </c>
    </row>
    <row r="317" customFormat="false" ht="15" hidden="false" customHeight="false" outlineLevel="0" collapsed="false">
      <c r="A317" s="6" t="s">
        <v>1925</v>
      </c>
      <c r="B317" s="6" t="s">
        <v>1442</v>
      </c>
      <c r="C317" s="6" t="s">
        <v>587</v>
      </c>
      <c r="D317" s="6" t="s">
        <v>1375</v>
      </c>
      <c r="E317" s="6" t="s">
        <v>10</v>
      </c>
      <c r="F317" s="7" t="n">
        <v>0.388888888888889</v>
      </c>
      <c r="G317" s="6" t="s">
        <v>14</v>
      </c>
      <c r="H317" s="6" t="s">
        <v>594</v>
      </c>
      <c r="I317" s="6" t="s">
        <v>599</v>
      </c>
      <c r="J317" s="6" t="s">
        <v>588</v>
      </c>
    </row>
    <row r="318" customFormat="false" ht="15" hidden="false" customHeight="false" outlineLevel="0" collapsed="false">
      <c r="A318" s="6" t="s">
        <v>1926</v>
      </c>
      <c r="B318" s="6" t="s">
        <v>1927</v>
      </c>
      <c r="C318" s="6" t="s">
        <v>1928</v>
      </c>
      <c r="D318" s="6" t="s">
        <v>1375</v>
      </c>
      <c r="E318" s="6" t="s">
        <v>10</v>
      </c>
      <c r="F318" s="7" t="n">
        <v>0.388888888888889</v>
      </c>
      <c r="G318" s="6" t="s">
        <v>14</v>
      </c>
      <c r="H318" s="6" t="s">
        <v>594</v>
      </c>
      <c r="I318" s="6" t="s">
        <v>599</v>
      </c>
      <c r="J318" s="6" t="s">
        <v>588</v>
      </c>
    </row>
    <row r="319" customFormat="false" ht="15" hidden="false" customHeight="false" outlineLevel="0" collapsed="false">
      <c r="A319" s="6" t="s">
        <v>1929</v>
      </c>
      <c r="B319" s="6" t="s">
        <v>1442</v>
      </c>
      <c r="C319" s="6" t="s">
        <v>1930</v>
      </c>
      <c r="D319" s="6" t="s">
        <v>1375</v>
      </c>
      <c r="E319" s="6" t="s">
        <v>10</v>
      </c>
      <c r="F319" s="7" t="n">
        <v>0.395833333333333</v>
      </c>
      <c r="G319" s="6" t="s">
        <v>14</v>
      </c>
      <c r="H319" s="6" t="s">
        <v>594</v>
      </c>
      <c r="I319" s="6" t="s">
        <v>603</v>
      </c>
      <c r="J319" s="6" t="s">
        <v>588</v>
      </c>
    </row>
    <row r="320" customFormat="false" ht="15" hidden="false" customHeight="false" outlineLevel="0" collapsed="false">
      <c r="A320" s="6" t="s">
        <v>1926</v>
      </c>
      <c r="B320" s="6" t="s">
        <v>1927</v>
      </c>
      <c r="C320" s="6" t="s">
        <v>1928</v>
      </c>
      <c r="D320" s="6" t="s">
        <v>1375</v>
      </c>
      <c r="E320" s="6" t="s">
        <v>10</v>
      </c>
      <c r="F320" s="7" t="n">
        <v>0.395833333333333</v>
      </c>
      <c r="G320" s="6" t="s">
        <v>14</v>
      </c>
      <c r="H320" s="6" t="s">
        <v>594</v>
      </c>
      <c r="I320" s="6" t="s">
        <v>603</v>
      </c>
      <c r="J320" s="6" t="s">
        <v>588</v>
      </c>
    </row>
    <row r="321" customFormat="false" ht="15" hidden="false" customHeight="false" outlineLevel="0" collapsed="false">
      <c r="A321" s="6" t="s">
        <v>592</v>
      </c>
      <c r="B321" s="6" t="s">
        <v>1442</v>
      </c>
      <c r="C321" s="6" t="s">
        <v>593</v>
      </c>
      <c r="D321" s="6" t="s">
        <v>1375</v>
      </c>
      <c r="E321" s="6" t="s">
        <v>10</v>
      </c>
      <c r="F321" s="7" t="n">
        <v>0.395833333333333</v>
      </c>
      <c r="G321" s="6" t="s">
        <v>18</v>
      </c>
      <c r="H321" s="6" t="s">
        <v>594</v>
      </c>
      <c r="I321" s="6" t="s">
        <v>607</v>
      </c>
      <c r="J321" s="6" t="s">
        <v>64</v>
      </c>
    </row>
    <row r="322" customFormat="false" ht="15" hidden="false" customHeight="false" outlineLevel="0" collapsed="false">
      <c r="A322" s="6" t="s">
        <v>1922</v>
      </c>
      <c r="B322" s="6" t="s">
        <v>1923</v>
      </c>
      <c r="C322" s="6" t="s">
        <v>1924</v>
      </c>
      <c r="D322" s="6" t="s">
        <v>1375</v>
      </c>
      <c r="E322" s="6" t="s">
        <v>10</v>
      </c>
      <c r="F322" s="7" t="n">
        <v>0.395833333333333</v>
      </c>
      <c r="G322" s="6" t="s">
        <v>18</v>
      </c>
      <c r="H322" s="6" t="s">
        <v>594</v>
      </c>
      <c r="I322" s="6" t="s">
        <v>607</v>
      </c>
      <c r="J322" s="6" t="s">
        <v>64</v>
      </c>
    </row>
    <row r="323" customFormat="false" ht="15" hidden="false" customHeight="false" outlineLevel="0" collapsed="false">
      <c r="A323" s="6" t="s">
        <v>1931</v>
      </c>
      <c r="B323" s="6" t="s">
        <v>1442</v>
      </c>
      <c r="C323" s="6" t="s">
        <v>1932</v>
      </c>
      <c r="D323" s="6" t="s">
        <v>1375</v>
      </c>
      <c r="E323" s="6" t="s">
        <v>10</v>
      </c>
      <c r="F323" s="7" t="n">
        <v>0.402777777777778</v>
      </c>
      <c r="G323" s="6" t="s">
        <v>18</v>
      </c>
      <c r="H323" s="6" t="s">
        <v>594</v>
      </c>
      <c r="I323" s="6" t="s">
        <v>611</v>
      </c>
      <c r="J323" s="6" t="s">
        <v>64</v>
      </c>
    </row>
    <row r="324" customFormat="false" ht="15" hidden="false" customHeight="false" outlineLevel="0" collapsed="false">
      <c r="A324" s="6" t="s">
        <v>1922</v>
      </c>
      <c r="B324" s="6" t="s">
        <v>1923</v>
      </c>
      <c r="C324" s="6" t="s">
        <v>1924</v>
      </c>
      <c r="D324" s="6" t="s">
        <v>1375</v>
      </c>
      <c r="E324" s="6" t="s">
        <v>10</v>
      </c>
      <c r="F324" s="7" t="n">
        <v>0.402777777777778</v>
      </c>
      <c r="G324" s="6" t="s">
        <v>18</v>
      </c>
      <c r="H324" s="6" t="s">
        <v>594</v>
      </c>
      <c r="I324" s="6" t="s">
        <v>611</v>
      </c>
      <c r="J324" s="6" t="s">
        <v>64</v>
      </c>
    </row>
    <row r="325" customFormat="false" ht="15" hidden="false" customHeight="false" outlineLevel="0" collapsed="false">
      <c r="A325" s="6" t="s">
        <v>1933</v>
      </c>
      <c r="B325" s="6" t="s">
        <v>1412</v>
      </c>
      <c r="C325" s="6" t="s">
        <v>1934</v>
      </c>
      <c r="D325" s="6" t="s">
        <v>1375</v>
      </c>
      <c r="E325" s="6" t="s">
        <v>10</v>
      </c>
      <c r="F325" s="7" t="n">
        <v>0.402777777777778</v>
      </c>
      <c r="G325" s="6" t="s">
        <v>14</v>
      </c>
      <c r="H325" s="6" t="s">
        <v>594</v>
      </c>
      <c r="I325" s="6" t="s">
        <v>615</v>
      </c>
      <c r="J325" s="6" t="s">
        <v>588</v>
      </c>
    </row>
    <row r="326" customFormat="false" ht="15" hidden="false" customHeight="false" outlineLevel="0" collapsed="false">
      <c r="A326" s="6" t="s">
        <v>1926</v>
      </c>
      <c r="B326" s="6" t="s">
        <v>1927</v>
      </c>
      <c r="C326" s="6" t="s">
        <v>1928</v>
      </c>
      <c r="D326" s="6" t="s">
        <v>1375</v>
      </c>
      <c r="E326" s="6" t="s">
        <v>10</v>
      </c>
      <c r="F326" s="7" t="n">
        <v>0.402777777777778</v>
      </c>
      <c r="G326" s="6" t="s">
        <v>14</v>
      </c>
      <c r="H326" s="6" t="s">
        <v>594</v>
      </c>
      <c r="I326" s="6" t="s">
        <v>615</v>
      </c>
      <c r="J326" s="6" t="s">
        <v>588</v>
      </c>
    </row>
    <row r="327" customFormat="false" ht="23.85" hidden="false" customHeight="false" outlineLevel="0" collapsed="false">
      <c r="A327" s="6" t="s">
        <v>1925</v>
      </c>
      <c r="B327" s="6" t="s">
        <v>1442</v>
      </c>
      <c r="C327" s="6" t="s">
        <v>587</v>
      </c>
      <c r="D327" s="6" t="s">
        <v>1375</v>
      </c>
      <c r="E327" s="6" t="s">
        <v>10</v>
      </c>
      <c r="F327" s="7" t="n">
        <v>0.409722222222222</v>
      </c>
      <c r="G327" s="6" t="s">
        <v>14</v>
      </c>
      <c r="H327" s="6" t="s">
        <v>134</v>
      </c>
      <c r="I327" s="6" t="s">
        <v>619</v>
      </c>
      <c r="J327" s="6" t="s">
        <v>588</v>
      </c>
    </row>
    <row r="328" customFormat="false" ht="23.85" hidden="false" customHeight="false" outlineLevel="0" collapsed="false">
      <c r="A328" s="6" t="s">
        <v>1929</v>
      </c>
      <c r="B328" s="6" t="s">
        <v>1442</v>
      </c>
      <c r="C328" s="6" t="s">
        <v>1930</v>
      </c>
      <c r="D328" s="6" t="s">
        <v>1375</v>
      </c>
      <c r="E328" s="6" t="s">
        <v>10</v>
      </c>
      <c r="F328" s="7" t="n">
        <v>0.409722222222222</v>
      </c>
      <c r="G328" s="6" t="s">
        <v>14</v>
      </c>
      <c r="H328" s="6" t="s">
        <v>134</v>
      </c>
      <c r="I328" s="6" t="s">
        <v>619</v>
      </c>
      <c r="J328" s="6" t="s">
        <v>588</v>
      </c>
    </row>
    <row r="329" customFormat="false" ht="23.85" hidden="false" customHeight="false" outlineLevel="0" collapsed="false">
      <c r="A329" s="6" t="s">
        <v>1933</v>
      </c>
      <c r="B329" s="6" t="s">
        <v>1412</v>
      </c>
      <c r="C329" s="6" t="s">
        <v>1934</v>
      </c>
      <c r="D329" s="6" t="s">
        <v>1375</v>
      </c>
      <c r="E329" s="6" t="s">
        <v>10</v>
      </c>
      <c r="F329" s="7" t="n">
        <v>0.409722222222222</v>
      </c>
      <c r="G329" s="6" t="s">
        <v>14</v>
      </c>
      <c r="H329" s="6" t="s">
        <v>134</v>
      </c>
      <c r="I329" s="6" t="s">
        <v>619</v>
      </c>
      <c r="J329" s="6" t="s">
        <v>588</v>
      </c>
    </row>
    <row r="330" customFormat="false" ht="15" hidden="false" customHeight="false" outlineLevel="0" collapsed="false">
      <c r="A330" s="6" t="s">
        <v>1935</v>
      </c>
      <c r="B330" s="6" t="s">
        <v>1442</v>
      </c>
      <c r="C330" s="6" t="s">
        <v>1936</v>
      </c>
      <c r="D330" s="6" t="s">
        <v>1375</v>
      </c>
      <c r="E330" s="6" t="s">
        <v>10</v>
      </c>
      <c r="F330" s="7" t="n">
        <v>0.409722222222222</v>
      </c>
      <c r="G330" s="6" t="s">
        <v>18</v>
      </c>
      <c r="H330" s="6" t="s">
        <v>594</v>
      </c>
      <c r="I330" s="6" t="s">
        <v>624</v>
      </c>
      <c r="J330" s="6" t="s">
        <v>64</v>
      </c>
    </row>
    <row r="331" customFormat="false" ht="15" hidden="false" customHeight="false" outlineLevel="0" collapsed="false">
      <c r="A331" s="6" t="s">
        <v>1922</v>
      </c>
      <c r="B331" s="6" t="s">
        <v>1923</v>
      </c>
      <c r="C331" s="6" t="s">
        <v>1924</v>
      </c>
      <c r="D331" s="6" t="s">
        <v>1375</v>
      </c>
      <c r="E331" s="6" t="s">
        <v>10</v>
      </c>
      <c r="F331" s="7" t="n">
        <v>0.409722222222222</v>
      </c>
      <c r="G331" s="6" t="s">
        <v>18</v>
      </c>
      <c r="H331" s="6" t="s">
        <v>594</v>
      </c>
      <c r="I331" s="6" t="s">
        <v>624</v>
      </c>
      <c r="J331" s="6" t="s">
        <v>64</v>
      </c>
    </row>
    <row r="332" customFormat="false" ht="23.85" hidden="false" customHeight="false" outlineLevel="0" collapsed="false">
      <c r="A332" s="6" t="s">
        <v>1920</v>
      </c>
      <c r="B332" s="6" t="s">
        <v>1442</v>
      </c>
      <c r="C332" s="6" t="s">
        <v>1921</v>
      </c>
      <c r="D332" s="6" t="s">
        <v>1375</v>
      </c>
      <c r="E332" s="6" t="s">
        <v>10</v>
      </c>
      <c r="F332" s="7" t="n">
        <v>0.416666666666667</v>
      </c>
      <c r="G332" s="6" t="s">
        <v>18</v>
      </c>
      <c r="H332" s="6" t="s">
        <v>134</v>
      </c>
      <c r="I332" s="6" t="s">
        <v>628</v>
      </c>
      <c r="J332" s="6" t="s">
        <v>64</v>
      </c>
    </row>
    <row r="333" customFormat="false" ht="23.85" hidden="false" customHeight="false" outlineLevel="0" collapsed="false">
      <c r="A333" s="6" t="s">
        <v>1937</v>
      </c>
      <c r="B333" s="6" t="s">
        <v>1938</v>
      </c>
      <c r="C333" s="6" t="s">
        <v>1939</v>
      </c>
      <c r="D333" s="6" t="s">
        <v>1375</v>
      </c>
      <c r="E333" s="6" t="s">
        <v>10</v>
      </c>
      <c r="F333" s="7" t="n">
        <v>0.416666666666667</v>
      </c>
      <c r="G333" s="6" t="s">
        <v>18</v>
      </c>
      <c r="H333" s="6" t="s">
        <v>134</v>
      </c>
      <c r="I333" s="6" t="s">
        <v>628</v>
      </c>
      <c r="J333" s="6" t="s">
        <v>64</v>
      </c>
    </row>
    <row r="334" customFormat="false" ht="23.85" hidden="false" customHeight="false" outlineLevel="0" collapsed="false">
      <c r="A334" s="6" t="s">
        <v>1935</v>
      </c>
      <c r="B334" s="6" t="s">
        <v>1442</v>
      </c>
      <c r="C334" s="6" t="s">
        <v>1936</v>
      </c>
      <c r="D334" s="6" t="s">
        <v>1375</v>
      </c>
      <c r="E334" s="6" t="s">
        <v>10</v>
      </c>
      <c r="F334" s="7" t="n">
        <v>0.416666666666667</v>
      </c>
      <c r="G334" s="6" t="s">
        <v>18</v>
      </c>
      <c r="H334" s="6" t="s">
        <v>134</v>
      </c>
      <c r="I334" s="6" t="s">
        <v>628</v>
      </c>
      <c r="J334" s="6" t="s">
        <v>64</v>
      </c>
    </row>
    <row r="335" customFormat="false" ht="23.85" hidden="false" customHeight="false" outlineLevel="0" collapsed="false">
      <c r="A335" s="6" t="s">
        <v>1940</v>
      </c>
      <c r="B335" s="6"/>
      <c r="C335" s="6"/>
      <c r="D335" s="6" t="s">
        <v>210</v>
      </c>
      <c r="E335" s="6" t="s">
        <v>10</v>
      </c>
      <c r="F335" s="7" t="n">
        <v>0.447916666666667</v>
      </c>
      <c r="G335" s="6" t="s">
        <v>35</v>
      </c>
      <c r="H335" s="6" t="s">
        <v>35</v>
      </c>
      <c r="I335" s="6" t="s">
        <v>633</v>
      </c>
      <c r="J335" s="6" t="s">
        <v>580</v>
      </c>
    </row>
    <row r="336" customFormat="false" ht="23.85" hidden="false" customHeight="false" outlineLevel="0" collapsed="false">
      <c r="A336" s="6" t="s">
        <v>1941</v>
      </c>
      <c r="B336" s="6"/>
      <c r="C336" s="6"/>
      <c r="D336" s="6" t="s">
        <v>210</v>
      </c>
      <c r="E336" s="6" t="s">
        <v>10</v>
      </c>
      <c r="F336" s="7" t="n">
        <v>0.447916666666667</v>
      </c>
      <c r="G336" s="6" t="s">
        <v>35</v>
      </c>
      <c r="H336" s="6" t="s">
        <v>35</v>
      </c>
      <c r="I336" s="6" t="s">
        <v>633</v>
      </c>
      <c r="J336" s="6" t="s">
        <v>580</v>
      </c>
    </row>
    <row r="337" customFormat="false" ht="23.85" hidden="false" customHeight="false" outlineLevel="0" collapsed="false">
      <c r="A337" s="6" t="s">
        <v>1942</v>
      </c>
      <c r="B337" s="6"/>
      <c r="C337" s="6"/>
      <c r="D337" s="6" t="s">
        <v>210</v>
      </c>
      <c r="E337" s="6" t="s">
        <v>10</v>
      </c>
      <c r="F337" s="7" t="n">
        <v>0.447916666666667</v>
      </c>
      <c r="G337" s="6" t="s">
        <v>35</v>
      </c>
      <c r="H337" s="6" t="s">
        <v>35</v>
      </c>
      <c r="I337" s="6" t="s">
        <v>638</v>
      </c>
      <c r="J337" s="6" t="s">
        <v>580</v>
      </c>
    </row>
    <row r="338" customFormat="false" ht="23.85" hidden="false" customHeight="false" outlineLevel="0" collapsed="false">
      <c r="A338" s="6" t="s">
        <v>1943</v>
      </c>
      <c r="B338" s="6"/>
      <c r="C338" s="6"/>
      <c r="D338" s="6" t="s">
        <v>210</v>
      </c>
      <c r="E338" s="6" t="s">
        <v>10</v>
      </c>
      <c r="F338" s="7" t="n">
        <v>0.447916666666667</v>
      </c>
      <c r="G338" s="6" t="s">
        <v>35</v>
      </c>
      <c r="H338" s="6" t="s">
        <v>35</v>
      </c>
      <c r="I338" s="6" t="s">
        <v>638</v>
      </c>
      <c r="J338" s="6" t="s">
        <v>580</v>
      </c>
    </row>
    <row r="339" customFormat="false" ht="23.85" hidden="false" customHeight="false" outlineLevel="0" collapsed="false">
      <c r="A339" s="6" t="s">
        <v>1944</v>
      </c>
      <c r="B339" s="6"/>
      <c r="C339" s="6"/>
      <c r="D339" s="6" t="s">
        <v>210</v>
      </c>
      <c r="E339" s="6" t="s">
        <v>10</v>
      </c>
      <c r="F339" s="7" t="n">
        <v>0.447916666666667</v>
      </c>
      <c r="G339" s="6" t="s">
        <v>35</v>
      </c>
      <c r="H339" s="6" t="s">
        <v>35</v>
      </c>
      <c r="I339" s="6" t="s">
        <v>641</v>
      </c>
      <c r="J339" s="6" t="s">
        <v>580</v>
      </c>
    </row>
    <row r="340" customFormat="false" ht="23.85" hidden="false" customHeight="false" outlineLevel="0" collapsed="false">
      <c r="A340" s="6" t="s">
        <v>1945</v>
      </c>
      <c r="B340" s="6"/>
      <c r="C340" s="6"/>
      <c r="D340" s="6" t="s">
        <v>210</v>
      </c>
      <c r="E340" s="6" t="s">
        <v>10</v>
      </c>
      <c r="F340" s="7" t="n">
        <v>0.447916666666667</v>
      </c>
      <c r="G340" s="6" t="s">
        <v>35</v>
      </c>
      <c r="H340" s="6" t="s">
        <v>35</v>
      </c>
      <c r="I340" s="6" t="s">
        <v>641</v>
      </c>
      <c r="J340" s="6" t="s">
        <v>580</v>
      </c>
    </row>
    <row r="341" customFormat="false" ht="23.85" hidden="false" customHeight="false" outlineLevel="0" collapsed="false">
      <c r="A341" s="6" t="s">
        <v>1946</v>
      </c>
      <c r="B341" s="6"/>
      <c r="C341" s="6"/>
      <c r="D341" s="6" t="s">
        <v>210</v>
      </c>
      <c r="E341" s="6" t="s">
        <v>10</v>
      </c>
      <c r="F341" s="7" t="n">
        <v>0.447916666666667</v>
      </c>
      <c r="G341" s="6" t="s">
        <v>35</v>
      </c>
      <c r="H341" s="6" t="s">
        <v>35</v>
      </c>
      <c r="I341" s="6" t="s">
        <v>645</v>
      </c>
      <c r="J341" s="6" t="s">
        <v>580</v>
      </c>
    </row>
    <row r="342" customFormat="false" ht="23.85" hidden="false" customHeight="false" outlineLevel="0" collapsed="false">
      <c r="A342" s="6" t="s">
        <v>1947</v>
      </c>
      <c r="B342" s="6"/>
      <c r="C342" s="6"/>
      <c r="D342" s="6" t="s">
        <v>210</v>
      </c>
      <c r="E342" s="6" t="s">
        <v>10</v>
      </c>
      <c r="F342" s="7" t="n">
        <v>0.447916666666667</v>
      </c>
      <c r="G342" s="6" t="s">
        <v>35</v>
      </c>
      <c r="H342" s="6" t="s">
        <v>35</v>
      </c>
      <c r="I342" s="6" t="s">
        <v>645</v>
      </c>
      <c r="J342" s="6" t="s">
        <v>580</v>
      </c>
    </row>
    <row r="343" customFormat="false" ht="23.85" hidden="false" customHeight="false" outlineLevel="0" collapsed="false">
      <c r="A343" s="6" t="s">
        <v>649</v>
      </c>
      <c r="B343" s="6"/>
      <c r="C343" s="6"/>
      <c r="D343" s="6" t="s">
        <v>210</v>
      </c>
      <c r="E343" s="6" t="s">
        <v>10</v>
      </c>
      <c r="F343" s="7" t="n">
        <v>0.447916666666667</v>
      </c>
      <c r="G343" s="6" t="s">
        <v>35</v>
      </c>
      <c r="H343" s="6" t="s">
        <v>35</v>
      </c>
      <c r="I343" s="6" t="s">
        <v>648</v>
      </c>
      <c r="J343" s="6" t="s">
        <v>580</v>
      </c>
    </row>
    <row r="344" customFormat="false" ht="15" hidden="false" customHeight="false" outlineLevel="0" collapsed="false">
      <c r="A344" s="6" t="s">
        <v>862</v>
      </c>
      <c r="B344" s="6"/>
      <c r="C344" s="6"/>
      <c r="D344" s="6" t="s">
        <v>210</v>
      </c>
      <c r="E344" s="6" t="s">
        <v>10</v>
      </c>
      <c r="F344" s="7" t="n">
        <v>0.447916666666667</v>
      </c>
      <c r="G344" s="6" t="s">
        <v>35</v>
      </c>
      <c r="H344" s="6" t="s">
        <v>35</v>
      </c>
      <c r="I344" s="6" t="s">
        <v>650</v>
      </c>
      <c r="J344" s="6" t="s">
        <v>580</v>
      </c>
    </row>
    <row r="345" customFormat="false" ht="15" hidden="false" customHeight="false" outlineLevel="0" collapsed="false">
      <c r="A345" s="6" t="s">
        <v>1948</v>
      </c>
      <c r="B345" s="6"/>
      <c r="C345" s="6"/>
      <c r="D345" s="6" t="s">
        <v>210</v>
      </c>
      <c r="E345" s="6" t="s">
        <v>10</v>
      </c>
      <c r="F345" s="7" t="n">
        <v>0.447916666666667</v>
      </c>
      <c r="G345" s="6" t="s">
        <v>35</v>
      </c>
      <c r="H345" s="6" t="s">
        <v>35</v>
      </c>
      <c r="I345" s="6" t="s">
        <v>650</v>
      </c>
      <c r="J345" s="6" t="s">
        <v>580</v>
      </c>
    </row>
    <row r="346" customFormat="false" ht="23.85" hidden="false" customHeight="false" outlineLevel="0" collapsed="false">
      <c r="A346" s="6" t="s">
        <v>1801</v>
      </c>
      <c r="B346" s="6"/>
      <c r="C346" s="6"/>
      <c r="D346" s="6" t="s">
        <v>210</v>
      </c>
      <c r="E346" s="6" t="s">
        <v>10</v>
      </c>
      <c r="F346" s="7" t="n">
        <v>0.447916666666667</v>
      </c>
      <c r="G346" s="6" t="s">
        <v>35</v>
      </c>
      <c r="H346" s="6" t="s">
        <v>35</v>
      </c>
      <c r="I346" s="6" t="s">
        <v>653</v>
      </c>
      <c r="J346" s="6" t="s">
        <v>580</v>
      </c>
    </row>
    <row r="347" customFormat="false" ht="23.85" hidden="false" customHeight="false" outlineLevel="0" collapsed="false">
      <c r="A347" s="6" t="s">
        <v>1949</v>
      </c>
      <c r="B347" s="6"/>
      <c r="C347" s="6"/>
      <c r="D347" s="6" t="s">
        <v>210</v>
      </c>
      <c r="E347" s="6" t="s">
        <v>10</v>
      </c>
      <c r="F347" s="7" t="n">
        <v>0.447916666666667</v>
      </c>
      <c r="G347" s="6" t="s">
        <v>35</v>
      </c>
      <c r="H347" s="6" t="s">
        <v>35</v>
      </c>
      <c r="I347" s="6" t="s">
        <v>653</v>
      </c>
      <c r="J347" s="6" t="s">
        <v>580</v>
      </c>
    </row>
    <row r="348" customFormat="false" ht="23.85" hidden="false" customHeight="false" outlineLevel="0" collapsed="false">
      <c r="A348" s="6" t="s">
        <v>1950</v>
      </c>
      <c r="B348" s="6"/>
      <c r="C348" s="6"/>
      <c r="D348" s="6" t="s">
        <v>210</v>
      </c>
      <c r="E348" s="6" t="s">
        <v>10</v>
      </c>
      <c r="F348" s="7" t="n">
        <v>0.447916666666667</v>
      </c>
      <c r="G348" s="6" t="s">
        <v>35</v>
      </c>
      <c r="H348" s="6" t="s">
        <v>35</v>
      </c>
      <c r="I348" s="6" t="s">
        <v>656</v>
      </c>
      <c r="J348" s="6" t="s">
        <v>580</v>
      </c>
    </row>
    <row r="349" customFormat="false" ht="23.85" hidden="false" customHeight="false" outlineLevel="0" collapsed="false">
      <c r="A349" s="6" t="s">
        <v>1951</v>
      </c>
      <c r="B349" s="6"/>
      <c r="C349" s="6"/>
      <c r="D349" s="6" t="s">
        <v>210</v>
      </c>
      <c r="E349" s="6" t="s">
        <v>10</v>
      </c>
      <c r="F349" s="7" t="n">
        <v>0.447916666666667</v>
      </c>
      <c r="G349" s="6" t="s">
        <v>35</v>
      </c>
      <c r="H349" s="6" t="s">
        <v>35</v>
      </c>
      <c r="I349" s="6" t="s">
        <v>656</v>
      </c>
      <c r="J349" s="6" t="s">
        <v>580</v>
      </c>
    </row>
    <row r="350" customFormat="false" ht="23.85" hidden="false" customHeight="false" outlineLevel="0" collapsed="false">
      <c r="A350" s="6" t="s">
        <v>660</v>
      </c>
      <c r="B350" s="6"/>
      <c r="C350" s="6"/>
      <c r="D350" s="6" t="s">
        <v>210</v>
      </c>
      <c r="E350" s="6" t="s">
        <v>10</v>
      </c>
      <c r="F350" s="7" t="n">
        <v>0.447916666666667</v>
      </c>
      <c r="G350" s="6" t="s">
        <v>35</v>
      </c>
      <c r="H350" s="6" t="s">
        <v>35</v>
      </c>
      <c r="I350" s="6" t="s">
        <v>659</v>
      </c>
      <c r="J350" s="6" t="s">
        <v>580</v>
      </c>
    </row>
    <row r="351" customFormat="false" ht="23.85" hidden="false" customHeight="false" outlineLevel="0" collapsed="false">
      <c r="A351" s="6" t="s">
        <v>1952</v>
      </c>
      <c r="B351" s="6"/>
      <c r="C351" s="6"/>
      <c r="D351" s="6" t="s">
        <v>210</v>
      </c>
      <c r="E351" s="6" t="s">
        <v>10</v>
      </c>
      <c r="F351" s="7" t="n">
        <v>0.447916666666667</v>
      </c>
      <c r="G351" s="6" t="s">
        <v>35</v>
      </c>
      <c r="H351" s="6" t="s">
        <v>35</v>
      </c>
      <c r="I351" s="6" t="s">
        <v>661</v>
      </c>
      <c r="J351" s="6" t="s">
        <v>580</v>
      </c>
    </row>
    <row r="352" customFormat="false" ht="23.85" hidden="false" customHeight="false" outlineLevel="0" collapsed="false">
      <c r="A352" s="6" t="s">
        <v>1953</v>
      </c>
      <c r="B352" s="6"/>
      <c r="C352" s="6"/>
      <c r="D352" s="6" t="s">
        <v>210</v>
      </c>
      <c r="E352" s="6" t="s">
        <v>10</v>
      </c>
      <c r="F352" s="7" t="n">
        <v>0.447916666666667</v>
      </c>
      <c r="G352" s="6" t="s">
        <v>35</v>
      </c>
      <c r="H352" s="6" t="s">
        <v>35</v>
      </c>
      <c r="I352" s="6" t="s">
        <v>661</v>
      </c>
      <c r="J352" s="6" t="s">
        <v>580</v>
      </c>
    </row>
    <row r="353" customFormat="false" ht="23.85" hidden="false" customHeight="false" outlineLevel="0" collapsed="false">
      <c r="A353" s="6" t="s">
        <v>1954</v>
      </c>
      <c r="B353" s="6"/>
      <c r="C353" s="6"/>
      <c r="D353" s="6" t="s">
        <v>210</v>
      </c>
      <c r="E353" s="6" t="s">
        <v>10</v>
      </c>
      <c r="F353" s="7" t="n">
        <v>0.447916666666667</v>
      </c>
      <c r="G353" s="6" t="s">
        <v>35</v>
      </c>
      <c r="H353" s="6" t="s">
        <v>35</v>
      </c>
      <c r="I353" s="6" t="s">
        <v>664</v>
      </c>
      <c r="J353" s="6" t="s">
        <v>580</v>
      </c>
    </row>
    <row r="354" customFormat="false" ht="23.85" hidden="false" customHeight="false" outlineLevel="0" collapsed="false">
      <c r="A354" s="6" t="s">
        <v>1955</v>
      </c>
      <c r="B354" s="6"/>
      <c r="C354" s="6"/>
      <c r="D354" s="6" t="s">
        <v>210</v>
      </c>
      <c r="E354" s="6" t="s">
        <v>10</v>
      </c>
      <c r="F354" s="7" t="n">
        <v>0.447916666666667</v>
      </c>
      <c r="G354" s="6" t="s">
        <v>35</v>
      </c>
      <c r="H354" s="6" t="s">
        <v>35</v>
      </c>
      <c r="I354" s="6" t="s">
        <v>664</v>
      </c>
      <c r="J354" s="6" t="s">
        <v>580</v>
      </c>
    </row>
    <row r="355" customFormat="false" ht="23.85" hidden="false" customHeight="false" outlineLevel="0" collapsed="false">
      <c r="A355" s="6" t="s">
        <v>1956</v>
      </c>
      <c r="B355" s="6"/>
      <c r="C355" s="6"/>
      <c r="D355" s="6" t="s">
        <v>210</v>
      </c>
      <c r="E355" s="6" t="s">
        <v>10</v>
      </c>
      <c r="F355" s="7" t="n">
        <v>0.447916666666667</v>
      </c>
      <c r="G355" s="6" t="s">
        <v>35</v>
      </c>
      <c r="H355" s="6" t="s">
        <v>35</v>
      </c>
      <c r="I355" s="6" t="s">
        <v>668</v>
      </c>
      <c r="J355" s="6" t="s">
        <v>580</v>
      </c>
    </row>
    <row r="356" customFormat="false" ht="23.85" hidden="false" customHeight="false" outlineLevel="0" collapsed="false">
      <c r="A356" s="6" t="s">
        <v>1818</v>
      </c>
      <c r="B356" s="6"/>
      <c r="C356" s="6"/>
      <c r="D356" s="6" t="s">
        <v>210</v>
      </c>
      <c r="E356" s="6" t="s">
        <v>10</v>
      </c>
      <c r="F356" s="7" t="n">
        <v>0.447916666666667</v>
      </c>
      <c r="G356" s="6" t="s">
        <v>35</v>
      </c>
      <c r="H356" s="6" t="s">
        <v>35</v>
      </c>
      <c r="I356" s="6" t="s">
        <v>668</v>
      </c>
      <c r="J356" s="6" t="s">
        <v>580</v>
      </c>
    </row>
    <row r="357" customFormat="false" ht="15" hidden="false" customHeight="false" outlineLevel="0" collapsed="false">
      <c r="A357" s="6" t="s">
        <v>1957</v>
      </c>
      <c r="B357" s="6"/>
      <c r="C357" s="6"/>
      <c r="D357" s="6" t="s">
        <v>210</v>
      </c>
      <c r="E357" s="6" t="s">
        <v>10</v>
      </c>
      <c r="F357" s="7" t="n">
        <v>0.447916666666667</v>
      </c>
      <c r="G357" s="6" t="s">
        <v>35</v>
      </c>
      <c r="H357" s="6" t="s">
        <v>35</v>
      </c>
      <c r="I357" s="6" t="s">
        <v>671</v>
      </c>
      <c r="J357" s="6" t="s">
        <v>580</v>
      </c>
    </row>
    <row r="358" customFormat="false" ht="15" hidden="false" customHeight="false" outlineLevel="0" collapsed="false">
      <c r="A358" s="6" t="s">
        <v>1958</v>
      </c>
      <c r="B358" s="6"/>
      <c r="C358" s="6"/>
      <c r="D358" s="6" t="s">
        <v>210</v>
      </c>
      <c r="E358" s="6" t="s">
        <v>10</v>
      </c>
      <c r="F358" s="7" t="n">
        <v>0.447916666666667</v>
      </c>
      <c r="G358" s="6" t="s">
        <v>35</v>
      </c>
      <c r="H358" s="6" t="s">
        <v>35</v>
      </c>
      <c r="I358" s="6" t="s">
        <v>671</v>
      </c>
      <c r="J358" s="6" t="s">
        <v>580</v>
      </c>
    </row>
    <row r="359" customFormat="false" ht="23.85" hidden="false" customHeight="false" outlineLevel="0" collapsed="false">
      <c r="A359" s="6" t="s">
        <v>1379</v>
      </c>
      <c r="B359" s="6"/>
      <c r="C359" s="6"/>
      <c r="D359" s="6" t="s">
        <v>210</v>
      </c>
      <c r="E359" s="6" t="s">
        <v>10</v>
      </c>
      <c r="F359" s="7" t="n">
        <v>0.447916666666667</v>
      </c>
      <c r="G359" s="6" t="s">
        <v>35</v>
      </c>
      <c r="H359" s="6" t="s">
        <v>35</v>
      </c>
      <c r="I359" s="6" t="s">
        <v>674</v>
      </c>
      <c r="J359" s="6" t="s">
        <v>580</v>
      </c>
    </row>
    <row r="360" customFormat="false" ht="23.85" hidden="false" customHeight="false" outlineLevel="0" collapsed="false">
      <c r="A360" s="6" t="s">
        <v>1959</v>
      </c>
      <c r="B360" s="6"/>
      <c r="C360" s="6"/>
      <c r="D360" s="6" t="s">
        <v>210</v>
      </c>
      <c r="E360" s="6" t="s">
        <v>10</v>
      </c>
      <c r="F360" s="7" t="n">
        <v>0.447916666666667</v>
      </c>
      <c r="G360" s="6" t="s">
        <v>35</v>
      </c>
      <c r="H360" s="6" t="s">
        <v>35</v>
      </c>
      <c r="I360" s="6" t="s">
        <v>674</v>
      </c>
      <c r="J360" s="6" t="s">
        <v>580</v>
      </c>
    </row>
    <row r="361" customFormat="false" ht="23.85" hidden="false" customHeight="false" outlineLevel="0" collapsed="false">
      <c r="A361" s="6" t="s">
        <v>1960</v>
      </c>
      <c r="B361" s="6"/>
      <c r="C361" s="6"/>
      <c r="D361" s="6" t="s">
        <v>210</v>
      </c>
      <c r="E361" s="6" t="s">
        <v>10</v>
      </c>
      <c r="F361" s="7" t="n">
        <v>0.447916666666667</v>
      </c>
      <c r="G361" s="6" t="s">
        <v>35</v>
      </c>
      <c r="H361" s="6" t="s">
        <v>35</v>
      </c>
      <c r="I361" s="6" t="s">
        <v>677</v>
      </c>
      <c r="J361" s="6" t="s">
        <v>580</v>
      </c>
    </row>
    <row r="362" customFormat="false" ht="23.85" hidden="false" customHeight="false" outlineLevel="0" collapsed="false">
      <c r="A362" s="6" t="s">
        <v>1961</v>
      </c>
      <c r="B362" s="6"/>
      <c r="C362" s="6"/>
      <c r="D362" s="6" t="s">
        <v>210</v>
      </c>
      <c r="E362" s="6" t="s">
        <v>10</v>
      </c>
      <c r="F362" s="7" t="n">
        <v>0.447916666666667</v>
      </c>
      <c r="G362" s="6" t="s">
        <v>35</v>
      </c>
      <c r="H362" s="6" t="s">
        <v>35</v>
      </c>
      <c r="I362" s="6" t="s">
        <v>677</v>
      </c>
      <c r="J362" s="6" t="s">
        <v>580</v>
      </c>
    </row>
    <row r="363" customFormat="false" ht="23.85" hidden="false" customHeight="false" outlineLevel="0" collapsed="false">
      <c r="A363" s="6" t="s">
        <v>1962</v>
      </c>
      <c r="B363" s="6"/>
      <c r="C363" s="6"/>
      <c r="D363" s="6" t="s">
        <v>210</v>
      </c>
      <c r="E363" s="6" t="s">
        <v>10</v>
      </c>
      <c r="F363" s="7" t="n">
        <v>0.447916666666667</v>
      </c>
      <c r="G363" s="6" t="s">
        <v>35</v>
      </c>
      <c r="H363" s="6" t="s">
        <v>35</v>
      </c>
      <c r="I363" s="6" t="s">
        <v>680</v>
      </c>
      <c r="J363" s="6" t="s">
        <v>580</v>
      </c>
    </row>
    <row r="364" customFormat="false" ht="23.85" hidden="false" customHeight="false" outlineLevel="0" collapsed="false">
      <c r="A364" s="6" t="s">
        <v>1963</v>
      </c>
      <c r="B364" s="6"/>
      <c r="C364" s="6"/>
      <c r="D364" s="6" t="s">
        <v>210</v>
      </c>
      <c r="E364" s="6" t="s">
        <v>10</v>
      </c>
      <c r="F364" s="7" t="n">
        <v>0.447916666666667</v>
      </c>
      <c r="G364" s="6" t="s">
        <v>35</v>
      </c>
      <c r="H364" s="6" t="s">
        <v>35</v>
      </c>
      <c r="I364" s="6" t="s">
        <v>680</v>
      </c>
      <c r="J364" s="6" t="s">
        <v>580</v>
      </c>
    </row>
    <row r="365" customFormat="false" ht="23.85" hidden="false" customHeight="false" outlineLevel="0" collapsed="false">
      <c r="A365" s="6" t="s">
        <v>1964</v>
      </c>
      <c r="B365" s="6"/>
      <c r="C365" s="6"/>
      <c r="D365" s="6" t="s">
        <v>210</v>
      </c>
      <c r="E365" s="6" t="s">
        <v>10</v>
      </c>
      <c r="F365" s="7" t="n">
        <v>0.447916666666667</v>
      </c>
      <c r="G365" s="6" t="s">
        <v>35</v>
      </c>
      <c r="H365" s="6" t="s">
        <v>35</v>
      </c>
      <c r="I365" s="6" t="s">
        <v>683</v>
      </c>
      <c r="J365" s="6" t="s">
        <v>580</v>
      </c>
    </row>
    <row r="366" customFormat="false" ht="23.85" hidden="false" customHeight="false" outlineLevel="0" collapsed="false">
      <c r="A366" s="6" t="s">
        <v>1965</v>
      </c>
      <c r="B366" s="6"/>
      <c r="C366" s="6"/>
      <c r="D366" s="6" t="s">
        <v>210</v>
      </c>
      <c r="E366" s="6" t="s">
        <v>10</v>
      </c>
      <c r="F366" s="7" t="n">
        <v>0.447916666666667</v>
      </c>
      <c r="G366" s="6" t="s">
        <v>35</v>
      </c>
      <c r="H366" s="6" t="s">
        <v>35</v>
      </c>
      <c r="I366" s="6" t="s">
        <v>683</v>
      </c>
      <c r="J366" s="6" t="s">
        <v>580</v>
      </c>
    </row>
    <row r="367" customFormat="false" ht="23.85" hidden="false" customHeight="false" outlineLevel="0" collapsed="false">
      <c r="A367" s="6" t="s">
        <v>1966</v>
      </c>
      <c r="B367" s="6"/>
      <c r="C367" s="6"/>
      <c r="D367" s="6" t="s">
        <v>210</v>
      </c>
      <c r="E367" s="6" t="s">
        <v>10</v>
      </c>
      <c r="F367" s="7" t="n">
        <v>0.447916666666667</v>
      </c>
      <c r="G367" s="6" t="s">
        <v>35</v>
      </c>
      <c r="H367" s="6" t="s">
        <v>35</v>
      </c>
      <c r="I367" s="6" t="s">
        <v>686</v>
      </c>
      <c r="J367" s="6" t="s">
        <v>580</v>
      </c>
    </row>
    <row r="368" customFormat="false" ht="23.85" hidden="false" customHeight="false" outlineLevel="0" collapsed="false">
      <c r="A368" s="6" t="s">
        <v>1967</v>
      </c>
      <c r="B368" s="6"/>
      <c r="C368" s="6"/>
      <c r="D368" s="6" t="s">
        <v>210</v>
      </c>
      <c r="E368" s="6" t="s">
        <v>10</v>
      </c>
      <c r="F368" s="7" t="n">
        <v>0.447916666666667</v>
      </c>
      <c r="G368" s="6" t="s">
        <v>35</v>
      </c>
      <c r="H368" s="6" t="s">
        <v>35</v>
      </c>
      <c r="I368" s="6" t="s">
        <v>686</v>
      </c>
      <c r="J368" s="6" t="s">
        <v>580</v>
      </c>
    </row>
    <row r="369" customFormat="false" ht="23.85" hidden="false" customHeight="false" outlineLevel="0" collapsed="false">
      <c r="A369" s="6" t="s">
        <v>1968</v>
      </c>
      <c r="B369" s="6"/>
      <c r="C369" s="6"/>
      <c r="D369" s="6" t="s">
        <v>210</v>
      </c>
      <c r="E369" s="6" t="s">
        <v>10</v>
      </c>
      <c r="F369" s="7" t="n">
        <v>0.447916666666667</v>
      </c>
      <c r="G369" s="6" t="s">
        <v>35</v>
      </c>
      <c r="H369" s="6" t="s">
        <v>35</v>
      </c>
      <c r="I369" s="6" t="s">
        <v>689</v>
      </c>
      <c r="J369" s="6" t="s">
        <v>580</v>
      </c>
    </row>
    <row r="370" customFormat="false" ht="23.85" hidden="false" customHeight="false" outlineLevel="0" collapsed="false">
      <c r="A370" s="6" t="s">
        <v>1969</v>
      </c>
      <c r="B370" s="6"/>
      <c r="C370" s="6"/>
      <c r="D370" s="6" t="s">
        <v>210</v>
      </c>
      <c r="E370" s="6" t="s">
        <v>10</v>
      </c>
      <c r="F370" s="7" t="n">
        <v>0.447916666666667</v>
      </c>
      <c r="G370" s="6" t="s">
        <v>35</v>
      </c>
      <c r="H370" s="6" t="s">
        <v>35</v>
      </c>
      <c r="I370" s="6" t="s">
        <v>689</v>
      </c>
      <c r="J370" s="6" t="s">
        <v>580</v>
      </c>
    </row>
    <row r="371" customFormat="false" ht="23.85" hidden="false" customHeight="false" outlineLevel="0" collapsed="false">
      <c r="A371" s="6" t="s">
        <v>1563</v>
      </c>
      <c r="B371" s="6"/>
      <c r="C371" s="6"/>
      <c r="D371" s="6" t="s">
        <v>210</v>
      </c>
      <c r="E371" s="6" t="s">
        <v>10</v>
      </c>
      <c r="F371" s="7" t="n">
        <v>0.447916666666667</v>
      </c>
      <c r="G371" s="6" t="s">
        <v>35</v>
      </c>
      <c r="H371" s="6" t="s">
        <v>35</v>
      </c>
      <c r="I371" s="6" t="s">
        <v>692</v>
      </c>
      <c r="J371" s="6" t="s">
        <v>580</v>
      </c>
    </row>
    <row r="372" customFormat="false" ht="23.85" hidden="false" customHeight="false" outlineLevel="0" collapsed="false">
      <c r="A372" s="6" t="s">
        <v>1566</v>
      </c>
      <c r="B372" s="6"/>
      <c r="C372" s="6"/>
      <c r="D372" s="6" t="s">
        <v>210</v>
      </c>
      <c r="E372" s="6" t="s">
        <v>10</v>
      </c>
      <c r="F372" s="7" t="n">
        <v>0.447916666666667</v>
      </c>
      <c r="G372" s="6" t="s">
        <v>35</v>
      </c>
      <c r="H372" s="6" t="s">
        <v>35</v>
      </c>
      <c r="I372" s="6" t="s">
        <v>692</v>
      </c>
      <c r="J372" s="6" t="s">
        <v>580</v>
      </c>
    </row>
    <row r="373" customFormat="false" ht="23.85" hidden="false" customHeight="false" outlineLevel="0" collapsed="false">
      <c r="A373" s="6" t="s">
        <v>210</v>
      </c>
      <c r="B373" s="6"/>
      <c r="C373" s="6" t="s">
        <v>211</v>
      </c>
      <c r="D373" s="6" t="s">
        <v>1375</v>
      </c>
      <c r="E373" s="6" t="s">
        <v>10</v>
      </c>
      <c r="F373" s="7" t="n">
        <v>0.479166666666667</v>
      </c>
      <c r="G373" s="6" t="s">
        <v>31</v>
      </c>
      <c r="H373" s="6" t="s">
        <v>31</v>
      </c>
      <c r="I373" s="6" t="s">
        <v>694</v>
      </c>
      <c r="J373" s="6" t="s">
        <v>212</v>
      </c>
    </row>
    <row r="374" customFormat="false" ht="15" hidden="false" customHeight="false" outlineLevel="0" collapsed="false">
      <c r="A374" s="6" t="s">
        <v>698</v>
      </c>
      <c r="B374" s="6" t="s">
        <v>1590</v>
      </c>
      <c r="C374" s="6" t="s">
        <v>699</v>
      </c>
      <c r="D374" s="6" t="s">
        <v>1375</v>
      </c>
      <c r="E374" s="6" t="s">
        <v>10</v>
      </c>
      <c r="F374" s="7" t="n">
        <v>0.517361111111111</v>
      </c>
      <c r="G374" s="6" t="s">
        <v>29</v>
      </c>
      <c r="H374" s="6" t="s">
        <v>695</v>
      </c>
      <c r="I374" s="6" t="s">
        <v>696</v>
      </c>
      <c r="J374" s="6" t="s">
        <v>255</v>
      </c>
    </row>
    <row r="375" customFormat="false" ht="23.85" hidden="false" customHeight="false" outlineLevel="0" collapsed="false">
      <c r="A375" s="6" t="s">
        <v>1970</v>
      </c>
      <c r="B375" s="6" t="s">
        <v>1971</v>
      </c>
      <c r="C375" s="6" t="s">
        <v>1930</v>
      </c>
      <c r="D375" s="6" t="s">
        <v>1375</v>
      </c>
      <c r="E375" s="6" t="s">
        <v>10</v>
      </c>
      <c r="F375" s="7" t="n">
        <v>0.520833333333333</v>
      </c>
      <c r="G375" s="6" t="s">
        <v>37</v>
      </c>
      <c r="H375" s="6" t="s">
        <v>67</v>
      </c>
      <c r="I375" s="6" t="s">
        <v>700</v>
      </c>
      <c r="J375" s="6" t="s">
        <v>97</v>
      </c>
    </row>
    <row r="376" customFormat="false" ht="23.85" hidden="false" customHeight="false" outlineLevel="0" collapsed="false">
      <c r="A376" s="6" t="s">
        <v>1972</v>
      </c>
      <c r="B376" s="6" t="s">
        <v>1446</v>
      </c>
      <c r="C376" s="6" t="s">
        <v>1973</v>
      </c>
      <c r="D376" s="6" t="s">
        <v>1375</v>
      </c>
      <c r="E376" s="6" t="s">
        <v>10</v>
      </c>
      <c r="F376" s="7" t="n">
        <v>0.520833333333333</v>
      </c>
      <c r="G376" s="6" t="s">
        <v>37</v>
      </c>
      <c r="H376" s="6" t="s">
        <v>67</v>
      </c>
      <c r="I376" s="6" t="s">
        <v>700</v>
      </c>
      <c r="J376" s="6" t="s">
        <v>97</v>
      </c>
    </row>
    <row r="377" customFormat="false" ht="15" hidden="false" customHeight="false" outlineLevel="0" collapsed="false">
      <c r="A377" s="6" t="s">
        <v>706</v>
      </c>
      <c r="B377" s="6" t="s">
        <v>1974</v>
      </c>
      <c r="C377" s="6" t="s">
        <v>707</v>
      </c>
      <c r="D377" s="6" t="s">
        <v>1375</v>
      </c>
      <c r="E377" s="6" t="s">
        <v>10</v>
      </c>
      <c r="F377" s="7" t="n">
        <v>0.520833333333333</v>
      </c>
      <c r="G377" s="6" t="s">
        <v>29</v>
      </c>
      <c r="H377" s="6" t="s">
        <v>59</v>
      </c>
      <c r="I377" s="6" t="s">
        <v>704</v>
      </c>
      <c r="J377" s="6" t="s">
        <v>255</v>
      </c>
    </row>
    <row r="378" customFormat="false" ht="23.85" hidden="false" customHeight="false" outlineLevel="0" collapsed="false">
      <c r="A378" s="6" t="s">
        <v>711</v>
      </c>
      <c r="B378" s="6" t="s">
        <v>1867</v>
      </c>
      <c r="C378" s="6" t="s">
        <v>712</v>
      </c>
      <c r="D378" s="6" t="s">
        <v>1375</v>
      </c>
      <c r="E378" s="6" t="s">
        <v>10</v>
      </c>
      <c r="F378" s="7" t="n">
        <v>0.524305555555556</v>
      </c>
      <c r="G378" s="6" t="s">
        <v>13</v>
      </c>
      <c r="H378" s="6" t="s">
        <v>81</v>
      </c>
      <c r="I378" s="6" t="s">
        <v>709</v>
      </c>
      <c r="J378" s="6" t="s">
        <v>114</v>
      </c>
    </row>
    <row r="379" customFormat="false" ht="23.85" hidden="false" customHeight="false" outlineLevel="0" collapsed="false">
      <c r="A379" s="6" t="s">
        <v>1598</v>
      </c>
      <c r="B379" s="6" t="s">
        <v>1599</v>
      </c>
      <c r="C379" s="6" t="s">
        <v>1600</v>
      </c>
      <c r="D379" s="6" t="s">
        <v>1375</v>
      </c>
      <c r="E379" s="6" t="s">
        <v>10</v>
      </c>
      <c r="F379" s="7" t="n">
        <v>0.524305555555556</v>
      </c>
      <c r="G379" s="6" t="s">
        <v>21</v>
      </c>
      <c r="H379" s="6" t="s">
        <v>215</v>
      </c>
      <c r="I379" s="6" t="s">
        <v>714</v>
      </c>
      <c r="J379" s="6" t="s">
        <v>119</v>
      </c>
    </row>
    <row r="380" customFormat="false" ht="23.85" hidden="false" customHeight="false" outlineLevel="0" collapsed="false">
      <c r="A380" s="6" t="s">
        <v>1397</v>
      </c>
      <c r="B380" s="6" t="s">
        <v>1398</v>
      </c>
      <c r="C380" s="6" t="s">
        <v>1399</v>
      </c>
      <c r="D380" s="6" t="s">
        <v>1375</v>
      </c>
      <c r="E380" s="6" t="s">
        <v>10</v>
      </c>
      <c r="F380" s="7" t="n">
        <v>0.524305555555556</v>
      </c>
      <c r="G380" s="6" t="s">
        <v>21</v>
      </c>
      <c r="H380" s="6" t="s">
        <v>215</v>
      </c>
      <c r="I380" s="6" t="s">
        <v>714</v>
      </c>
      <c r="J380" s="6" t="s">
        <v>119</v>
      </c>
    </row>
    <row r="381" customFormat="false" ht="15" hidden="false" customHeight="false" outlineLevel="0" collapsed="false">
      <c r="A381" s="6" t="s">
        <v>1975</v>
      </c>
      <c r="B381" s="6" t="s">
        <v>1976</v>
      </c>
      <c r="C381" s="6" t="s">
        <v>1930</v>
      </c>
      <c r="D381" s="6" t="s">
        <v>1375</v>
      </c>
      <c r="E381" s="6" t="s">
        <v>10</v>
      </c>
      <c r="F381" s="7" t="n">
        <v>0.524305555555556</v>
      </c>
      <c r="G381" s="6" t="s">
        <v>29</v>
      </c>
      <c r="H381" s="6" t="s">
        <v>67</v>
      </c>
      <c r="I381" s="6" t="s">
        <v>719</v>
      </c>
      <c r="J381" s="6" t="s">
        <v>255</v>
      </c>
    </row>
    <row r="382" customFormat="false" ht="15" hidden="false" customHeight="false" outlineLevel="0" collapsed="false">
      <c r="A382" s="6" t="s">
        <v>698</v>
      </c>
      <c r="B382" s="6" t="s">
        <v>1590</v>
      </c>
      <c r="C382" s="6" t="s">
        <v>699</v>
      </c>
      <c r="D382" s="6" t="s">
        <v>1375</v>
      </c>
      <c r="E382" s="6" t="s">
        <v>10</v>
      </c>
      <c r="F382" s="7" t="n">
        <v>0.524305555555556</v>
      </c>
      <c r="G382" s="6" t="s">
        <v>29</v>
      </c>
      <c r="H382" s="6" t="s">
        <v>67</v>
      </c>
      <c r="I382" s="6" t="s">
        <v>719</v>
      </c>
      <c r="J382" s="6" t="s">
        <v>255</v>
      </c>
    </row>
    <row r="383" customFormat="false" ht="35.05" hidden="false" customHeight="false" outlineLevel="0" collapsed="false">
      <c r="A383" s="6" t="s">
        <v>726</v>
      </c>
      <c r="B383" s="6" t="s">
        <v>1977</v>
      </c>
      <c r="C383" s="6" t="s">
        <v>727</v>
      </c>
      <c r="D383" s="6" t="s">
        <v>1375</v>
      </c>
      <c r="E383" s="6" t="s">
        <v>10</v>
      </c>
      <c r="F383" s="7" t="n">
        <v>0.524305555555556</v>
      </c>
      <c r="G383" s="6" t="s">
        <v>27</v>
      </c>
      <c r="H383" s="6" t="s">
        <v>81</v>
      </c>
      <c r="I383" s="6" t="s">
        <v>724</v>
      </c>
      <c r="J383" s="6" t="s">
        <v>86</v>
      </c>
    </row>
    <row r="384" customFormat="false" ht="23.85" hidden="false" customHeight="false" outlineLevel="0" collapsed="false">
      <c r="A384" s="6" t="s">
        <v>1978</v>
      </c>
      <c r="B384" s="6" t="s">
        <v>1979</v>
      </c>
      <c r="C384" s="6" t="s">
        <v>1588</v>
      </c>
      <c r="D384" s="6" t="s">
        <v>1375</v>
      </c>
      <c r="E384" s="6" t="s">
        <v>10</v>
      </c>
      <c r="F384" s="7" t="n">
        <v>0.524305555555556</v>
      </c>
      <c r="G384" s="6" t="s">
        <v>23</v>
      </c>
      <c r="H384" s="6" t="s">
        <v>67</v>
      </c>
      <c r="I384" s="6" t="s">
        <v>728</v>
      </c>
      <c r="J384" s="6" t="s">
        <v>732</v>
      </c>
    </row>
    <row r="385" customFormat="false" ht="23.85" hidden="false" customHeight="false" outlineLevel="0" collapsed="false">
      <c r="A385" s="6" t="s">
        <v>1884</v>
      </c>
      <c r="B385" s="6" t="s">
        <v>1885</v>
      </c>
      <c r="C385" s="6" t="s">
        <v>1886</v>
      </c>
      <c r="D385" s="6" t="s">
        <v>1375</v>
      </c>
      <c r="E385" s="6" t="s">
        <v>10</v>
      </c>
      <c r="F385" s="7" t="n">
        <v>0.524305555555556</v>
      </c>
      <c r="G385" s="6" t="s">
        <v>23</v>
      </c>
      <c r="H385" s="6" t="s">
        <v>67</v>
      </c>
      <c r="I385" s="6" t="s">
        <v>728</v>
      </c>
      <c r="J385" s="6" t="s">
        <v>732</v>
      </c>
    </row>
    <row r="386" customFormat="false" ht="23.85" hidden="false" customHeight="false" outlineLevel="0" collapsed="false">
      <c r="A386" s="6" t="s">
        <v>1980</v>
      </c>
      <c r="B386" s="6" t="s">
        <v>1981</v>
      </c>
      <c r="C386" s="6" t="s">
        <v>737</v>
      </c>
      <c r="D386" s="6" t="s">
        <v>1375</v>
      </c>
      <c r="E386" s="6" t="s">
        <v>10</v>
      </c>
      <c r="F386" s="7" t="n">
        <v>0.524305555555556</v>
      </c>
      <c r="G386" s="6" t="s">
        <v>16</v>
      </c>
      <c r="H386" s="6" t="s">
        <v>81</v>
      </c>
      <c r="I386" s="6" t="s">
        <v>734</v>
      </c>
      <c r="J386" s="6" t="s">
        <v>92</v>
      </c>
    </row>
    <row r="387" customFormat="false" ht="23.85" hidden="false" customHeight="false" outlineLevel="0" collapsed="false">
      <c r="A387" s="6" t="s">
        <v>1982</v>
      </c>
      <c r="B387" s="6" t="s">
        <v>1983</v>
      </c>
      <c r="C387" s="6" t="s">
        <v>737</v>
      </c>
      <c r="D387" s="6" t="s">
        <v>1375</v>
      </c>
      <c r="E387" s="6" t="s">
        <v>10</v>
      </c>
      <c r="F387" s="7" t="n">
        <v>0.524305555555556</v>
      </c>
      <c r="G387" s="6" t="s">
        <v>16</v>
      </c>
      <c r="H387" s="6" t="s">
        <v>81</v>
      </c>
      <c r="I387" s="6" t="s">
        <v>734</v>
      </c>
      <c r="J387" s="6" t="s">
        <v>92</v>
      </c>
    </row>
    <row r="388" customFormat="false" ht="35.05" hidden="false" customHeight="false" outlineLevel="0" collapsed="false">
      <c r="A388" s="6" t="s">
        <v>740</v>
      </c>
      <c r="B388" s="6" t="s">
        <v>1984</v>
      </c>
      <c r="C388" s="6" t="s">
        <v>741</v>
      </c>
      <c r="D388" s="6" t="s">
        <v>1375</v>
      </c>
      <c r="E388" s="6" t="s">
        <v>10</v>
      </c>
      <c r="F388" s="7" t="n">
        <v>0.524305555555556</v>
      </c>
      <c r="G388" s="6" t="s">
        <v>15</v>
      </c>
      <c r="H388" s="6" t="s">
        <v>81</v>
      </c>
      <c r="I388" s="6" t="s">
        <v>738</v>
      </c>
      <c r="J388" s="6" t="s">
        <v>64</v>
      </c>
    </row>
    <row r="389" customFormat="false" ht="23.85" hidden="false" customHeight="false" outlineLevel="0" collapsed="false">
      <c r="A389" s="6" t="s">
        <v>744</v>
      </c>
      <c r="B389" s="6" t="s">
        <v>1985</v>
      </c>
      <c r="C389" s="6" t="s">
        <v>745</v>
      </c>
      <c r="D389" s="6" t="s">
        <v>1375</v>
      </c>
      <c r="E389" s="6" t="s">
        <v>10</v>
      </c>
      <c r="F389" s="7" t="n">
        <v>0.524305555555556</v>
      </c>
      <c r="G389" s="6" t="s">
        <v>17</v>
      </c>
      <c r="H389" s="6" t="s">
        <v>81</v>
      </c>
      <c r="I389" s="6" t="s">
        <v>742</v>
      </c>
      <c r="J389" s="6" t="s">
        <v>80</v>
      </c>
    </row>
    <row r="390" customFormat="false" ht="23.85" hidden="false" customHeight="false" outlineLevel="0" collapsed="false">
      <c r="A390" s="6" t="s">
        <v>1986</v>
      </c>
      <c r="B390" s="6" t="s">
        <v>1987</v>
      </c>
      <c r="C390" s="6" t="s">
        <v>368</v>
      </c>
      <c r="D390" s="6" t="s">
        <v>1375</v>
      </c>
      <c r="E390" s="6" t="s">
        <v>10</v>
      </c>
      <c r="F390" s="7" t="n">
        <v>0.524305555555556</v>
      </c>
      <c r="G390" s="6" t="s">
        <v>33</v>
      </c>
      <c r="H390" s="6" t="s">
        <v>67</v>
      </c>
      <c r="I390" s="6" t="s">
        <v>746</v>
      </c>
      <c r="J390" s="6" t="s">
        <v>103</v>
      </c>
    </row>
    <row r="391" customFormat="false" ht="23.85" hidden="false" customHeight="false" outlineLevel="0" collapsed="false">
      <c r="A391" s="6" t="s">
        <v>1988</v>
      </c>
      <c r="B391" s="6" t="s">
        <v>1542</v>
      </c>
      <c r="C391" s="6" t="s">
        <v>1989</v>
      </c>
      <c r="D391" s="6" t="s">
        <v>1375</v>
      </c>
      <c r="E391" s="6" t="s">
        <v>10</v>
      </c>
      <c r="F391" s="7" t="n">
        <v>0.524305555555556</v>
      </c>
      <c r="G391" s="6" t="s">
        <v>33</v>
      </c>
      <c r="H391" s="6" t="s">
        <v>67</v>
      </c>
      <c r="I391" s="6" t="s">
        <v>746</v>
      </c>
      <c r="J391" s="6" t="s">
        <v>103</v>
      </c>
    </row>
    <row r="392" customFormat="false" ht="15" hidden="false" customHeight="false" outlineLevel="0" collapsed="false">
      <c r="A392" s="6" t="s">
        <v>752</v>
      </c>
      <c r="B392" s="6" t="s">
        <v>1990</v>
      </c>
      <c r="C392" s="6" t="s">
        <v>388</v>
      </c>
      <c r="D392" s="6" t="s">
        <v>1375</v>
      </c>
      <c r="E392" s="6" t="s">
        <v>10</v>
      </c>
      <c r="F392" s="7" t="n">
        <v>0.524305555555556</v>
      </c>
      <c r="G392" s="6" t="s">
        <v>32</v>
      </c>
      <c r="H392" s="6" t="s">
        <v>81</v>
      </c>
      <c r="I392" s="6" t="s">
        <v>750</v>
      </c>
      <c r="J392" s="6" t="s">
        <v>108</v>
      </c>
    </row>
    <row r="393" customFormat="false" ht="15" hidden="false" customHeight="false" outlineLevel="0" collapsed="false">
      <c r="A393" s="6" t="s">
        <v>1991</v>
      </c>
      <c r="B393" s="6" t="s">
        <v>1442</v>
      </c>
      <c r="C393" s="6" t="s">
        <v>1992</v>
      </c>
      <c r="D393" s="6" t="s">
        <v>1375</v>
      </c>
      <c r="E393" s="6" t="s">
        <v>10</v>
      </c>
      <c r="F393" s="7" t="n">
        <v>0.527777777777778</v>
      </c>
      <c r="G393" s="6" t="s">
        <v>14</v>
      </c>
      <c r="H393" s="6" t="s">
        <v>594</v>
      </c>
      <c r="I393" s="6" t="s">
        <v>753</v>
      </c>
      <c r="J393" s="6" t="s">
        <v>588</v>
      </c>
    </row>
    <row r="394" customFormat="false" ht="15" hidden="false" customHeight="false" outlineLevel="0" collapsed="false">
      <c r="A394" s="6" t="s">
        <v>1926</v>
      </c>
      <c r="B394" s="6" t="s">
        <v>1927</v>
      </c>
      <c r="C394" s="6" t="s">
        <v>1928</v>
      </c>
      <c r="D394" s="6" t="s">
        <v>1375</v>
      </c>
      <c r="E394" s="6" t="s">
        <v>10</v>
      </c>
      <c r="F394" s="7" t="n">
        <v>0.527777777777778</v>
      </c>
      <c r="G394" s="6" t="s">
        <v>14</v>
      </c>
      <c r="H394" s="6" t="s">
        <v>594</v>
      </c>
      <c r="I394" s="6" t="s">
        <v>753</v>
      </c>
      <c r="J394" s="6" t="s">
        <v>588</v>
      </c>
    </row>
    <row r="395" customFormat="false" ht="23.85" hidden="false" customHeight="false" outlineLevel="0" collapsed="false">
      <c r="A395" s="6" t="s">
        <v>759</v>
      </c>
      <c r="B395" s="6" t="s">
        <v>1993</v>
      </c>
      <c r="C395" s="6" t="s">
        <v>760</v>
      </c>
      <c r="D395" s="6" t="s">
        <v>1375</v>
      </c>
      <c r="E395" s="6" t="s">
        <v>10</v>
      </c>
      <c r="F395" s="7" t="n">
        <v>0.527777777777778</v>
      </c>
      <c r="G395" s="6" t="s">
        <v>36</v>
      </c>
      <c r="H395" s="6" t="s">
        <v>156</v>
      </c>
      <c r="I395" s="6" t="s">
        <v>757</v>
      </c>
      <c r="J395" s="6" t="s">
        <v>36</v>
      </c>
    </row>
    <row r="396" customFormat="false" ht="23.85" hidden="false" customHeight="false" outlineLevel="0" collapsed="false">
      <c r="A396" s="6" t="s">
        <v>763</v>
      </c>
      <c r="B396" s="6" t="s">
        <v>1994</v>
      </c>
      <c r="C396" s="6" t="s">
        <v>764</v>
      </c>
      <c r="D396" s="6" t="s">
        <v>1375</v>
      </c>
      <c r="E396" s="6" t="s">
        <v>10</v>
      </c>
      <c r="F396" s="7" t="n">
        <v>0.53125</v>
      </c>
      <c r="G396" s="6" t="s">
        <v>37</v>
      </c>
      <c r="H396" s="6" t="s">
        <v>81</v>
      </c>
      <c r="I396" s="6" t="s">
        <v>761</v>
      </c>
      <c r="J396" s="6" t="s">
        <v>97</v>
      </c>
    </row>
    <row r="397" customFormat="false" ht="23.85" hidden="false" customHeight="false" outlineLevel="0" collapsed="false">
      <c r="A397" s="6" t="s">
        <v>767</v>
      </c>
      <c r="B397" s="6" t="s">
        <v>1995</v>
      </c>
      <c r="C397" s="6" t="s">
        <v>768</v>
      </c>
      <c r="D397" s="6" t="s">
        <v>1375</v>
      </c>
      <c r="E397" s="6" t="s">
        <v>10</v>
      </c>
      <c r="F397" s="7" t="n">
        <v>0.534722222222222</v>
      </c>
      <c r="G397" s="6" t="s">
        <v>13</v>
      </c>
      <c r="H397" s="6" t="s">
        <v>215</v>
      </c>
      <c r="I397" s="6" t="s">
        <v>765</v>
      </c>
      <c r="J397" s="6" t="s">
        <v>114</v>
      </c>
    </row>
    <row r="398" customFormat="false" ht="23.85" hidden="false" customHeight="false" outlineLevel="0" collapsed="false">
      <c r="A398" s="6" t="s">
        <v>1996</v>
      </c>
      <c r="B398" s="6" t="s">
        <v>1997</v>
      </c>
      <c r="C398" s="6" t="s">
        <v>242</v>
      </c>
      <c r="D398" s="6" t="s">
        <v>1375</v>
      </c>
      <c r="E398" s="6" t="s">
        <v>10</v>
      </c>
      <c r="F398" s="7" t="n">
        <v>0.534722222222222</v>
      </c>
      <c r="G398" s="6" t="s">
        <v>21</v>
      </c>
      <c r="H398" s="6" t="s">
        <v>81</v>
      </c>
      <c r="I398" s="6" t="s">
        <v>769</v>
      </c>
      <c r="J398" s="6" t="s">
        <v>119</v>
      </c>
    </row>
    <row r="399" customFormat="false" ht="23.85" hidden="false" customHeight="false" outlineLevel="0" collapsed="false">
      <c r="A399" s="6" t="s">
        <v>1804</v>
      </c>
      <c r="B399" s="6" t="s">
        <v>1805</v>
      </c>
      <c r="C399" s="6" t="s">
        <v>1806</v>
      </c>
      <c r="D399" s="6" t="s">
        <v>1375</v>
      </c>
      <c r="E399" s="6" t="s">
        <v>10</v>
      </c>
      <c r="F399" s="7" t="n">
        <v>0.534722222222222</v>
      </c>
      <c r="G399" s="6" t="s">
        <v>21</v>
      </c>
      <c r="H399" s="6" t="s">
        <v>81</v>
      </c>
      <c r="I399" s="6" t="s">
        <v>769</v>
      </c>
      <c r="J399" s="6" t="s">
        <v>119</v>
      </c>
    </row>
    <row r="400" customFormat="false" ht="23.85" hidden="false" customHeight="false" outlineLevel="0" collapsed="false">
      <c r="A400" s="6" t="s">
        <v>1913</v>
      </c>
      <c r="B400" s="6" t="s">
        <v>1914</v>
      </c>
      <c r="C400" s="6" t="s">
        <v>1915</v>
      </c>
      <c r="D400" s="6" t="s">
        <v>1375</v>
      </c>
      <c r="E400" s="6" t="s">
        <v>10</v>
      </c>
      <c r="F400" s="7" t="n">
        <v>0.534722222222222</v>
      </c>
      <c r="G400" s="6" t="s">
        <v>14</v>
      </c>
      <c r="H400" s="6" t="s">
        <v>81</v>
      </c>
      <c r="I400" s="6" t="s">
        <v>774</v>
      </c>
      <c r="J400" s="6" t="s">
        <v>588</v>
      </c>
    </row>
    <row r="401" customFormat="false" ht="23.85" hidden="false" customHeight="false" outlineLevel="0" collapsed="false">
      <c r="A401" s="6" t="s">
        <v>1998</v>
      </c>
      <c r="B401" s="6" t="s">
        <v>1999</v>
      </c>
      <c r="C401" s="6" t="s">
        <v>1550</v>
      </c>
      <c r="D401" s="6" t="s">
        <v>1375</v>
      </c>
      <c r="E401" s="6" t="s">
        <v>10</v>
      </c>
      <c r="F401" s="7" t="n">
        <v>0.534722222222222</v>
      </c>
      <c r="G401" s="6" t="s">
        <v>14</v>
      </c>
      <c r="H401" s="6" t="s">
        <v>81</v>
      </c>
      <c r="I401" s="6" t="s">
        <v>774</v>
      </c>
      <c r="J401" s="6" t="s">
        <v>588</v>
      </c>
    </row>
    <row r="402" customFormat="false" ht="15" hidden="false" customHeight="false" outlineLevel="0" collapsed="false">
      <c r="A402" s="6" t="s">
        <v>2000</v>
      </c>
      <c r="B402" s="6" t="s">
        <v>1452</v>
      </c>
      <c r="C402" s="6" t="s">
        <v>2001</v>
      </c>
      <c r="D402" s="6" t="s">
        <v>1375</v>
      </c>
      <c r="E402" s="6" t="s">
        <v>10</v>
      </c>
      <c r="F402" s="7" t="n">
        <v>0.534722222222222</v>
      </c>
      <c r="G402" s="6" t="s">
        <v>23</v>
      </c>
      <c r="H402" s="6" t="s">
        <v>81</v>
      </c>
      <c r="I402" s="6" t="s">
        <v>778</v>
      </c>
      <c r="J402" s="6" t="s">
        <v>732</v>
      </c>
    </row>
    <row r="403" customFormat="false" ht="15" hidden="false" customHeight="false" outlineLevel="0" collapsed="false">
      <c r="A403" s="6" t="s">
        <v>1660</v>
      </c>
      <c r="B403" s="6" t="s">
        <v>1661</v>
      </c>
      <c r="C403" s="6" t="s">
        <v>1662</v>
      </c>
      <c r="D403" s="6" t="s">
        <v>1375</v>
      </c>
      <c r="E403" s="6" t="s">
        <v>10</v>
      </c>
      <c r="F403" s="7" t="n">
        <v>0.534722222222222</v>
      </c>
      <c r="G403" s="6" t="s">
        <v>23</v>
      </c>
      <c r="H403" s="6" t="s">
        <v>81</v>
      </c>
      <c r="I403" s="6" t="s">
        <v>778</v>
      </c>
      <c r="J403" s="6" t="s">
        <v>732</v>
      </c>
    </row>
    <row r="404" customFormat="false" ht="23.85" hidden="false" customHeight="false" outlineLevel="0" collapsed="false">
      <c r="A404" s="6" t="s">
        <v>785</v>
      </c>
      <c r="B404" s="6" t="s">
        <v>2002</v>
      </c>
      <c r="C404" s="6" t="s">
        <v>786</v>
      </c>
      <c r="D404" s="6" t="s">
        <v>1375</v>
      </c>
      <c r="E404" s="6" t="s">
        <v>10</v>
      </c>
      <c r="F404" s="7" t="n">
        <v>0.534722222222222</v>
      </c>
      <c r="G404" s="6" t="s">
        <v>33</v>
      </c>
      <c r="H404" s="6" t="s">
        <v>81</v>
      </c>
      <c r="I404" s="6" t="s">
        <v>783</v>
      </c>
      <c r="J404" s="6" t="s">
        <v>103</v>
      </c>
    </row>
    <row r="405" customFormat="false" ht="23.85" hidden="false" customHeight="false" outlineLevel="0" collapsed="false">
      <c r="A405" s="6" t="s">
        <v>789</v>
      </c>
      <c r="B405" s="6" t="s">
        <v>2003</v>
      </c>
      <c r="C405" s="6" t="s">
        <v>790</v>
      </c>
      <c r="D405" s="6" t="s">
        <v>1375</v>
      </c>
      <c r="E405" s="6" t="s">
        <v>10</v>
      </c>
      <c r="F405" s="7" t="n">
        <v>0.534722222222222</v>
      </c>
      <c r="G405" s="6" t="s">
        <v>16</v>
      </c>
      <c r="H405" s="6" t="s">
        <v>215</v>
      </c>
      <c r="I405" s="6" t="s">
        <v>787</v>
      </c>
      <c r="J405" s="6" t="s">
        <v>92</v>
      </c>
    </row>
    <row r="406" customFormat="false" ht="23.85" hidden="false" customHeight="false" outlineLevel="0" collapsed="false">
      <c r="A406" s="6" t="s">
        <v>2004</v>
      </c>
      <c r="B406" s="6" t="s">
        <v>2005</v>
      </c>
      <c r="C406" s="6" t="s">
        <v>2006</v>
      </c>
      <c r="D406" s="6" t="s">
        <v>1375</v>
      </c>
      <c r="E406" s="6" t="s">
        <v>10</v>
      </c>
      <c r="F406" s="7" t="n">
        <v>0.534722222222222</v>
      </c>
      <c r="G406" s="6" t="s">
        <v>29</v>
      </c>
      <c r="H406" s="6" t="s">
        <v>134</v>
      </c>
      <c r="I406" s="6" t="s">
        <v>791</v>
      </c>
      <c r="J406" s="6" t="s">
        <v>255</v>
      </c>
    </row>
    <row r="407" customFormat="false" ht="23.85" hidden="false" customHeight="false" outlineLevel="0" collapsed="false">
      <c r="A407" s="6" t="s">
        <v>1975</v>
      </c>
      <c r="B407" s="6" t="s">
        <v>1976</v>
      </c>
      <c r="C407" s="6" t="s">
        <v>1930</v>
      </c>
      <c r="D407" s="6" t="s">
        <v>1375</v>
      </c>
      <c r="E407" s="6" t="s">
        <v>10</v>
      </c>
      <c r="F407" s="7" t="n">
        <v>0.534722222222222</v>
      </c>
      <c r="G407" s="6" t="s">
        <v>29</v>
      </c>
      <c r="H407" s="6" t="s">
        <v>134</v>
      </c>
      <c r="I407" s="6" t="s">
        <v>791</v>
      </c>
      <c r="J407" s="6" t="s">
        <v>255</v>
      </c>
    </row>
    <row r="408" customFormat="false" ht="23.85" hidden="false" customHeight="false" outlineLevel="0" collapsed="false">
      <c r="A408" s="6" t="s">
        <v>2007</v>
      </c>
      <c r="B408" s="6" t="s">
        <v>2008</v>
      </c>
      <c r="C408" s="6" t="s">
        <v>587</v>
      </c>
      <c r="D408" s="6" t="s">
        <v>1375</v>
      </c>
      <c r="E408" s="6" t="s">
        <v>10</v>
      </c>
      <c r="F408" s="7" t="n">
        <v>0.534722222222222</v>
      </c>
      <c r="G408" s="6" t="s">
        <v>29</v>
      </c>
      <c r="H408" s="6" t="s">
        <v>134</v>
      </c>
      <c r="I408" s="6" t="s">
        <v>791</v>
      </c>
      <c r="J408" s="6" t="s">
        <v>255</v>
      </c>
    </row>
    <row r="409" customFormat="false" ht="23.85" hidden="false" customHeight="false" outlineLevel="0" collapsed="false">
      <c r="A409" s="6" t="s">
        <v>2009</v>
      </c>
      <c r="B409" s="6" t="s">
        <v>2010</v>
      </c>
      <c r="C409" s="6" t="s">
        <v>2011</v>
      </c>
      <c r="D409" s="6" t="s">
        <v>1375</v>
      </c>
      <c r="E409" s="6" t="s">
        <v>10</v>
      </c>
      <c r="F409" s="7" t="n">
        <v>0.534722222222222</v>
      </c>
      <c r="G409" s="6" t="s">
        <v>17</v>
      </c>
      <c r="H409" s="6" t="s">
        <v>134</v>
      </c>
      <c r="I409" s="6" t="s">
        <v>797</v>
      </c>
      <c r="J409" s="6" t="s">
        <v>80</v>
      </c>
    </row>
    <row r="410" customFormat="false" ht="23.85" hidden="false" customHeight="false" outlineLevel="0" collapsed="false">
      <c r="A410" s="6" t="s">
        <v>744</v>
      </c>
      <c r="B410" s="6" t="s">
        <v>1985</v>
      </c>
      <c r="C410" s="6" t="s">
        <v>745</v>
      </c>
      <c r="D410" s="6" t="s">
        <v>1375</v>
      </c>
      <c r="E410" s="6" t="s">
        <v>10</v>
      </c>
      <c r="F410" s="7" t="n">
        <v>0.534722222222222</v>
      </c>
      <c r="G410" s="6" t="s">
        <v>17</v>
      </c>
      <c r="H410" s="6" t="s">
        <v>134</v>
      </c>
      <c r="I410" s="6" t="s">
        <v>797</v>
      </c>
      <c r="J410" s="6" t="s">
        <v>80</v>
      </c>
    </row>
    <row r="411" customFormat="false" ht="23.85" hidden="false" customHeight="false" outlineLevel="0" collapsed="false">
      <c r="A411" s="6" t="s">
        <v>2012</v>
      </c>
      <c r="B411" s="6" t="s">
        <v>1446</v>
      </c>
      <c r="C411" s="6" t="s">
        <v>2013</v>
      </c>
      <c r="D411" s="6" t="s">
        <v>1375</v>
      </c>
      <c r="E411" s="6" t="s">
        <v>10</v>
      </c>
      <c r="F411" s="7" t="n">
        <v>0.534722222222222</v>
      </c>
      <c r="G411" s="6" t="s">
        <v>17</v>
      </c>
      <c r="H411" s="6" t="s">
        <v>134</v>
      </c>
      <c r="I411" s="6" t="s">
        <v>797</v>
      </c>
      <c r="J411" s="6" t="s">
        <v>80</v>
      </c>
    </row>
    <row r="412" customFormat="false" ht="15" hidden="false" customHeight="false" outlineLevel="0" collapsed="false">
      <c r="A412" s="6" t="s">
        <v>804</v>
      </c>
      <c r="B412" s="6" t="s">
        <v>2014</v>
      </c>
      <c r="C412" s="6" t="s">
        <v>805</v>
      </c>
      <c r="D412" s="6" t="s">
        <v>1375</v>
      </c>
      <c r="E412" s="6" t="s">
        <v>10</v>
      </c>
      <c r="F412" s="7" t="n">
        <v>0.534722222222222</v>
      </c>
      <c r="G412" s="6" t="s">
        <v>32</v>
      </c>
      <c r="H412" s="6" t="s">
        <v>81</v>
      </c>
      <c r="I412" s="6" t="s">
        <v>802</v>
      </c>
      <c r="J412" s="6" t="s">
        <v>108</v>
      </c>
    </row>
    <row r="413" customFormat="false" ht="23.85" hidden="false" customHeight="false" outlineLevel="0" collapsed="false">
      <c r="A413" s="6" t="s">
        <v>1651</v>
      </c>
      <c r="B413" s="6" t="s">
        <v>1652</v>
      </c>
      <c r="C413" s="6" t="s">
        <v>1653</v>
      </c>
      <c r="D413" s="6" t="s">
        <v>1375</v>
      </c>
      <c r="E413" s="6" t="s">
        <v>10</v>
      </c>
      <c r="F413" s="7" t="n">
        <v>0.534722222222222</v>
      </c>
      <c r="G413" s="6" t="s">
        <v>15</v>
      </c>
      <c r="H413" s="6" t="s">
        <v>81</v>
      </c>
      <c r="I413" s="6" t="s">
        <v>806</v>
      </c>
      <c r="J413" s="6" t="s">
        <v>64</v>
      </c>
    </row>
    <row r="414" customFormat="false" ht="23.85" hidden="false" customHeight="false" outlineLevel="0" collapsed="false">
      <c r="A414" s="6" t="s">
        <v>2015</v>
      </c>
      <c r="B414" s="6" t="s">
        <v>2016</v>
      </c>
      <c r="C414" s="6" t="s">
        <v>2017</v>
      </c>
      <c r="D414" s="6" t="s">
        <v>1375</v>
      </c>
      <c r="E414" s="6" t="s">
        <v>10</v>
      </c>
      <c r="F414" s="7" t="n">
        <v>0.534722222222222</v>
      </c>
      <c r="G414" s="6" t="s">
        <v>15</v>
      </c>
      <c r="H414" s="6" t="s">
        <v>81</v>
      </c>
      <c r="I414" s="6" t="s">
        <v>806</v>
      </c>
      <c r="J414" s="6" t="s">
        <v>64</v>
      </c>
    </row>
    <row r="415" customFormat="false" ht="23.85" hidden="false" customHeight="false" outlineLevel="0" collapsed="false">
      <c r="A415" s="6" t="s">
        <v>813</v>
      </c>
      <c r="B415" s="6" t="s">
        <v>1715</v>
      </c>
      <c r="C415" s="6" t="s">
        <v>814</v>
      </c>
      <c r="D415" s="6" t="s">
        <v>1375</v>
      </c>
      <c r="E415" s="6" t="s">
        <v>10</v>
      </c>
      <c r="F415" s="7" t="n">
        <v>0.534722222222222</v>
      </c>
      <c r="G415" s="6" t="s">
        <v>36</v>
      </c>
      <c r="H415" s="6" t="s">
        <v>156</v>
      </c>
      <c r="I415" s="6" t="s">
        <v>811</v>
      </c>
      <c r="J415" s="6" t="s">
        <v>36</v>
      </c>
    </row>
    <row r="416" customFormat="false" ht="23.85" hidden="false" customHeight="false" outlineLevel="0" collapsed="false">
      <c r="A416" s="6" t="s">
        <v>817</v>
      </c>
      <c r="B416" s="6" t="s">
        <v>2018</v>
      </c>
      <c r="C416" s="6" t="s">
        <v>818</v>
      </c>
      <c r="D416" s="6" t="s">
        <v>1375</v>
      </c>
      <c r="E416" s="6" t="s">
        <v>10</v>
      </c>
      <c r="F416" s="7" t="n">
        <v>0.534722222222222</v>
      </c>
      <c r="G416" s="6" t="s">
        <v>27</v>
      </c>
      <c r="H416" s="6" t="s">
        <v>81</v>
      </c>
      <c r="I416" s="6" t="s">
        <v>815</v>
      </c>
      <c r="J416" s="6" t="s">
        <v>86</v>
      </c>
    </row>
    <row r="417" customFormat="false" ht="15" hidden="false" customHeight="false" outlineLevel="0" collapsed="false">
      <c r="A417" s="6" t="s">
        <v>2019</v>
      </c>
      <c r="B417" s="6" t="s">
        <v>2020</v>
      </c>
      <c r="C417" s="6" t="s">
        <v>1692</v>
      </c>
      <c r="D417" s="6" t="s">
        <v>1375</v>
      </c>
      <c r="E417" s="6" t="s">
        <v>10</v>
      </c>
      <c r="F417" s="7" t="n">
        <v>0.541666666666667</v>
      </c>
      <c r="G417" s="6" t="s">
        <v>37</v>
      </c>
      <c r="H417" s="6" t="s">
        <v>67</v>
      </c>
      <c r="I417" s="6" t="s">
        <v>819</v>
      </c>
      <c r="J417" s="6" t="s">
        <v>97</v>
      </c>
    </row>
    <row r="418" customFormat="false" ht="15" hidden="false" customHeight="false" outlineLevel="0" collapsed="false">
      <c r="A418" s="6" t="s">
        <v>1972</v>
      </c>
      <c r="B418" s="6" t="s">
        <v>1446</v>
      </c>
      <c r="C418" s="6" t="s">
        <v>1973</v>
      </c>
      <c r="D418" s="6" t="s">
        <v>1375</v>
      </c>
      <c r="E418" s="6" t="s">
        <v>10</v>
      </c>
      <c r="F418" s="7" t="n">
        <v>0.541666666666667</v>
      </c>
      <c r="G418" s="6" t="s">
        <v>37</v>
      </c>
      <c r="H418" s="6" t="s">
        <v>67</v>
      </c>
      <c r="I418" s="6" t="s">
        <v>819</v>
      </c>
      <c r="J418" s="6" t="s">
        <v>97</v>
      </c>
    </row>
    <row r="419" customFormat="false" ht="23.85" hidden="false" customHeight="false" outlineLevel="0" collapsed="false">
      <c r="A419" s="6" t="s">
        <v>825</v>
      </c>
      <c r="B419" s="6" t="s">
        <v>1412</v>
      </c>
      <c r="C419" s="6" t="s">
        <v>826</v>
      </c>
      <c r="D419" s="6" t="s">
        <v>1375</v>
      </c>
      <c r="E419" s="6" t="s">
        <v>10</v>
      </c>
      <c r="F419" s="7" t="n">
        <v>0.541666666666667</v>
      </c>
      <c r="G419" s="6" t="s">
        <v>36</v>
      </c>
      <c r="H419" s="6" t="s">
        <v>156</v>
      </c>
      <c r="I419" s="6" t="s">
        <v>823</v>
      </c>
      <c r="J419" s="6" t="s">
        <v>36</v>
      </c>
    </row>
    <row r="420" customFormat="false" ht="23.85" hidden="false" customHeight="false" outlineLevel="0" collapsed="false">
      <c r="A420" s="6" t="s">
        <v>829</v>
      </c>
      <c r="B420" s="6" t="s">
        <v>2021</v>
      </c>
      <c r="C420" s="6" t="s">
        <v>830</v>
      </c>
      <c r="D420" s="6" t="s">
        <v>1375</v>
      </c>
      <c r="E420" s="6" t="s">
        <v>10</v>
      </c>
      <c r="F420" s="7" t="n">
        <v>0.545138888888889</v>
      </c>
      <c r="G420" s="6" t="s">
        <v>13</v>
      </c>
      <c r="H420" s="6" t="s">
        <v>81</v>
      </c>
      <c r="I420" s="6" t="s">
        <v>827</v>
      </c>
      <c r="J420" s="6" t="s">
        <v>114</v>
      </c>
    </row>
    <row r="421" customFormat="false" ht="23.85" hidden="false" customHeight="false" outlineLevel="0" collapsed="false">
      <c r="A421" s="6" t="s">
        <v>2022</v>
      </c>
      <c r="B421" s="6" t="s">
        <v>2023</v>
      </c>
      <c r="C421" s="6" t="s">
        <v>79</v>
      </c>
      <c r="D421" s="6" t="s">
        <v>1375</v>
      </c>
      <c r="E421" s="6" t="s">
        <v>10</v>
      </c>
      <c r="F421" s="7" t="n">
        <v>0.545138888888889</v>
      </c>
      <c r="G421" s="6" t="s">
        <v>27</v>
      </c>
      <c r="H421" s="6" t="s">
        <v>134</v>
      </c>
      <c r="I421" s="6" t="s">
        <v>831</v>
      </c>
      <c r="J421" s="6" t="s">
        <v>86</v>
      </c>
    </row>
    <row r="422" customFormat="false" ht="23.85" hidden="false" customHeight="false" outlineLevel="0" collapsed="false">
      <c r="A422" s="6" t="s">
        <v>2024</v>
      </c>
      <c r="B422" s="6" t="s">
        <v>2025</v>
      </c>
      <c r="C422" s="6" t="s">
        <v>1447</v>
      </c>
      <c r="D422" s="6" t="s">
        <v>1375</v>
      </c>
      <c r="E422" s="6" t="s">
        <v>10</v>
      </c>
      <c r="F422" s="7" t="n">
        <v>0.545138888888889</v>
      </c>
      <c r="G422" s="6" t="s">
        <v>27</v>
      </c>
      <c r="H422" s="6" t="s">
        <v>134</v>
      </c>
      <c r="I422" s="6" t="s">
        <v>831</v>
      </c>
      <c r="J422" s="6" t="s">
        <v>86</v>
      </c>
    </row>
    <row r="423" customFormat="false" ht="23.85" hidden="false" customHeight="false" outlineLevel="0" collapsed="false">
      <c r="A423" s="6" t="s">
        <v>2026</v>
      </c>
      <c r="B423" s="6" t="s">
        <v>2027</v>
      </c>
      <c r="C423" s="6" t="s">
        <v>85</v>
      </c>
      <c r="D423" s="6" t="s">
        <v>1375</v>
      </c>
      <c r="E423" s="6" t="s">
        <v>10</v>
      </c>
      <c r="F423" s="7" t="n">
        <v>0.545138888888889</v>
      </c>
      <c r="G423" s="6" t="s">
        <v>27</v>
      </c>
      <c r="H423" s="6" t="s">
        <v>134</v>
      </c>
      <c r="I423" s="6" t="s">
        <v>831</v>
      </c>
      <c r="J423" s="6" t="s">
        <v>86</v>
      </c>
    </row>
    <row r="424" customFormat="false" ht="15" hidden="false" customHeight="false" outlineLevel="0" collapsed="false">
      <c r="A424" s="6" t="s">
        <v>2028</v>
      </c>
      <c r="B424" s="6" t="s">
        <v>1412</v>
      </c>
      <c r="C424" s="6" t="s">
        <v>2029</v>
      </c>
      <c r="D424" s="6" t="s">
        <v>1375</v>
      </c>
      <c r="E424" s="6" t="s">
        <v>10</v>
      </c>
      <c r="F424" s="7" t="n">
        <v>0.545138888888889</v>
      </c>
      <c r="G424" s="6" t="s">
        <v>14</v>
      </c>
      <c r="H424" s="6" t="s">
        <v>594</v>
      </c>
      <c r="I424" s="6" t="s">
        <v>836</v>
      </c>
      <c r="J424" s="6" t="s">
        <v>588</v>
      </c>
    </row>
    <row r="425" customFormat="false" ht="15" hidden="false" customHeight="false" outlineLevel="0" collapsed="false">
      <c r="A425" s="6" t="s">
        <v>1926</v>
      </c>
      <c r="B425" s="6" t="s">
        <v>1927</v>
      </c>
      <c r="C425" s="6" t="s">
        <v>1928</v>
      </c>
      <c r="D425" s="6" t="s">
        <v>1375</v>
      </c>
      <c r="E425" s="6" t="s">
        <v>10</v>
      </c>
      <c r="F425" s="7" t="n">
        <v>0.545138888888889</v>
      </c>
      <c r="G425" s="6" t="s">
        <v>14</v>
      </c>
      <c r="H425" s="6" t="s">
        <v>594</v>
      </c>
      <c r="I425" s="6" t="s">
        <v>836</v>
      </c>
      <c r="J425" s="6" t="s">
        <v>588</v>
      </c>
    </row>
    <row r="426" customFormat="false" ht="23.85" hidden="false" customHeight="false" outlineLevel="0" collapsed="false">
      <c r="A426" s="6" t="s">
        <v>2030</v>
      </c>
      <c r="B426" s="6" t="s">
        <v>2031</v>
      </c>
      <c r="C426" s="6" t="s">
        <v>2032</v>
      </c>
      <c r="D426" s="6" t="s">
        <v>1375</v>
      </c>
      <c r="E426" s="6" t="s">
        <v>10</v>
      </c>
      <c r="F426" s="7" t="n">
        <v>0.545138888888889</v>
      </c>
      <c r="G426" s="6" t="s">
        <v>15</v>
      </c>
      <c r="H426" s="6" t="s">
        <v>134</v>
      </c>
      <c r="I426" s="6" t="s">
        <v>840</v>
      </c>
      <c r="J426" s="6" t="s">
        <v>64</v>
      </c>
    </row>
    <row r="427" customFormat="false" ht="23.85" hidden="false" customHeight="false" outlineLevel="0" collapsed="false">
      <c r="A427" s="6" t="s">
        <v>1868</v>
      </c>
      <c r="B427" s="6" t="s">
        <v>1869</v>
      </c>
      <c r="C427" s="6" t="s">
        <v>1870</v>
      </c>
      <c r="D427" s="6" t="s">
        <v>1375</v>
      </c>
      <c r="E427" s="6" t="s">
        <v>10</v>
      </c>
      <c r="F427" s="7" t="n">
        <v>0.545138888888889</v>
      </c>
      <c r="G427" s="6" t="s">
        <v>15</v>
      </c>
      <c r="H427" s="6" t="s">
        <v>134</v>
      </c>
      <c r="I427" s="6" t="s">
        <v>840</v>
      </c>
      <c r="J427" s="6" t="s">
        <v>64</v>
      </c>
    </row>
    <row r="428" customFormat="false" ht="23.85" hidden="false" customHeight="false" outlineLevel="0" collapsed="false">
      <c r="A428" s="6" t="s">
        <v>740</v>
      </c>
      <c r="B428" s="6" t="s">
        <v>1984</v>
      </c>
      <c r="C428" s="6" t="s">
        <v>741</v>
      </c>
      <c r="D428" s="6" t="s">
        <v>1375</v>
      </c>
      <c r="E428" s="6" t="s">
        <v>10</v>
      </c>
      <c r="F428" s="7" t="n">
        <v>0.545138888888889</v>
      </c>
      <c r="G428" s="6" t="s">
        <v>15</v>
      </c>
      <c r="H428" s="6" t="s">
        <v>134</v>
      </c>
      <c r="I428" s="6" t="s">
        <v>840</v>
      </c>
      <c r="J428" s="6" t="s">
        <v>64</v>
      </c>
    </row>
    <row r="429" customFormat="false" ht="23.85" hidden="false" customHeight="false" outlineLevel="0" collapsed="false">
      <c r="A429" s="6" t="s">
        <v>2033</v>
      </c>
      <c r="B429" s="6" t="s">
        <v>2034</v>
      </c>
      <c r="C429" s="6" t="s">
        <v>2035</v>
      </c>
      <c r="D429" s="6" t="s">
        <v>1375</v>
      </c>
      <c r="E429" s="6" t="s">
        <v>10</v>
      </c>
      <c r="F429" s="7" t="n">
        <v>0.545138888888889</v>
      </c>
      <c r="G429" s="6" t="s">
        <v>32</v>
      </c>
      <c r="H429" s="6" t="s">
        <v>81</v>
      </c>
      <c r="I429" s="6" t="s">
        <v>845</v>
      </c>
      <c r="J429" s="6" t="s">
        <v>108</v>
      </c>
    </row>
    <row r="430" customFormat="false" ht="23.85" hidden="false" customHeight="false" outlineLevel="0" collapsed="false">
      <c r="A430" s="6" t="s">
        <v>1636</v>
      </c>
      <c r="B430" s="6" t="s">
        <v>1552</v>
      </c>
      <c r="C430" s="6" t="s">
        <v>1637</v>
      </c>
      <c r="D430" s="6" t="s">
        <v>1375</v>
      </c>
      <c r="E430" s="6" t="s">
        <v>10</v>
      </c>
      <c r="F430" s="7" t="n">
        <v>0.545138888888889</v>
      </c>
      <c r="G430" s="6" t="s">
        <v>32</v>
      </c>
      <c r="H430" s="6" t="s">
        <v>81</v>
      </c>
      <c r="I430" s="6" t="s">
        <v>845</v>
      </c>
      <c r="J430" s="6" t="s">
        <v>108</v>
      </c>
    </row>
    <row r="431" customFormat="false" ht="15" hidden="false" customHeight="false" outlineLevel="0" collapsed="false">
      <c r="A431" s="6" t="s">
        <v>1986</v>
      </c>
      <c r="B431" s="6" t="s">
        <v>1987</v>
      </c>
      <c r="C431" s="6" t="s">
        <v>368</v>
      </c>
      <c r="D431" s="6" t="s">
        <v>1375</v>
      </c>
      <c r="E431" s="6" t="s">
        <v>10</v>
      </c>
      <c r="F431" s="7" t="n">
        <v>0.545138888888889</v>
      </c>
      <c r="G431" s="6" t="s">
        <v>33</v>
      </c>
      <c r="H431" s="6" t="s">
        <v>215</v>
      </c>
      <c r="I431" s="6" t="s">
        <v>850</v>
      </c>
      <c r="J431" s="6" t="s">
        <v>103</v>
      </c>
    </row>
    <row r="432" customFormat="false" ht="15" hidden="false" customHeight="false" outlineLevel="0" collapsed="false">
      <c r="A432" s="6" t="s">
        <v>2036</v>
      </c>
      <c r="B432" s="6" t="s">
        <v>2037</v>
      </c>
      <c r="C432" s="6" t="s">
        <v>1192</v>
      </c>
      <c r="D432" s="6" t="s">
        <v>1375</v>
      </c>
      <c r="E432" s="6" t="s">
        <v>10</v>
      </c>
      <c r="F432" s="7" t="n">
        <v>0.545138888888889</v>
      </c>
      <c r="G432" s="6" t="s">
        <v>33</v>
      </c>
      <c r="H432" s="6" t="s">
        <v>215</v>
      </c>
      <c r="I432" s="6" t="s">
        <v>850</v>
      </c>
      <c r="J432" s="6" t="s">
        <v>103</v>
      </c>
    </row>
    <row r="433" customFormat="false" ht="15" hidden="false" customHeight="false" outlineLevel="0" collapsed="false">
      <c r="A433" s="6" t="s">
        <v>2038</v>
      </c>
      <c r="B433" s="6" t="s">
        <v>1412</v>
      </c>
      <c r="C433" s="6" t="s">
        <v>2039</v>
      </c>
      <c r="D433" s="6" t="s">
        <v>1375</v>
      </c>
      <c r="E433" s="6" t="s">
        <v>10</v>
      </c>
      <c r="F433" s="7" t="n">
        <v>0.545138888888889</v>
      </c>
      <c r="G433" s="6" t="s">
        <v>33</v>
      </c>
      <c r="H433" s="6" t="s">
        <v>215</v>
      </c>
      <c r="I433" s="6" t="s">
        <v>850</v>
      </c>
      <c r="J433" s="6" t="s">
        <v>103</v>
      </c>
    </row>
    <row r="434" customFormat="false" ht="23.85" hidden="false" customHeight="false" outlineLevel="0" collapsed="false">
      <c r="A434" s="6" t="s">
        <v>857</v>
      </c>
      <c r="B434" s="6" t="s">
        <v>2040</v>
      </c>
      <c r="C434" s="6" t="s">
        <v>858</v>
      </c>
      <c r="D434" s="6" t="s">
        <v>1375</v>
      </c>
      <c r="E434" s="6" t="s">
        <v>10</v>
      </c>
      <c r="F434" s="7" t="n">
        <v>0.545138888888889</v>
      </c>
      <c r="G434" s="6" t="s">
        <v>23</v>
      </c>
      <c r="H434" s="6" t="s">
        <v>215</v>
      </c>
      <c r="I434" s="6" t="s">
        <v>855</v>
      </c>
      <c r="J434" s="6" t="s">
        <v>732</v>
      </c>
    </row>
    <row r="435" customFormat="false" ht="15" hidden="false" customHeight="false" outlineLevel="0" collapsed="false">
      <c r="A435" s="6" t="s">
        <v>862</v>
      </c>
      <c r="B435" s="6" t="s">
        <v>1671</v>
      </c>
      <c r="C435" s="6" t="s">
        <v>863</v>
      </c>
      <c r="D435" s="6" t="s">
        <v>1375</v>
      </c>
      <c r="E435" s="6" t="s">
        <v>10</v>
      </c>
      <c r="F435" s="7" t="n">
        <v>0.545138888888889</v>
      </c>
      <c r="G435" s="6" t="s">
        <v>21</v>
      </c>
      <c r="H435" s="6" t="s">
        <v>81</v>
      </c>
      <c r="I435" s="6" t="s">
        <v>860</v>
      </c>
      <c r="J435" s="6" t="s">
        <v>119</v>
      </c>
    </row>
    <row r="436" customFormat="false" ht="23.85" hidden="false" customHeight="false" outlineLevel="0" collapsed="false">
      <c r="A436" s="6" t="s">
        <v>2041</v>
      </c>
      <c r="B436" s="6" t="s">
        <v>2042</v>
      </c>
      <c r="C436" s="6" t="s">
        <v>2043</v>
      </c>
      <c r="D436" s="6" t="s">
        <v>1375</v>
      </c>
      <c r="E436" s="6" t="s">
        <v>10</v>
      </c>
      <c r="F436" s="7" t="n">
        <v>0.545138888888889</v>
      </c>
      <c r="G436" s="6" t="s">
        <v>16</v>
      </c>
      <c r="H436" s="6" t="s">
        <v>134</v>
      </c>
      <c r="I436" s="6" t="s">
        <v>865</v>
      </c>
      <c r="J436" s="6" t="s">
        <v>92</v>
      </c>
    </row>
    <row r="437" customFormat="false" ht="23.85" hidden="false" customHeight="false" outlineLevel="0" collapsed="false">
      <c r="A437" s="6" t="s">
        <v>1389</v>
      </c>
      <c r="B437" s="6" t="s">
        <v>1390</v>
      </c>
      <c r="C437" s="6" t="s">
        <v>1391</v>
      </c>
      <c r="D437" s="6" t="s">
        <v>1375</v>
      </c>
      <c r="E437" s="6" t="s">
        <v>10</v>
      </c>
      <c r="F437" s="7" t="n">
        <v>0.545138888888889</v>
      </c>
      <c r="G437" s="6" t="s">
        <v>16</v>
      </c>
      <c r="H437" s="6" t="s">
        <v>134</v>
      </c>
      <c r="I437" s="6" t="s">
        <v>865</v>
      </c>
      <c r="J437" s="6" t="s">
        <v>92</v>
      </c>
    </row>
    <row r="438" customFormat="false" ht="23.85" hidden="false" customHeight="false" outlineLevel="0" collapsed="false">
      <c r="A438" s="6" t="s">
        <v>2044</v>
      </c>
      <c r="B438" s="6" t="s">
        <v>2045</v>
      </c>
      <c r="C438" s="6" t="s">
        <v>2046</v>
      </c>
      <c r="D438" s="6" t="s">
        <v>1375</v>
      </c>
      <c r="E438" s="6" t="s">
        <v>10</v>
      </c>
      <c r="F438" s="7" t="n">
        <v>0.545138888888889</v>
      </c>
      <c r="G438" s="6" t="s">
        <v>16</v>
      </c>
      <c r="H438" s="6" t="s">
        <v>134</v>
      </c>
      <c r="I438" s="6" t="s">
        <v>865</v>
      </c>
      <c r="J438" s="6" t="s">
        <v>92</v>
      </c>
    </row>
    <row r="439" customFormat="false" ht="15" hidden="false" customHeight="false" outlineLevel="0" collapsed="false">
      <c r="A439" s="6" t="s">
        <v>872</v>
      </c>
      <c r="B439" s="6" t="s">
        <v>1500</v>
      </c>
      <c r="C439" s="6" t="s">
        <v>873</v>
      </c>
      <c r="D439" s="6" t="s">
        <v>1375</v>
      </c>
      <c r="E439" s="6" t="s">
        <v>10</v>
      </c>
      <c r="F439" s="7" t="n">
        <v>0.548611111111111</v>
      </c>
      <c r="G439" s="6" t="s">
        <v>36</v>
      </c>
      <c r="H439" s="6" t="s">
        <v>156</v>
      </c>
      <c r="I439" s="6" t="s">
        <v>870</v>
      </c>
      <c r="J439" s="6" t="s">
        <v>36</v>
      </c>
    </row>
    <row r="440" customFormat="false" ht="23.85" hidden="false" customHeight="false" outlineLevel="0" collapsed="false">
      <c r="A440" s="6" t="s">
        <v>2047</v>
      </c>
      <c r="B440" s="6" t="s">
        <v>2048</v>
      </c>
      <c r="C440" s="6" t="s">
        <v>2049</v>
      </c>
      <c r="D440" s="6" t="s">
        <v>1375</v>
      </c>
      <c r="E440" s="6" t="s">
        <v>10</v>
      </c>
      <c r="F440" s="7" t="n">
        <v>0.552083333333333</v>
      </c>
      <c r="G440" s="6" t="s">
        <v>37</v>
      </c>
      <c r="H440" s="6" t="s">
        <v>134</v>
      </c>
      <c r="I440" s="6" t="s">
        <v>874</v>
      </c>
      <c r="J440" s="6" t="s">
        <v>97</v>
      </c>
    </row>
    <row r="441" customFormat="false" ht="23.85" hidden="false" customHeight="false" outlineLevel="0" collapsed="false">
      <c r="A441" s="6" t="s">
        <v>1970</v>
      </c>
      <c r="B441" s="6" t="s">
        <v>1971</v>
      </c>
      <c r="C441" s="6" t="s">
        <v>1930</v>
      </c>
      <c r="D441" s="6" t="s">
        <v>1375</v>
      </c>
      <c r="E441" s="6" t="s">
        <v>10</v>
      </c>
      <c r="F441" s="7" t="n">
        <v>0.552083333333333</v>
      </c>
      <c r="G441" s="6" t="s">
        <v>37</v>
      </c>
      <c r="H441" s="6" t="s">
        <v>134</v>
      </c>
      <c r="I441" s="6" t="s">
        <v>874</v>
      </c>
      <c r="J441" s="6" t="s">
        <v>97</v>
      </c>
    </row>
    <row r="442" customFormat="false" ht="23.85" hidden="false" customHeight="false" outlineLevel="0" collapsed="false">
      <c r="A442" s="6" t="s">
        <v>2050</v>
      </c>
      <c r="B442" s="6" t="s">
        <v>2051</v>
      </c>
      <c r="C442" s="6" t="s">
        <v>2052</v>
      </c>
      <c r="D442" s="6" t="s">
        <v>1375</v>
      </c>
      <c r="E442" s="6" t="s">
        <v>10</v>
      </c>
      <c r="F442" s="7" t="n">
        <v>0.552083333333333</v>
      </c>
      <c r="G442" s="6" t="s">
        <v>37</v>
      </c>
      <c r="H442" s="6" t="s">
        <v>134</v>
      </c>
      <c r="I442" s="6" t="s">
        <v>874</v>
      </c>
      <c r="J442" s="6" t="s">
        <v>97</v>
      </c>
    </row>
    <row r="443" customFormat="false" ht="23.85" hidden="false" customHeight="false" outlineLevel="0" collapsed="false">
      <c r="A443" s="6" t="s">
        <v>2028</v>
      </c>
      <c r="B443" s="6" t="s">
        <v>1412</v>
      </c>
      <c r="C443" s="6" t="s">
        <v>2029</v>
      </c>
      <c r="D443" s="6" t="s">
        <v>1375</v>
      </c>
      <c r="E443" s="6" t="s">
        <v>10</v>
      </c>
      <c r="F443" s="7" t="n">
        <v>0.552083333333333</v>
      </c>
      <c r="G443" s="6" t="s">
        <v>14</v>
      </c>
      <c r="H443" s="6" t="s">
        <v>134</v>
      </c>
      <c r="I443" s="6" t="s">
        <v>879</v>
      </c>
      <c r="J443" s="6" t="s">
        <v>588</v>
      </c>
    </row>
    <row r="444" customFormat="false" ht="23.85" hidden="false" customHeight="false" outlineLevel="0" collapsed="false">
      <c r="A444" s="6" t="s">
        <v>2053</v>
      </c>
      <c r="B444" s="6" t="s">
        <v>1442</v>
      </c>
      <c r="C444" s="6" t="s">
        <v>2054</v>
      </c>
      <c r="D444" s="6" t="s">
        <v>1375</v>
      </c>
      <c r="E444" s="6" t="s">
        <v>10</v>
      </c>
      <c r="F444" s="7" t="n">
        <v>0.552083333333333</v>
      </c>
      <c r="G444" s="6" t="s">
        <v>14</v>
      </c>
      <c r="H444" s="6" t="s">
        <v>134</v>
      </c>
      <c r="I444" s="6" t="s">
        <v>879</v>
      </c>
      <c r="J444" s="6" t="s">
        <v>588</v>
      </c>
    </row>
    <row r="445" customFormat="false" ht="23.85" hidden="false" customHeight="false" outlineLevel="0" collapsed="false">
      <c r="A445" s="6" t="s">
        <v>2055</v>
      </c>
      <c r="B445" s="6" t="s">
        <v>1412</v>
      </c>
      <c r="C445" s="6" t="s">
        <v>1053</v>
      </c>
      <c r="D445" s="6" t="s">
        <v>1375</v>
      </c>
      <c r="E445" s="6" t="s">
        <v>10</v>
      </c>
      <c r="F445" s="7" t="n">
        <v>0.552083333333333</v>
      </c>
      <c r="G445" s="6" t="s">
        <v>14</v>
      </c>
      <c r="H445" s="6" t="s">
        <v>134</v>
      </c>
      <c r="I445" s="6" t="s">
        <v>879</v>
      </c>
      <c r="J445" s="6" t="s">
        <v>588</v>
      </c>
    </row>
    <row r="446" customFormat="false" ht="23.85" hidden="false" customHeight="false" outlineLevel="0" collapsed="false">
      <c r="A446" s="6" t="s">
        <v>1313</v>
      </c>
      <c r="B446" s="6" t="s">
        <v>2056</v>
      </c>
      <c r="C446" s="6" t="s">
        <v>368</v>
      </c>
      <c r="D446" s="6" t="s">
        <v>1375</v>
      </c>
      <c r="E446" s="6" t="s">
        <v>10</v>
      </c>
      <c r="F446" s="7" t="n">
        <v>0.555555555555556</v>
      </c>
      <c r="G446" s="6" t="s">
        <v>13</v>
      </c>
      <c r="H446" s="6" t="s">
        <v>134</v>
      </c>
      <c r="I446" s="6" t="s">
        <v>884</v>
      </c>
      <c r="J446" s="6" t="s">
        <v>114</v>
      </c>
    </row>
    <row r="447" customFormat="false" ht="23.85" hidden="false" customHeight="false" outlineLevel="0" collapsed="false">
      <c r="A447" s="6" t="s">
        <v>1310</v>
      </c>
      <c r="B447" s="6" t="s">
        <v>2057</v>
      </c>
      <c r="C447" s="6" t="s">
        <v>1450</v>
      </c>
      <c r="D447" s="6" t="s">
        <v>1375</v>
      </c>
      <c r="E447" s="6" t="s">
        <v>10</v>
      </c>
      <c r="F447" s="7" t="n">
        <v>0.555555555555556</v>
      </c>
      <c r="G447" s="6" t="s">
        <v>13</v>
      </c>
      <c r="H447" s="6" t="s">
        <v>134</v>
      </c>
      <c r="I447" s="6" t="s">
        <v>884</v>
      </c>
      <c r="J447" s="6" t="s">
        <v>114</v>
      </c>
    </row>
    <row r="448" customFormat="false" ht="23.85" hidden="false" customHeight="false" outlineLevel="0" collapsed="false">
      <c r="A448" s="6" t="s">
        <v>1829</v>
      </c>
      <c r="B448" s="6" t="s">
        <v>1830</v>
      </c>
      <c r="C448" s="6" t="s">
        <v>79</v>
      </c>
      <c r="D448" s="6" t="s">
        <v>1375</v>
      </c>
      <c r="E448" s="6" t="s">
        <v>10</v>
      </c>
      <c r="F448" s="7" t="n">
        <v>0.555555555555556</v>
      </c>
      <c r="G448" s="6" t="s">
        <v>13</v>
      </c>
      <c r="H448" s="6" t="s">
        <v>134</v>
      </c>
      <c r="I448" s="6" t="s">
        <v>884</v>
      </c>
      <c r="J448" s="6" t="s">
        <v>114</v>
      </c>
    </row>
    <row r="449" customFormat="false" ht="23.85" hidden="false" customHeight="false" outlineLevel="0" collapsed="false">
      <c r="A449" s="6" t="s">
        <v>1546</v>
      </c>
      <c r="B449" s="6" t="s">
        <v>1547</v>
      </c>
      <c r="C449" s="6" t="s">
        <v>133</v>
      </c>
      <c r="D449" s="6" t="s">
        <v>1375</v>
      </c>
      <c r="E449" s="6" t="s">
        <v>10</v>
      </c>
      <c r="F449" s="7" t="n">
        <v>0.555555555555556</v>
      </c>
      <c r="G449" s="6" t="s">
        <v>32</v>
      </c>
      <c r="H449" s="6" t="s">
        <v>134</v>
      </c>
      <c r="I449" s="6" t="s">
        <v>889</v>
      </c>
      <c r="J449" s="6" t="s">
        <v>108</v>
      </c>
    </row>
    <row r="450" customFormat="false" ht="23.85" hidden="false" customHeight="false" outlineLevel="0" collapsed="false">
      <c r="A450" s="6" t="s">
        <v>2058</v>
      </c>
      <c r="B450" s="6" t="s">
        <v>1446</v>
      </c>
      <c r="C450" s="6" t="s">
        <v>805</v>
      </c>
      <c r="D450" s="6" t="s">
        <v>1375</v>
      </c>
      <c r="E450" s="6" t="s">
        <v>10</v>
      </c>
      <c r="F450" s="7" t="n">
        <v>0.555555555555556</v>
      </c>
      <c r="G450" s="6" t="s">
        <v>32</v>
      </c>
      <c r="H450" s="6" t="s">
        <v>134</v>
      </c>
      <c r="I450" s="6" t="s">
        <v>889</v>
      </c>
      <c r="J450" s="6" t="s">
        <v>108</v>
      </c>
    </row>
    <row r="451" customFormat="false" ht="23.85" hidden="false" customHeight="false" outlineLevel="0" collapsed="false">
      <c r="A451" s="6" t="s">
        <v>1681</v>
      </c>
      <c r="B451" s="6" t="s">
        <v>1682</v>
      </c>
      <c r="C451" s="6" t="s">
        <v>1683</v>
      </c>
      <c r="D451" s="6" t="s">
        <v>1375</v>
      </c>
      <c r="E451" s="6" t="s">
        <v>10</v>
      </c>
      <c r="F451" s="7" t="n">
        <v>0.555555555555556</v>
      </c>
      <c r="G451" s="6" t="s">
        <v>32</v>
      </c>
      <c r="H451" s="6" t="s">
        <v>134</v>
      </c>
      <c r="I451" s="6" t="s">
        <v>889</v>
      </c>
      <c r="J451" s="6" t="s">
        <v>108</v>
      </c>
    </row>
    <row r="452" customFormat="false" ht="23.85" hidden="false" customHeight="false" outlineLevel="0" collapsed="false">
      <c r="A452" s="6" t="s">
        <v>1978</v>
      </c>
      <c r="B452" s="6" t="s">
        <v>1979</v>
      </c>
      <c r="C452" s="6" t="s">
        <v>1588</v>
      </c>
      <c r="D452" s="6" t="s">
        <v>1375</v>
      </c>
      <c r="E452" s="6" t="s">
        <v>10</v>
      </c>
      <c r="F452" s="7" t="n">
        <v>0.555555555555556</v>
      </c>
      <c r="G452" s="6" t="s">
        <v>23</v>
      </c>
      <c r="H452" s="6" t="s">
        <v>134</v>
      </c>
      <c r="I452" s="6" t="s">
        <v>894</v>
      </c>
      <c r="J452" s="6" t="s">
        <v>732</v>
      </c>
    </row>
    <row r="453" customFormat="false" ht="23.85" hidden="false" customHeight="false" outlineLevel="0" collapsed="false">
      <c r="A453" s="6" t="s">
        <v>2059</v>
      </c>
      <c r="B453" s="6" t="s">
        <v>2060</v>
      </c>
      <c r="C453" s="6" t="s">
        <v>1574</v>
      </c>
      <c r="D453" s="6" t="s">
        <v>1375</v>
      </c>
      <c r="E453" s="6" t="s">
        <v>10</v>
      </c>
      <c r="F453" s="7" t="n">
        <v>0.555555555555556</v>
      </c>
      <c r="G453" s="6" t="s">
        <v>23</v>
      </c>
      <c r="H453" s="6" t="s">
        <v>134</v>
      </c>
      <c r="I453" s="6" t="s">
        <v>894</v>
      </c>
      <c r="J453" s="6" t="s">
        <v>732</v>
      </c>
    </row>
    <row r="454" customFormat="false" ht="23.85" hidden="false" customHeight="false" outlineLevel="0" collapsed="false">
      <c r="A454" s="6" t="s">
        <v>1416</v>
      </c>
      <c r="B454" s="6" t="s">
        <v>1417</v>
      </c>
      <c r="C454" s="6" t="s">
        <v>1418</v>
      </c>
      <c r="D454" s="6" t="s">
        <v>1375</v>
      </c>
      <c r="E454" s="6" t="s">
        <v>10</v>
      </c>
      <c r="F454" s="7" t="n">
        <v>0.555555555555556</v>
      </c>
      <c r="G454" s="6" t="s">
        <v>23</v>
      </c>
      <c r="H454" s="6" t="s">
        <v>134</v>
      </c>
      <c r="I454" s="6" t="s">
        <v>894</v>
      </c>
      <c r="J454" s="6" t="s">
        <v>732</v>
      </c>
    </row>
    <row r="455" customFormat="false" ht="23.85" hidden="false" customHeight="false" outlineLevel="0" collapsed="false">
      <c r="A455" s="6" t="s">
        <v>1871</v>
      </c>
      <c r="B455" s="6" t="s">
        <v>1872</v>
      </c>
      <c r="C455" s="6" t="s">
        <v>727</v>
      </c>
      <c r="D455" s="6" t="s">
        <v>1375</v>
      </c>
      <c r="E455" s="6" t="s">
        <v>10</v>
      </c>
      <c r="F455" s="7" t="n">
        <v>0.555555555555556</v>
      </c>
      <c r="G455" s="6" t="s">
        <v>21</v>
      </c>
      <c r="H455" s="6" t="s">
        <v>134</v>
      </c>
      <c r="I455" s="6" t="s">
        <v>899</v>
      </c>
      <c r="J455" s="6" t="s">
        <v>119</v>
      </c>
    </row>
    <row r="456" customFormat="false" ht="23.85" hidden="false" customHeight="false" outlineLevel="0" collapsed="false">
      <c r="A456" s="6" t="s">
        <v>2061</v>
      </c>
      <c r="B456" s="6" t="s">
        <v>1798</v>
      </c>
      <c r="C456" s="6" t="s">
        <v>2062</v>
      </c>
      <c r="D456" s="6" t="s">
        <v>1375</v>
      </c>
      <c r="E456" s="6" t="s">
        <v>10</v>
      </c>
      <c r="F456" s="7" t="n">
        <v>0.555555555555556</v>
      </c>
      <c r="G456" s="6" t="s">
        <v>21</v>
      </c>
      <c r="H456" s="6" t="s">
        <v>134</v>
      </c>
      <c r="I456" s="6" t="s">
        <v>899</v>
      </c>
      <c r="J456" s="6" t="s">
        <v>119</v>
      </c>
    </row>
    <row r="457" customFormat="false" ht="23.85" hidden="false" customHeight="false" outlineLevel="0" collapsed="false">
      <c r="A457" s="6" t="s">
        <v>2063</v>
      </c>
      <c r="B457" s="6" t="s">
        <v>2064</v>
      </c>
      <c r="C457" s="6" t="s">
        <v>2054</v>
      </c>
      <c r="D457" s="6" t="s">
        <v>1375</v>
      </c>
      <c r="E457" s="6" t="s">
        <v>10</v>
      </c>
      <c r="F457" s="7" t="n">
        <v>0.555555555555556</v>
      </c>
      <c r="G457" s="6" t="s">
        <v>21</v>
      </c>
      <c r="H457" s="6" t="s">
        <v>134</v>
      </c>
      <c r="I457" s="6" t="s">
        <v>899</v>
      </c>
      <c r="J457" s="6" t="s">
        <v>119</v>
      </c>
    </row>
    <row r="458" customFormat="false" ht="15" hidden="false" customHeight="false" outlineLevel="0" collapsed="false">
      <c r="A458" s="6" t="s">
        <v>2065</v>
      </c>
      <c r="B458" s="6" t="s">
        <v>2066</v>
      </c>
      <c r="C458" s="6" t="s">
        <v>907</v>
      </c>
      <c r="D458" s="6" t="s">
        <v>1375</v>
      </c>
      <c r="E458" s="6" t="s">
        <v>10</v>
      </c>
      <c r="F458" s="7" t="n">
        <v>0.5625</v>
      </c>
      <c r="G458" s="6" t="s">
        <v>36</v>
      </c>
      <c r="H458" s="6" t="s">
        <v>156</v>
      </c>
      <c r="I458" s="6" t="s">
        <v>904</v>
      </c>
      <c r="J458" s="6" t="s">
        <v>36</v>
      </c>
    </row>
    <row r="459" customFormat="false" ht="15" hidden="false" customHeight="false" outlineLevel="0" collapsed="false">
      <c r="A459" s="6" t="s">
        <v>2067</v>
      </c>
      <c r="B459" s="6" t="s">
        <v>2068</v>
      </c>
      <c r="C459" s="6" t="s">
        <v>907</v>
      </c>
      <c r="D459" s="6" t="s">
        <v>1375</v>
      </c>
      <c r="E459" s="6" t="s">
        <v>10</v>
      </c>
      <c r="F459" s="7" t="n">
        <v>0.5625</v>
      </c>
      <c r="G459" s="6" t="s">
        <v>36</v>
      </c>
      <c r="H459" s="6" t="s">
        <v>156</v>
      </c>
      <c r="I459" s="6" t="s">
        <v>904</v>
      </c>
      <c r="J459" s="6" t="s">
        <v>36</v>
      </c>
    </row>
    <row r="460" customFormat="false" ht="23.85" hidden="false" customHeight="false" outlineLevel="0" collapsed="false">
      <c r="A460" s="6" t="s">
        <v>910</v>
      </c>
      <c r="B460" s="6" t="s">
        <v>1412</v>
      </c>
      <c r="C460" s="6" t="s">
        <v>911</v>
      </c>
      <c r="D460" s="6" t="s">
        <v>1375</v>
      </c>
      <c r="E460" s="6" t="s">
        <v>10</v>
      </c>
      <c r="F460" s="7" t="n">
        <v>0.569444444444444</v>
      </c>
      <c r="G460" s="6" t="s">
        <v>36</v>
      </c>
      <c r="H460" s="6" t="s">
        <v>156</v>
      </c>
      <c r="I460" s="6" t="s">
        <v>908</v>
      </c>
      <c r="J460" s="6" t="s">
        <v>36</v>
      </c>
    </row>
    <row r="461" customFormat="false" ht="35.05" hidden="false" customHeight="false" outlineLevel="0" collapsed="false">
      <c r="A461" s="6" t="s">
        <v>913</v>
      </c>
      <c r="B461" s="6"/>
      <c r="C461" s="6"/>
      <c r="D461" s="6" t="s">
        <v>210</v>
      </c>
      <c r="E461" s="6" t="s">
        <v>10</v>
      </c>
      <c r="F461" s="7" t="n">
        <v>0.575694444444444</v>
      </c>
      <c r="G461" s="6" t="s">
        <v>39</v>
      </c>
      <c r="H461" s="6" t="s">
        <v>39</v>
      </c>
      <c r="I461" s="6" t="s">
        <v>912</v>
      </c>
      <c r="J461" s="6" t="s">
        <v>255</v>
      </c>
    </row>
    <row r="462" customFormat="false" ht="23.85" hidden="false" customHeight="false" outlineLevel="0" collapsed="false">
      <c r="A462" s="6" t="s">
        <v>917</v>
      </c>
      <c r="B462" s="6" t="s">
        <v>1715</v>
      </c>
      <c r="C462" s="6" t="s">
        <v>918</v>
      </c>
      <c r="D462" s="6" t="s">
        <v>1375</v>
      </c>
      <c r="E462" s="6" t="s">
        <v>10</v>
      </c>
      <c r="F462" s="7" t="n">
        <v>0.576388888888889</v>
      </c>
      <c r="G462" s="6" t="s">
        <v>36</v>
      </c>
      <c r="H462" s="6" t="s">
        <v>156</v>
      </c>
      <c r="I462" s="6" t="s">
        <v>915</v>
      </c>
      <c r="J462" s="6" t="s">
        <v>36</v>
      </c>
    </row>
    <row r="463" customFormat="false" ht="23.85" hidden="false" customHeight="false" outlineLevel="0" collapsed="false">
      <c r="A463" s="6" t="s">
        <v>2069</v>
      </c>
      <c r="B463" s="6"/>
      <c r="C463" s="6"/>
      <c r="D463" s="6" t="s">
        <v>210</v>
      </c>
      <c r="E463" s="6" t="s">
        <v>10</v>
      </c>
      <c r="F463" s="7" t="n">
        <v>0.576388888888889</v>
      </c>
      <c r="G463" s="6" t="s">
        <v>39</v>
      </c>
      <c r="H463" s="6" t="s">
        <v>39</v>
      </c>
      <c r="I463" s="6" t="s">
        <v>919</v>
      </c>
      <c r="J463" s="6" t="s">
        <v>922</v>
      </c>
    </row>
    <row r="464" customFormat="false" ht="23.85" hidden="false" customHeight="false" outlineLevel="0" collapsed="false">
      <c r="A464" s="6" t="s">
        <v>2070</v>
      </c>
      <c r="B464" s="6"/>
      <c r="C464" s="6"/>
      <c r="D464" s="6" t="s">
        <v>210</v>
      </c>
      <c r="E464" s="6" t="s">
        <v>10</v>
      </c>
      <c r="F464" s="7" t="n">
        <v>0.576388888888889</v>
      </c>
      <c r="G464" s="6" t="s">
        <v>39</v>
      </c>
      <c r="H464" s="6" t="s">
        <v>39</v>
      </c>
      <c r="I464" s="6" t="s">
        <v>919</v>
      </c>
      <c r="J464" s="6" t="s">
        <v>922</v>
      </c>
    </row>
    <row r="465" customFormat="false" ht="23.85" hidden="false" customHeight="false" outlineLevel="0" collapsed="false">
      <c r="A465" s="6" t="s">
        <v>2071</v>
      </c>
      <c r="B465" s="6"/>
      <c r="C465" s="6"/>
      <c r="D465" s="6" t="s">
        <v>210</v>
      </c>
      <c r="E465" s="6" t="s">
        <v>10</v>
      </c>
      <c r="F465" s="7" t="n">
        <v>0.577083333333333</v>
      </c>
      <c r="G465" s="6" t="s">
        <v>39</v>
      </c>
      <c r="H465" s="6" t="s">
        <v>39</v>
      </c>
      <c r="I465" s="6" t="s">
        <v>924</v>
      </c>
      <c r="J465" s="6" t="s">
        <v>103</v>
      </c>
    </row>
    <row r="466" customFormat="false" ht="23.85" hidden="false" customHeight="false" outlineLevel="0" collapsed="false">
      <c r="A466" s="6" t="s">
        <v>2072</v>
      </c>
      <c r="B466" s="6"/>
      <c r="C466" s="6"/>
      <c r="D466" s="6" t="s">
        <v>210</v>
      </c>
      <c r="E466" s="6" t="s">
        <v>10</v>
      </c>
      <c r="F466" s="7" t="n">
        <v>0.577083333333333</v>
      </c>
      <c r="G466" s="6" t="s">
        <v>39</v>
      </c>
      <c r="H466" s="6" t="s">
        <v>39</v>
      </c>
      <c r="I466" s="6" t="s">
        <v>924</v>
      </c>
      <c r="J466" s="6" t="s">
        <v>103</v>
      </c>
    </row>
    <row r="467" customFormat="false" ht="23.85" hidden="false" customHeight="false" outlineLevel="0" collapsed="false">
      <c r="A467" s="6" t="s">
        <v>2073</v>
      </c>
      <c r="B467" s="6"/>
      <c r="C467" s="6"/>
      <c r="D467" s="6" t="s">
        <v>210</v>
      </c>
      <c r="E467" s="6" t="s">
        <v>10</v>
      </c>
      <c r="F467" s="7" t="n">
        <v>0.577083333333333</v>
      </c>
      <c r="G467" s="6" t="s">
        <v>39</v>
      </c>
      <c r="H467" s="6" t="s">
        <v>39</v>
      </c>
      <c r="I467" s="6" t="s">
        <v>924</v>
      </c>
      <c r="J467" s="6" t="s">
        <v>103</v>
      </c>
    </row>
    <row r="468" customFormat="false" ht="15" hidden="false" customHeight="false" outlineLevel="0" collapsed="false">
      <c r="A468" s="6" t="s">
        <v>929</v>
      </c>
      <c r="B468" s="6" t="s">
        <v>1412</v>
      </c>
      <c r="C468" s="6" t="s">
        <v>930</v>
      </c>
      <c r="D468" s="6" t="s">
        <v>1375</v>
      </c>
      <c r="E468" s="6" t="s">
        <v>10</v>
      </c>
      <c r="F468" s="7" t="n">
        <v>0.583333333333333</v>
      </c>
      <c r="G468" s="6" t="s">
        <v>36</v>
      </c>
      <c r="H468" s="6" t="s">
        <v>156</v>
      </c>
      <c r="I468" s="6" t="s">
        <v>927</v>
      </c>
      <c r="J468" s="6" t="s">
        <v>36</v>
      </c>
    </row>
    <row r="469" customFormat="false" ht="23.85" hidden="false" customHeight="false" outlineLevel="0" collapsed="false">
      <c r="A469" s="6" t="s">
        <v>2053</v>
      </c>
      <c r="B469" s="6" t="s">
        <v>1442</v>
      </c>
      <c r="C469" s="6" t="s">
        <v>2054</v>
      </c>
      <c r="D469" s="6" t="s">
        <v>1375</v>
      </c>
      <c r="E469" s="6" t="s">
        <v>10</v>
      </c>
      <c r="F469" s="7" t="n">
        <v>0.583333333333333</v>
      </c>
      <c r="G469" s="6" t="s">
        <v>14</v>
      </c>
      <c r="H469" s="6" t="s">
        <v>134</v>
      </c>
      <c r="I469" s="6" t="s">
        <v>931</v>
      </c>
      <c r="J469" s="6" t="s">
        <v>588</v>
      </c>
    </row>
    <row r="470" customFormat="false" ht="23.85" hidden="false" customHeight="false" outlineLevel="0" collapsed="false">
      <c r="A470" s="6" t="s">
        <v>1925</v>
      </c>
      <c r="B470" s="6" t="s">
        <v>1442</v>
      </c>
      <c r="C470" s="6" t="s">
        <v>587</v>
      </c>
      <c r="D470" s="6" t="s">
        <v>1375</v>
      </c>
      <c r="E470" s="6" t="s">
        <v>10</v>
      </c>
      <c r="F470" s="7" t="n">
        <v>0.583333333333333</v>
      </c>
      <c r="G470" s="6" t="s">
        <v>14</v>
      </c>
      <c r="H470" s="6" t="s">
        <v>134</v>
      </c>
      <c r="I470" s="6" t="s">
        <v>931</v>
      </c>
      <c r="J470" s="6" t="s">
        <v>588</v>
      </c>
    </row>
    <row r="471" customFormat="false" ht="23.85" hidden="false" customHeight="false" outlineLevel="0" collapsed="false">
      <c r="A471" s="6" t="s">
        <v>1991</v>
      </c>
      <c r="B471" s="6" t="s">
        <v>1442</v>
      </c>
      <c r="C471" s="6" t="s">
        <v>1992</v>
      </c>
      <c r="D471" s="6" t="s">
        <v>1375</v>
      </c>
      <c r="E471" s="6" t="s">
        <v>10</v>
      </c>
      <c r="F471" s="7" t="n">
        <v>0.583333333333333</v>
      </c>
      <c r="G471" s="6" t="s">
        <v>14</v>
      </c>
      <c r="H471" s="6" t="s">
        <v>134</v>
      </c>
      <c r="I471" s="6" t="s">
        <v>931</v>
      </c>
      <c r="J471" s="6" t="s">
        <v>588</v>
      </c>
    </row>
    <row r="472" customFormat="false" ht="15" hidden="false" customHeight="false" outlineLevel="0" collapsed="false">
      <c r="A472" s="6" t="s">
        <v>937</v>
      </c>
      <c r="B472" s="6" t="s">
        <v>2074</v>
      </c>
      <c r="C472" s="6" t="s">
        <v>938</v>
      </c>
      <c r="D472" s="6" t="s">
        <v>1375</v>
      </c>
      <c r="E472" s="6" t="s">
        <v>10</v>
      </c>
      <c r="F472" s="7" t="n">
        <v>0.590277777777778</v>
      </c>
      <c r="G472" s="6" t="s">
        <v>36</v>
      </c>
      <c r="H472" s="6" t="s">
        <v>156</v>
      </c>
      <c r="I472" s="6" t="s">
        <v>935</v>
      </c>
      <c r="J472" s="6" t="s">
        <v>36</v>
      </c>
    </row>
    <row r="473" customFormat="false" ht="23.85" hidden="false" customHeight="false" outlineLevel="0" collapsed="false">
      <c r="A473" s="6" t="s">
        <v>941</v>
      </c>
      <c r="B473" s="6" t="s">
        <v>2075</v>
      </c>
      <c r="C473" s="6" t="s">
        <v>942</v>
      </c>
      <c r="D473" s="6" t="s">
        <v>1375</v>
      </c>
      <c r="E473" s="6" t="s">
        <v>10</v>
      </c>
      <c r="F473" s="7" t="n">
        <v>0.597222222222222</v>
      </c>
      <c r="G473" s="6" t="s">
        <v>36</v>
      </c>
      <c r="H473" s="6" t="s">
        <v>156</v>
      </c>
      <c r="I473" s="6" t="s">
        <v>939</v>
      </c>
      <c r="J473" s="6" t="s">
        <v>36</v>
      </c>
    </row>
    <row r="474" customFormat="false" ht="23.85" hidden="false" customHeight="false" outlineLevel="0" collapsed="false">
      <c r="A474" s="6" t="s">
        <v>210</v>
      </c>
      <c r="B474" s="6"/>
      <c r="C474" s="6" t="s">
        <v>211</v>
      </c>
      <c r="D474" s="6" t="s">
        <v>1375</v>
      </c>
      <c r="E474" s="6" t="s">
        <v>10</v>
      </c>
      <c r="F474" s="7" t="n">
        <v>0.607638888888889</v>
      </c>
      <c r="G474" s="6" t="s">
        <v>31</v>
      </c>
      <c r="H474" s="6" t="s">
        <v>31</v>
      </c>
      <c r="I474" s="6" t="s">
        <v>943</v>
      </c>
      <c r="J474" s="6" t="s">
        <v>212</v>
      </c>
    </row>
    <row r="475" customFormat="false" ht="15" hidden="false" customHeight="false" outlineLevel="0" collapsed="false">
      <c r="A475" s="6" t="s">
        <v>2076</v>
      </c>
      <c r="B475" s="6" t="s">
        <v>2077</v>
      </c>
      <c r="C475" s="6" t="s">
        <v>2078</v>
      </c>
      <c r="D475" s="6" t="s">
        <v>1375</v>
      </c>
      <c r="E475" s="6" t="s">
        <v>10</v>
      </c>
      <c r="F475" s="7" t="n">
        <v>0.649305555555556</v>
      </c>
      <c r="G475" s="6" t="s">
        <v>14</v>
      </c>
      <c r="H475" s="6" t="s">
        <v>67</v>
      </c>
      <c r="I475" s="6" t="s">
        <v>944</v>
      </c>
      <c r="J475" s="6" t="s">
        <v>588</v>
      </c>
    </row>
    <row r="476" customFormat="false" ht="15" hidden="false" customHeight="false" outlineLevel="0" collapsed="false">
      <c r="A476" s="6" t="s">
        <v>1379</v>
      </c>
      <c r="B476" s="6" t="s">
        <v>1380</v>
      </c>
      <c r="C476" s="6" t="s">
        <v>1381</v>
      </c>
      <c r="D476" s="6" t="s">
        <v>1375</v>
      </c>
      <c r="E476" s="6" t="s">
        <v>10</v>
      </c>
      <c r="F476" s="7" t="n">
        <v>0.649305555555556</v>
      </c>
      <c r="G476" s="6" t="s">
        <v>14</v>
      </c>
      <c r="H476" s="6" t="s">
        <v>67</v>
      </c>
      <c r="I476" s="6" t="s">
        <v>944</v>
      </c>
      <c r="J476" s="6" t="s">
        <v>588</v>
      </c>
    </row>
    <row r="477" customFormat="false" ht="15" hidden="false" customHeight="false" outlineLevel="0" collapsed="false">
      <c r="A477" s="6" t="s">
        <v>2079</v>
      </c>
      <c r="B477" s="6" t="s">
        <v>2080</v>
      </c>
      <c r="C477" s="6" t="s">
        <v>2081</v>
      </c>
      <c r="D477" s="6" t="s">
        <v>1375</v>
      </c>
      <c r="E477" s="6" t="s">
        <v>10</v>
      </c>
      <c r="F477" s="7" t="n">
        <v>0.652777777777778</v>
      </c>
      <c r="G477" s="6" t="s">
        <v>23</v>
      </c>
      <c r="H477" s="6" t="s">
        <v>67</v>
      </c>
      <c r="I477" s="6" t="s">
        <v>949</v>
      </c>
      <c r="J477" s="6" t="s">
        <v>732</v>
      </c>
    </row>
    <row r="478" customFormat="false" ht="15" hidden="false" customHeight="false" outlineLevel="0" collapsed="false">
      <c r="A478" s="6" t="s">
        <v>2082</v>
      </c>
      <c r="B478" s="6" t="s">
        <v>2083</v>
      </c>
      <c r="C478" s="6" t="s">
        <v>2084</v>
      </c>
      <c r="D478" s="6" t="s">
        <v>1375</v>
      </c>
      <c r="E478" s="6" t="s">
        <v>10</v>
      </c>
      <c r="F478" s="7" t="n">
        <v>0.652777777777778</v>
      </c>
      <c r="G478" s="6" t="s">
        <v>23</v>
      </c>
      <c r="H478" s="6" t="s">
        <v>67</v>
      </c>
      <c r="I478" s="6" t="s">
        <v>949</v>
      </c>
      <c r="J478" s="6" t="s">
        <v>732</v>
      </c>
    </row>
    <row r="479" customFormat="false" ht="23.85" hidden="false" customHeight="false" outlineLevel="0" collapsed="false">
      <c r="A479" s="6" t="s">
        <v>1797</v>
      </c>
      <c r="B479" s="6" t="s">
        <v>1798</v>
      </c>
      <c r="C479" s="6" t="s">
        <v>1799</v>
      </c>
      <c r="D479" s="6" t="s">
        <v>1375</v>
      </c>
      <c r="E479" s="6" t="s">
        <v>10</v>
      </c>
      <c r="F479" s="7" t="n">
        <v>0.652777777777778</v>
      </c>
      <c r="G479" s="6" t="s">
        <v>21</v>
      </c>
      <c r="H479" s="6" t="s">
        <v>67</v>
      </c>
      <c r="I479" s="6" t="s">
        <v>953</v>
      </c>
      <c r="J479" s="6" t="s">
        <v>119</v>
      </c>
    </row>
    <row r="480" customFormat="false" ht="23.85" hidden="false" customHeight="false" outlineLevel="0" collapsed="false">
      <c r="A480" s="6" t="s">
        <v>1397</v>
      </c>
      <c r="B480" s="6" t="s">
        <v>1398</v>
      </c>
      <c r="C480" s="6" t="s">
        <v>1399</v>
      </c>
      <c r="D480" s="6" t="s">
        <v>1375</v>
      </c>
      <c r="E480" s="6" t="s">
        <v>10</v>
      </c>
      <c r="F480" s="7" t="n">
        <v>0.652777777777778</v>
      </c>
      <c r="G480" s="6" t="s">
        <v>21</v>
      </c>
      <c r="H480" s="6" t="s">
        <v>67</v>
      </c>
      <c r="I480" s="6" t="s">
        <v>953</v>
      </c>
      <c r="J480" s="6" t="s">
        <v>119</v>
      </c>
    </row>
    <row r="481" customFormat="false" ht="23.85" hidden="false" customHeight="false" outlineLevel="0" collapsed="false">
      <c r="A481" s="6" t="s">
        <v>959</v>
      </c>
      <c r="B481" s="6" t="s">
        <v>1470</v>
      </c>
      <c r="C481" s="6" t="s">
        <v>960</v>
      </c>
      <c r="D481" s="6" t="s">
        <v>1375</v>
      </c>
      <c r="E481" s="6" t="s">
        <v>10</v>
      </c>
      <c r="F481" s="7" t="n">
        <v>0.652777777777778</v>
      </c>
      <c r="G481" s="6" t="s">
        <v>13</v>
      </c>
      <c r="H481" s="6" t="s">
        <v>81</v>
      </c>
      <c r="I481" s="6" t="s">
        <v>957</v>
      </c>
      <c r="J481" s="6" t="s">
        <v>114</v>
      </c>
    </row>
    <row r="482" customFormat="false" ht="35.05" hidden="false" customHeight="false" outlineLevel="0" collapsed="false">
      <c r="A482" s="6" t="s">
        <v>2085</v>
      </c>
      <c r="B482" s="6" t="s">
        <v>2086</v>
      </c>
      <c r="C482" s="6" t="s">
        <v>1799</v>
      </c>
      <c r="D482" s="6" t="s">
        <v>1375</v>
      </c>
      <c r="E482" s="6" t="s">
        <v>10</v>
      </c>
      <c r="F482" s="7" t="n">
        <v>0.652777777777778</v>
      </c>
      <c r="G482" s="6" t="s">
        <v>33</v>
      </c>
      <c r="H482" s="6" t="s">
        <v>67</v>
      </c>
      <c r="I482" s="6" t="s">
        <v>961</v>
      </c>
      <c r="J482" s="6" t="s">
        <v>103</v>
      </c>
    </row>
    <row r="483" customFormat="false" ht="35.05" hidden="false" customHeight="false" outlineLevel="0" collapsed="false">
      <c r="A483" s="6" t="s">
        <v>1988</v>
      </c>
      <c r="B483" s="6" t="s">
        <v>1542</v>
      </c>
      <c r="C483" s="6" t="s">
        <v>1989</v>
      </c>
      <c r="D483" s="6" t="s">
        <v>1375</v>
      </c>
      <c r="E483" s="6" t="s">
        <v>10</v>
      </c>
      <c r="F483" s="7" t="n">
        <v>0.652777777777778</v>
      </c>
      <c r="G483" s="6" t="s">
        <v>33</v>
      </c>
      <c r="H483" s="6" t="s">
        <v>67</v>
      </c>
      <c r="I483" s="6" t="s">
        <v>961</v>
      </c>
      <c r="J483" s="6" t="s">
        <v>103</v>
      </c>
    </row>
    <row r="484" customFormat="false" ht="35.05" hidden="false" customHeight="false" outlineLevel="0" collapsed="false">
      <c r="A484" s="6" t="s">
        <v>2087</v>
      </c>
      <c r="B484" s="6" t="s">
        <v>2088</v>
      </c>
      <c r="C484" s="6" t="s">
        <v>2089</v>
      </c>
      <c r="D484" s="6" t="s">
        <v>1375</v>
      </c>
      <c r="E484" s="6" t="s">
        <v>10</v>
      </c>
      <c r="F484" s="7" t="n">
        <v>0.652777777777778</v>
      </c>
      <c r="G484" s="6" t="s">
        <v>33</v>
      </c>
      <c r="H484" s="6" t="s">
        <v>67</v>
      </c>
      <c r="I484" s="6" t="s">
        <v>961</v>
      </c>
      <c r="J484" s="6" t="s">
        <v>103</v>
      </c>
    </row>
    <row r="485" customFormat="false" ht="23.85" hidden="false" customHeight="false" outlineLevel="0" collapsed="false">
      <c r="A485" s="6" t="s">
        <v>2090</v>
      </c>
      <c r="B485" s="6" t="s">
        <v>2091</v>
      </c>
      <c r="C485" s="6" t="s">
        <v>2092</v>
      </c>
      <c r="D485" s="6" t="s">
        <v>1375</v>
      </c>
      <c r="E485" s="6" t="s">
        <v>10</v>
      </c>
      <c r="F485" s="7" t="n">
        <v>0.652777777777778</v>
      </c>
      <c r="G485" s="6" t="s">
        <v>17</v>
      </c>
      <c r="H485" s="6" t="s">
        <v>67</v>
      </c>
      <c r="I485" s="6" t="s">
        <v>965</v>
      </c>
      <c r="J485" s="6" t="s">
        <v>80</v>
      </c>
    </row>
    <row r="486" customFormat="false" ht="23.85" hidden="false" customHeight="false" outlineLevel="0" collapsed="false">
      <c r="A486" s="6" t="s">
        <v>2093</v>
      </c>
      <c r="B486" s="6" t="s">
        <v>2094</v>
      </c>
      <c r="C486" s="6" t="s">
        <v>2095</v>
      </c>
      <c r="D486" s="6" t="s">
        <v>1375</v>
      </c>
      <c r="E486" s="6" t="s">
        <v>10</v>
      </c>
      <c r="F486" s="7" t="n">
        <v>0.652777777777778</v>
      </c>
      <c r="G486" s="6" t="s">
        <v>17</v>
      </c>
      <c r="H486" s="6" t="s">
        <v>67</v>
      </c>
      <c r="I486" s="6" t="s">
        <v>965</v>
      </c>
      <c r="J486" s="6" t="s">
        <v>80</v>
      </c>
    </row>
    <row r="487" customFormat="false" ht="23.85" hidden="false" customHeight="false" outlineLevel="0" collapsed="false">
      <c r="A487" s="6" t="s">
        <v>2050</v>
      </c>
      <c r="B487" s="6" t="s">
        <v>2051</v>
      </c>
      <c r="C487" s="6" t="s">
        <v>2052</v>
      </c>
      <c r="D487" s="6" t="s">
        <v>1375</v>
      </c>
      <c r="E487" s="6" t="s">
        <v>10</v>
      </c>
      <c r="F487" s="7" t="n">
        <v>0.652777777777778</v>
      </c>
      <c r="G487" s="6" t="s">
        <v>37</v>
      </c>
      <c r="H487" s="6" t="s">
        <v>67</v>
      </c>
      <c r="I487" s="6" t="s">
        <v>969</v>
      </c>
      <c r="J487" s="6" t="s">
        <v>97</v>
      </c>
    </row>
    <row r="488" customFormat="false" ht="23.85" hidden="false" customHeight="false" outlineLevel="0" collapsed="false">
      <c r="A488" s="6" t="s">
        <v>1972</v>
      </c>
      <c r="B488" s="6" t="s">
        <v>1446</v>
      </c>
      <c r="C488" s="6" t="s">
        <v>1973</v>
      </c>
      <c r="D488" s="6" t="s">
        <v>1375</v>
      </c>
      <c r="E488" s="6" t="s">
        <v>10</v>
      </c>
      <c r="F488" s="7" t="n">
        <v>0.652777777777778</v>
      </c>
      <c r="G488" s="6" t="s">
        <v>37</v>
      </c>
      <c r="H488" s="6" t="s">
        <v>67</v>
      </c>
      <c r="I488" s="6" t="s">
        <v>969</v>
      </c>
      <c r="J488" s="6" t="s">
        <v>97</v>
      </c>
    </row>
    <row r="489" customFormat="false" ht="23.85" hidden="false" customHeight="false" outlineLevel="0" collapsed="false">
      <c r="A489" s="6" t="s">
        <v>975</v>
      </c>
      <c r="B489" s="6" t="s">
        <v>1854</v>
      </c>
      <c r="C489" s="6" t="s">
        <v>976</v>
      </c>
      <c r="D489" s="6" t="s">
        <v>1375</v>
      </c>
      <c r="E489" s="6" t="s">
        <v>10</v>
      </c>
      <c r="F489" s="7" t="n">
        <v>0.652777777777778</v>
      </c>
      <c r="G489" s="6" t="s">
        <v>19</v>
      </c>
      <c r="H489" s="6" t="s">
        <v>81</v>
      </c>
      <c r="I489" s="6" t="s">
        <v>973</v>
      </c>
      <c r="J489" s="6" t="s">
        <v>86</v>
      </c>
    </row>
    <row r="490" customFormat="false" ht="23.85" hidden="false" customHeight="false" outlineLevel="0" collapsed="false">
      <c r="A490" s="6" t="s">
        <v>979</v>
      </c>
      <c r="B490" s="6" t="s">
        <v>1675</v>
      </c>
      <c r="C490" s="6" t="s">
        <v>980</v>
      </c>
      <c r="D490" s="6" t="s">
        <v>1375</v>
      </c>
      <c r="E490" s="6" t="s">
        <v>10</v>
      </c>
      <c r="F490" s="7" t="n">
        <v>0.652777777777778</v>
      </c>
      <c r="G490" s="6" t="s">
        <v>36</v>
      </c>
      <c r="H490" s="6" t="s">
        <v>156</v>
      </c>
      <c r="I490" s="6" t="s">
        <v>977</v>
      </c>
      <c r="J490" s="6" t="s">
        <v>36</v>
      </c>
    </row>
    <row r="491" customFormat="false" ht="23.85" hidden="false" customHeight="false" outlineLevel="0" collapsed="false">
      <c r="A491" s="6" t="s">
        <v>2096</v>
      </c>
      <c r="B491" s="6" t="s">
        <v>2097</v>
      </c>
      <c r="C491" s="6" t="s">
        <v>2098</v>
      </c>
      <c r="D491" s="6" t="s">
        <v>1375</v>
      </c>
      <c r="E491" s="6" t="s">
        <v>10</v>
      </c>
      <c r="F491" s="7" t="n">
        <v>0.652777777777778</v>
      </c>
      <c r="G491" s="6" t="s">
        <v>15</v>
      </c>
      <c r="H491" s="6" t="s">
        <v>67</v>
      </c>
      <c r="I491" s="6" t="s">
        <v>981</v>
      </c>
      <c r="J491" s="6" t="s">
        <v>64</v>
      </c>
    </row>
    <row r="492" customFormat="false" ht="23.85" hidden="false" customHeight="false" outlineLevel="0" collapsed="false">
      <c r="A492" s="6" t="s">
        <v>2099</v>
      </c>
      <c r="B492" s="6" t="s">
        <v>2100</v>
      </c>
      <c r="C492" s="6" t="s">
        <v>2101</v>
      </c>
      <c r="D492" s="6" t="s">
        <v>1375</v>
      </c>
      <c r="E492" s="6" t="s">
        <v>10</v>
      </c>
      <c r="F492" s="7" t="n">
        <v>0.652777777777778</v>
      </c>
      <c r="G492" s="6" t="s">
        <v>15</v>
      </c>
      <c r="H492" s="6" t="s">
        <v>67</v>
      </c>
      <c r="I492" s="6" t="s">
        <v>981</v>
      </c>
      <c r="J492" s="6" t="s">
        <v>64</v>
      </c>
    </row>
    <row r="493" customFormat="false" ht="23.85" hidden="false" customHeight="false" outlineLevel="0" collapsed="false">
      <c r="A493" s="6" t="s">
        <v>1843</v>
      </c>
      <c r="B493" s="6" t="s">
        <v>1844</v>
      </c>
      <c r="C493" s="6" t="s">
        <v>587</v>
      </c>
      <c r="D493" s="6" t="s">
        <v>1375</v>
      </c>
      <c r="E493" s="6" t="s">
        <v>10</v>
      </c>
      <c r="F493" s="7" t="n">
        <v>0.652777777777778</v>
      </c>
      <c r="G493" s="6" t="s">
        <v>32</v>
      </c>
      <c r="H493" s="6" t="s">
        <v>67</v>
      </c>
      <c r="I493" s="6" t="s">
        <v>985</v>
      </c>
      <c r="J493" s="6" t="s">
        <v>108</v>
      </c>
    </row>
    <row r="494" customFormat="false" ht="23.85" hidden="false" customHeight="false" outlineLevel="0" collapsed="false">
      <c r="A494" s="6" t="s">
        <v>1909</v>
      </c>
      <c r="B494" s="6" t="s">
        <v>1910</v>
      </c>
      <c r="C494" s="6" t="s">
        <v>1637</v>
      </c>
      <c r="D494" s="6" t="s">
        <v>1375</v>
      </c>
      <c r="E494" s="6" t="s">
        <v>10</v>
      </c>
      <c r="F494" s="7" t="n">
        <v>0.652777777777778</v>
      </c>
      <c r="G494" s="6" t="s">
        <v>32</v>
      </c>
      <c r="H494" s="6" t="s">
        <v>67</v>
      </c>
      <c r="I494" s="6" t="s">
        <v>985</v>
      </c>
      <c r="J494" s="6" t="s">
        <v>108</v>
      </c>
    </row>
    <row r="495" customFormat="false" ht="23.85" hidden="false" customHeight="false" outlineLevel="0" collapsed="false">
      <c r="A495" s="6" t="s">
        <v>2102</v>
      </c>
      <c r="B495" s="6" t="s">
        <v>2103</v>
      </c>
      <c r="C495" s="6" t="s">
        <v>1588</v>
      </c>
      <c r="D495" s="6" t="s">
        <v>1375</v>
      </c>
      <c r="E495" s="6" t="s">
        <v>10</v>
      </c>
      <c r="F495" s="7" t="n">
        <v>0.652777777777778</v>
      </c>
      <c r="G495" s="6" t="s">
        <v>29</v>
      </c>
      <c r="H495" s="6" t="s">
        <v>67</v>
      </c>
      <c r="I495" s="6" t="s">
        <v>989</v>
      </c>
      <c r="J495" s="6" t="s">
        <v>255</v>
      </c>
    </row>
    <row r="496" customFormat="false" ht="23.85" hidden="false" customHeight="false" outlineLevel="0" collapsed="false">
      <c r="A496" s="6" t="s">
        <v>698</v>
      </c>
      <c r="B496" s="6" t="s">
        <v>1590</v>
      </c>
      <c r="C496" s="6" t="s">
        <v>699</v>
      </c>
      <c r="D496" s="6" t="s">
        <v>1375</v>
      </c>
      <c r="E496" s="6" t="s">
        <v>10</v>
      </c>
      <c r="F496" s="7" t="n">
        <v>0.652777777777778</v>
      </c>
      <c r="G496" s="6" t="s">
        <v>29</v>
      </c>
      <c r="H496" s="6" t="s">
        <v>67</v>
      </c>
      <c r="I496" s="6" t="s">
        <v>989</v>
      </c>
      <c r="J496" s="6" t="s">
        <v>255</v>
      </c>
    </row>
    <row r="497" customFormat="false" ht="23.85" hidden="false" customHeight="false" outlineLevel="0" collapsed="false">
      <c r="A497" s="6" t="s">
        <v>995</v>
      </c>
      <c r="B497" s="6" t="s">
        <v>2104</v>
      </c>
      <c r="C497" s="6" t="s">
        <v>102</v>
      </c>
      <c r="D497" s="6" t="s">
        <v>1375</v>
      </c>
      <c r="E497" s="6" t="s">
        <v>10</v>
      </c>
      <c r="F497" s="7" t="n">
        <v>0.659722222222222</v>
      </c>
      <c r="G497" s="6" t="s">
        <v>37</v>
      </c>
      <c r="H497" s="6" t="s">
        <v>81</v>
      </c>
      <c r="I497" s="6" t="s">
        <v>993</v>
      </c>
      <c r="J497" s="6" t="s">
        <v>97</v>
      </c>
    </row>
    <row r="498" customFormat="false" ht="23.85" hidden="false" customHeight="false" outlineLevel="0" collapsed="false">
      <c r="A498" s="6" t="s">
        <v>998</v>
      </c>
      <c r="B498" s="6" t="s">
        <v>1412</v>
      </c>
      <c r="C498" s="6" t="s">
        <v>999</v>
      </c>
      <c r="D498" s="6" t="s">
        <v>1375</v>
      </c>
      <c r="E498" s="6" t="s">
        <v>10</v>
      </c>
      <c r="F498" s="7" t="n">
        <v>0.659722222222222</v>
      </c>
      <c r="G498" s="6" t="s">
        <v>14</v>
      </c>
      <c r="H498" s="6" t="s">
        <v>81</v>
      </c>
      <c r="I498" s="6" t="s">
        <v>996</v>
      </c>
      <c r="J498" s="6" t="s">
        <v>588</v>
      </c>
    </row>
    <row r="499" customFormat="false" ht="15" hidden="false" customHeight="false" outlineLevel="0" collapsed="false">
      <c r="A499" s="6" t="s">
        <v>1002</v>
      </c>
      <c r="B499" s="6" t="s">
        <v>2105</v>
      </c>
      <c r="C499" s="6" t="s">
        <v>1003</v>
      </c>
      <c r="D499" s="6" t="s">
        <v>1375</v>
      </c>
      <c r="E499" s="6" t="s">
        <v>10</v>
      </c>
      <c r="F499" s="7" t="n">
        <v>0.659722222222222</v>
      </c>
      <c r="G499" s="6" t="s">
        <v>36</v>
      </c>
      <c r="H499" s="6" t="s">
        <v>156</v>
      </c>
      <c r="I499" s="6" t="s">
        <v>1000</v>
      </c>
      <c r="J499" s="6" t="s">
        <v>36</v>
      </c>
    </row>
    <row r="500" customFormat="false" ht="15" hidden="false" customHeight="false" outlineLevel="0" collapsed="false">
      <c r="A500" s="6" t="s">
        <v>2106</v>
      </c>
      <c r="B500" s="6" t="s">
        <v>2107</v>
      </c>
      <c r="C500" s="6" t="s">
        <v>2108</v>
      </c>
      <c r="D500" s="6" t="s">
        <v>1375</v>
      </c>
      <c r="E500" s="6" t="s">
        <v>10</v>
      </c>
      <c r="F500" s="7" t="n">
        <v>0.663194444444444</v>
      </c>
      <c r="G500" s="6" t="s">
        <v>23</v>
      </c>
      <c r="H500" s="6" t="s">
        <v>67</v>
      </c>
      <c r="I500" s="6" t="s">
        <v>1004</v>
      </c>
      <c r="J500" s="6" t="s">
        <v>732</v>
      </c>
    </row>
    <row r="501" customFormat="false" ht="15" hidden="false" customHeight="false" outlineLevel="0" collapsed="false">
      <c r="A501" s="6" t="s">
        <v>2109</v>
      </c>
      <c r="B501" s="6" t="s">
        <v>1542</v>
      </c>
      <c r="C501" s="6" t="s">
        <v>2110</v>
      </c>
      <c r="D501" s="6" t="s">
        <v>1375</v>
      </c>
      <c r="E501" s="6" t="s">
        <v>10</v>
      </c>
      <c r="F501" s="7" t="n">
        <v>0.663194444444444</v>
      </c>
      <c r="G501" s="6" t="s">
        <v>23</v>
      </c>
      <c r="H501" s="6" t="s">
        <v>67</v>
      </c>
      <c r="I501" s="6" t="s">
        <v>1004</v>
      </c>
      <c r="J501" s="6" t="s">
        <v>732</v>
      </c>
    </row>
    <row r="502" customFormat="false" ht="23.85" hidden="false" customHeight="false" outlineLevel="0" collapsed="false">
      <c r="A502" s="6" t="s">
        <v>1011</v>
      </c>
      <c r="B502" s="6" t="s">
        <v>2111</v>
      </c>
      <c r="C502" s="6" t="s">
        <v>587</v>
      </c>
      <c r="D502" s="6" t="s">
        <v>1375</v>
      </c>
      <c r="E502" s="6" t="s">
        <v>10</v>
      </c>
      <c r="F502" s="7" t="n">
        <v>0.663194444444444</v>
      </c>
      <c r="G502" s="6" t="s">
        <v>21</v>
      </c>
      <c r="H502" s="6" t="s">
        <v>67</v>
      </c>
      <c r="I502" s="6" t="s">
        <v>1009</v>
      </c>
      <c r="J502" s="6" t="s">
        <v>119</v>
      </c>
    </row>
    <row r="503" customFormat="false" ht="15" hidden="false" customHeight="false" outlineLevel="0" collapsed="false">
      <c r="A503" s="6" t="s">
        <v>2112</v>
      </c>
      <c r="B503" s="6" t="s">
        <v>2113</v>
      </c>
      <c r="C503" s="6" t="s">
        <v>2114</v>
      </c>
      <c r="D503" s="6" t="s">
        <v>1375</v>
      </c>
      <c r="E503" s="6" t="s">
        <v>10</v>
      </c>
      <c r="F503" s="7" t="n">
        <v>0.663194444444444</v>
      </c>
      <c r="G503" s="6" t="s">
        <v>33</v>
      </c>
      <c r="H503" s="6" t="s">
        <v>81</v>
      </c>
      <c r="I503" s="6" t="s">
        <v>1013</v>
      </c>
      <c r="J503" s="6" t="s">
        <v>103</v>
      </c>
    </row>
    <row r="504" customFormat="false" ht="15" hidden="false" customHeight="false" outlineLevel="0" collapsed="false">
      <c r="A504" s="6" t="s">
        <v>1416</v>
      </c>
      <c r="B504" s="6" t="s">
        <v>1417</v>
      </c>
      <c r="C504" s="6" t="s">
        <v>1418</v>
      </c>
      <c r="D504" s="6" t="s">
        <v>1375</v>
      </c>
      <c r="E504" s="6" t="s">
        <v>10</v>
      </c>
      <c r="F504" s="7" t="n">
        <v>0.663194444444444</v>
      </c>
      <c r="G504" s="6" t="s">
        <v>33</v>
      </c>
      <c r="H504" s="6" t="s">
        <v>81</v>
      </c>
      <c r="I504" s="6" t="s">
        <v>1013</v>
      </c>
      <c r="J504" s="6" t="s">
        <v>103</v>
      </c>
    </row>
    <row r="505" customFormat="false" ht="23.85" hidden="false" customHeight="false" outlineLevel="0" collapsed="false">
      <c r="A505" s="6" t="s">
        <v>2115</v>
      </c>
      <c r="B505" s="6" t="s">
        <v>2116</v>
      </c>
      <c r="C505" s="6" t="s">
        <v>1679</v>
      </c>
      <c r="D505" s="6" t="s">
        <v>1375</v>
      </c>
      <c r="E505" s="6" t="s">
        <v>10</v>
      </c>
      <c r="F505" s="7" t="n">
        <v>0.663194444444444</v>
      </c>
      <c r="G505" s="6" t="s">
        <v>29</v>
      </c>
      <c r="H505" s="6" t="s">
        <v>134</v>
      </c>
      <c r="I505" s="6" t="s">
        <v>1017</v>
      </c>
      <c r="J505" s="6" t="s">
        <v>255</v>
      </c>
    </row>
    <row r="506" customFormat="false" ht="23.85" hidden="false" customHeight="false" outlineLevel="0" collapsed="false">
      <c r="A506" s="6" t="s">
        <v>2117</v>
      </c>
      <c r="B506" s="6" t="s">
        <v>2118</v>
      </c>
      <c r="C506" s="6" t="s">
        <v>1859</v>
      </c>
      <c r="D506" s="6" t="s">
        <v>1375</v>
      </c>
      <c r="E506" s="6" t="s">
        <v>10</v>
      </c>
      <c r="F506" s="7" t="n">
        <v>0.663194444444444</v>
      </c>
      <c r="G506" s="6" t="s">
        <v>29</v>
      </c>
      <c r="H506" s="6" t="s">
        <v>134</v>
      </c>
      <c r="I506" s="6" t="s">
        <v>1017</v>
      </c>
      <c r="J506" s="6" t="s">
        <v>255</v>
      </c>
    </row>
    <row r="507" customFormat="false" ht="23.85" hidden="false" customHeight="false" outlineLevel="0" collapsed="false">
      <c r="A507" s="6" t="s">
        <v>2119</v>
      </c>
      <c r="B507" s="6" t="s">
        <v>2120</v>
      </c>
      <c r="C507" s="6" t="s">
        <v>999</v>
      </c>
      <c r="D507" s="6" t="s">
        <v>1375</v>
      </c>
      <c r="E507" s="6" t="s">
        <v>10</v>
      </c>
      <c r="F507" s="7" t="n">
        <v>0.663194444444444</v>
      </c>
      <c r="G507" s="6" t="s">
        <v>29</v>
      </c>
      <c r="H507" s="6" t="s">
        <v>134</v>
      </c>
      <c r="I507" s="6" t="s">
        <v>1017</v>
      </c>
      <c r="J507" s="6" t="s">
        <v>255</v>
      </c>
    </row>
    <row r="508" customFormat="false" ht="23.85" hidden="false" customHeight="false" outlineLevel="0" collapsed="false">
      <c r="A508" s="6" t="s">
        <v>1023</v>
      </c>
      <c r="B508" s="6" t="s">
        <v>1856</v>
      </c>
      <c r="C508" s="6" t="s">
        <v>1024</v>
      </c>
      <c r="D508" s="6" t="s">
        <v>1375</v>
      </c>
      <c r="E508" s="6" t="s">
        <v>10</v>
      </c>
      <c r="F508" s="7" t="n">
        <v>0.663194444444444</v>
      </c>
      <c r="G508" s="6" t="s">
        <v>13</v>
      </c>
      <c r="H508" s="6" t="s">
        <v>81</v>
      </c>
      <c r="I508" s="6" t="s">
        <v>1021</v>
      </c>
      <c r="J508" s="6" t="s">
        <v>114</v>
      </c>
    </row>
    <row r="509" customFormat="false" ht="23.85" hidden="false" customHeight="false" outlineLevel="0" collapsed="false">
      <c r="A509" s="6" t="s">
        <v>1028</v>
      </c>
      <c r="B509" s="6" t="s">
        <v>1899</v>
      </c>
      <c r="C509" s="6" t="s">
        <v>1029</v>
      </c>
      <c r="D509" s="6" t="s">
        <v>1375</v>
      </c>
      <c r="E509" s="6" t="s">
        <v>10</v>
      </c>
      <c r="F509" s="7" t="n">
        <v>0.663194444444444</v>
      </c>
      <c r="G509" s="6" t="s">
        <v>19</v>
      </c>
      <c r="H509" s="6" t="s">
        <v>81</v>
      </c>
      <c r="I509" s="6" t="s">
        <v>1026</v>
      </c>
      <c r="J509" s="6" t="s">
        <v>86</v>
      </c>
    </row>
    <row r="510" customFormat="false" ht="23.85" hidden="false" customHeight="false" outlineLevel="0" collapsed="false">
      <c r="A510" s="6" t="s">
        <v>1032</v>
      </c>
      <c r="B510" s="6" t="s">
        <v>2121</v>
      </c>
      <c r="C510" s="6" t="s">
        <v>1033</v>
      </c>
      <c r="D510" s="6" t="s">
        <v>1375</v>
      </c>
      <c r="E510" s="6" t="s">
        <v>10</v>
      </c>
      <c r="F510" s="7" t="n">
        <v>0.663194444444444</v>
      </c>
      <c r="G510" s="6" t="s">
        <v>15</v>
      </c>
      <c r="H510" s="6" t="s">
        <v>81</v>
      </c>
      <c r="I510" s="6" t="s">
        <v>1030</v>
      </c>
      <c r="J510" s="6"/>
    </row>
    <row r="511" customFormat="false" ht="23.85" hidden="false" customHeight="false" outlineLevel="0" collapsed="false">
      <c r="A511" s="6" t="s">
        <v>2122</v>
      </c>
      <c r="B511" s="6" t="s">
        <v>2123</v>
      </c>
      <c r="C511" s="6" t="s">
        <v>1450</v>
      </c>
      <c r="D511" s="6" t="s">
        <v>1375</v>
      </c>
      <c r="E511" s="6" t="s">
        <v>10</v>
      </c>
      <c r="F511" s="7" t="n">
        <v>0.663194444444444</v>
      </c>
      <c r="G511" s="6" t="s">
        <v>32</v>
      </c>
      <c r="H511" s="6" t="s">
        <v>67</v>
      </c>
      <c r="I511" s="6" t="s">
        <v>1034</v>
      </c>
      <c r="J511" s="6" t="s">
        <v>108</v>
      </c>
    </row>
    <row r="512" customFormat="false" ht="23.85" hidden="false" customHeight="false" outlineLevel="0" collapsed="false">
      <c r="A512" s="6" t="s">
        <v>2124</v>
      </c>
      <c r="B512" s="6" t="s">
        <v>2125</v>
      </c>
      <c r="C512" s="6" t="s">
        <v>2126</v>
      </c>
      <c r="D512" s="6" t="s">
        <v>1375</v>
      </c>
      <c r="E512" s="6" t="s">
        <v>10</v>
      </c>
      <c r="F512" s="7" t="n">
        <v>0.663194444444444</v>
      </c>
      <c r="G512" s="6" t="s">
        <v>32</v>
      </c>
      <c r="H512" s="6" t="s">
        <v>67</v>
      </c>
      <c r="I512" s="6" t="s">
        <v>1034</v>
      </c>
      <c r="J512" s="6" t="s">
        <v>108</v>
      </c>
    </row>
    <row r="513" customFormat="false" ht="23.85" hidden="false" customHeight="false" outlineLevel="0" collapsed="false">
      <c r="A513" s="6" t="s">
        <v>1040</v>
      </c>
      <c r="B513" s="6" t="s">
        <v>2127</v>
      </c>
      <c r="C513" s="6" t="s">
        <v>1041</v>
      </c>
      <c r="D513" s="6" t="s">
        <v>1375</v>
      </c>
      <c r="E513" s="6" t="s">
        <v>10</v>
      </c>
      <c r="F513" s="7" t="n">
        <v>0.663194444444444</v>
      </c>
      <c r="G513" s="6" t="s">
        <v>17</v>
      </c>
      <c r="H513" s="6" t="s">
        <v>215</v>
      </c>
      <c r="I513" s="6" t="s">
        <v>1038</v>
      </c>
      <c r="J513" s="6" t="s">
        <v>80</v>
      </c>
    </row>
    <row r="514" customFormat="false" ht="23.85" hidden="false" customHeight="false" outlineLevel="0" collapsed="false">
      <c r="A514" s="6" t="s">
        <v>2128</v>
      </c>
      <c r="B514" s="6" t="s">
        <v>2129</v>
      </c>
      <c r="C514" s="6" t="s">
        <v>2130</v>
      </c>
      <c r="D514" s="6" t="s">
        <v>1375</v>
      </c>
      <c r="E514" s="6" t="s">
        <v>10</v>
      </c>
      <c r="F514" s="7" t="n">
        <v>0.666666666666667</v>
      </c>
      <c r="G514" s="6" t="s">
        <v>37</v>
      </c>
      <c r="H514" s="6" t="s">
        <v>67</v>
      </c>
      <c r="I514" s="6" t="s">
        <v>1042</v>
      </c>
      <c r="J514" s="6" t="s">
        <v>97</v>
      </c>
    </row>
    <row r="515" customFormat="false" ht="23.85" hidden="false" customHeight="false" outlineLevel="0" collapsed="false">
      <c r="A515" s="6" t="s">
        <v>2131</v>
      </c>
      <c r="B515" s="6" t="s">
        <v>2132</v>
      </c>
      <c r="C515" s="6" t="s">
        <v>2133</v>
      </c>
      <c r="D515" s="6" t="s">
        <v>1375</v>
      </c>
      <c r="E515" s="6" t="s">
        <v>10</v>
      </c>
      <c r="F515" s="7" t="n">
        <v>0.666666666666667</v>
      </c>
      <c r="G515" s="6" t="s">
        <v>37</v>
      </c>
      <c r="H515" s="6" t="s">
        <v>67</v>
      </c>
      <c r="I515" s="6" t="s">
        <v>1042</v>
      </c>
      <c r="J515" s="6" t="s">
        <v>97</v>
      </c>
    </row>
    <row r="516" customFormat="false" ht="23.85" hidden="false" customHeight="false" outlineLevel="0" collapsed="false">
      <c r="A516" s="6" t="s">
        <v>1048</v>
      </c>
      <c r="B516" s="6" t="s">
        <v>2134</v>
      </c>
      <c r="C516" s="6" t="s">
        <v>1049</v>
      </c>
      <c r="D516" s="6" t="s">
        <v>1375</v>
      </c>
      <c r="E516" s="6" t="s">
        <v>10</v>
      </c>
      <c r="F516" s="7" t="n">
        <v>0.666666666666667</v>
      </c>
      <c r="G516" s="6" t="s">
        <v>36</v>
      </c>
      <c r="H516" s="6" t="s">
        <v>156</v>
      </c>
      <c r="I516" s="6" t="s">
        <v>1046</v>
      </c>
      <c r="J516" s="6" t="s">
        <v>36</v>
      </c>
    </row>
    <row r="517" customFormat="false" ht="15" hidden="false" customHeight="false" outlineLevel="0" collapsed="false">
      <c r="A517" s="6" t="s">
        <v>1052</v>
      </c>
      <c r="B517" s="6" t="s">
        <v>2135</v>
      </c>
      <c r="C517" s="6" t="s">
        <v>1053</v>
      </c>
      <c r="D517" s="6" t="s">
        <v>1375</v>
      </c>
      <c r="E517" s="6" t="s">
        <v>10</v>
      </c>
      <c r="F517" s="7" t="n">
        <v>0.670138888888889</v>
      </c>
      <c r="G517" s="6" t="s">
        <v>14</v>
      </c>
      <c r="H517" s="6" t="s">
        <v>81</v>
      </c>
      <c r="I517" s="6" t="s">
        <v>1050</v>
      </c>
      <c r="J517" s="6" t="s">
        <v>588</v>
      </c>
    </row>
    <row r="518" customFormat="false" ht="23.85" hidden="false" customHeight="false" outlineLevel="0" collapsed="false">
      <c r="A518" s="6" t="s">
        <v>1057</v>
      </c>
      <c r="B518" s="6" t="s">
        <v>2136</v>
      </c>
      <c r="C518" s="6" t="s">
        <v>1058</v>
      </c>
      <c r="D518" s="6" t="s">
        <v>1375</v>
      </c>
      <c r="E518" s="6" t="s">
        <v>10</v>
      </c>
      <c r="F518" s="7" t="n">
        <v>0.673611111111111</v>
      </c>
      <c r="G518" s="6" t="s">
        <v>13</v>
      </c>
      <c r="H518" s="6" t="s">
        <v>81</v>
      </c>
      <c r="I518" s="6" t="s">
        <v>1055</v>
      </c>
      <c r="J518" s="6" t="s">
        <v>114</v>
      </c>
    </row>
    <row r="519" customFormat="false" ht="23.85" hidden="false" customHeight="false" outlineLevel="0" collapsed="false">
      <c r="A519" s="6" t="s">
        <v>2137</v>
      </c>
      <c r="B519" s="6" t="s">
        <v>1979</v>
      </c>
      <c r="C519" s="6" t="s">
        <v>2029</v>
      </c>
      <c r="D519" s="6" t="s">
        <v>1375</v>
      </c>
      <c r="E519" s="6" t="s">
        <v>10</v>
      </c>
      <c r="F519" s="7" t="n">
        <v>0.673611111111111</v>
      </c>
      <c r="G519" s="6" t="s">
        <v>23</v>
      </c>
      <c r="H519" s="6" t="s">
        <v>134</v>
      </c>
      <c r="I519" s="6" t="s">
        <v>1059</v>
      </c>
      <c r="J519" s="6" t="s">
        <v>732</v>
      </c>
    </row>
    <row r="520" customFormat="false" ht="23.85" hidden="false" customHeight="false" outlineLevel="0" collapsed="false">
      <c r="A520" s="6" t="s">
        <v>2079</v>
      </c>
      <c r="B520" s="6" t="s">
        <v>2080</v>
      </c>
      <c r="C520" s="6" t="s">
        <v>2081</v>
      </c>
      <c r="D520" s="6" t="s">
        <v>1375</v>
      </c>
      <c r="E520" s="6" t="s">
        <v>10</v>
      </c>
      <c r="F520" s="7" t="n">
        <v>0.673611111111111</v>
      </c>
      <c r="G520" s="6" t="s">
        <v>23</v>
      </c>
      <c r="H520" s="6" t="s">
        <v>134</v>
      </c>
      <c r="I520" s="6" t="s">
        <v>1059</v>
      </c>
      <c r="J520" s="6" t="s">
        <v>732</v>
      </c>
    </row>
    <row r="521" customFormat="false" ht="23.85" hidden="false" customHeight="false" outlineLevel="0" collapsed="false">
      <c r="A521" s="6" t="s">
        <v>2106</v>
      </c>
      <c r="B521" s="6" t="s">
        <v>2107</v>
      </c>
      <c r="C521" s="6" t="s">
        <v>2108</v>
      </c>
      <c r="D521" s="6" t="s">
        <v>1375</v>
      </c>
      <c r="E521" s="6" t="s">
        <v>10</v>
      </c>
      <c r="F521" s="7" t="n">
        <v>0.673611111111111</v>
      </c>
      <c r="G521" s="6" t="s">
        <v>23</v>
      </c>
      <c r="H521" s="6" t="s">
        <v>134</v>
      </c>
      <c r="I521" s="6" t="s">
        <v>1059</v>
      </c>
      <c r="J521" s="6" t="s">
        <v>732</v>
      </c>
    </row>
    <row r="522" customFormat="false" ht="23.85" hidden="false" customHeight="false" outlineLevel="0" collapsed="false">
      <c r="A522" s="6" t="s">
        <v>1066</v>
      </c>
      <c r="B522" s="6" t="s">
        <v>1412</v>
      </c>
      <c r="C522" s="6" t="s">
        <v>1067</v>
      </c>
      <c r="D522" s="6" t="s">
        <v>1375</v>
      </c>
      <c r="E522" s="6" t="s">
        <v>10</v>
      </c>
      <c r="F522" s="7" t="n">
        <v>0.673611111111111</v>
      </c>
      <c r="G522" s="6" t="s">
        <v>36</v>
      </c>
      <c r="H522" s="6" t="s">
        <v>156</v>
      </c>
      <c r="I522" s="6" t="s">
        <v>1064</v>
      </c>
      <c r="J522" s="6" t="s">
        <v>36</v>
      </c>
    </row>
    <row r="523" customFormat="false" ht="23.85" hidden="false" customHeight="false" outlineLevel="0" collapsed="false">
      <c r="A523" s="6" t="s">
        <v>1658</v>
      </c>
      <c r="B523" s="6" t="s">
        <v>1659</v>
      </c>
      <c r="C523" s="6" t="s">
        <v>368</v>
      </c>
      <c r="D523" s="6" t="s">
        <v>1375</v>
      </c>
      <c r="E523" s="6" t="s">
        <v>10</v>
      </c>
      <c r="F523" s="7" t="n">
        <v>0.673611111111111</v>
      </c>
      <c r="G523" s="6" t="s">
        <v>33</v>
      </c>
      <c r="H523" s="6" t="s">
        <v>215</v>
      </c>
      <c r="I523" s="6" t="s">
        <v>1068</v>
      </c>
      <c r="J523" s="6" t="s">
        <v>103</v>
      </c>
    </row>
    <row r="524" customFormat="false" ht="23.85" hidden="false" customHeight="false" outlineLevel="0" collapsed="false">
      <c r="A524" s="6" t="s">
        <v>2138</v>
      </c>
      <c r="B524" s="6" t="s">
        <v>2139</v>
      </c>
      <c r="C524" s="6" t="s">
        <v>2140</v>
      </c>
      <c r="D524" s="6" t="s">
        <v>1375</v>
      </c>
      <c r="E524" s="6" t="s">
        <v>10</v>
      </c>
      <c r="F524" s="7" t="n">
        <v>0.673611111111111</v>
      </c>
      <c r="G524" s="6" t="s">
        <v>33</v>
      </c>
      <c r="H524" s="6" t="s">
        <v>215</v>
      </c>
      <c r="I524" s="6" t="s">
        <v>1068</v>
      </c>
      <c r="J524" s="6" t="s">
        <v>103</v>
      </c>
    </row>
    <row r="525" customFormat="false" ht="23.85" hidden="false" customHeight="false" outlineLevel="0" collapsed="false">
      <c r="A525" s="6" t="s">
        <v>2141</v>
      </c>
      <c r="B525" s="6" t="s">
        <v>2142</v>
      </c>
      <c r="C525" s="6" t="s">
        <v>2143</v>
      </c>
      <c r="D525" s="6" t="s">
        <v>1375</v>
      </c>
      <c r="E525" s="6" t="s">
        <v>10</v>
      </c>
      <c r="F525" s="7" t="n">
        <v>0.673611111111111</v>
      </c>
      <c r="G525" s="6" t="s">
        <v>33</v>
      </c>
      <c r="H525" s="6" t="s">
        <v>215</v>
      </c>
      <c r="I525" s="6" t="s">
        <v>1068</v>
      </c>
      <c r="J525" s="6" t="s">
        <v>103</v>
      </c>
    </row>
    <row r="526" customFormat="false" ht="23.85" hidden="false" customHeight="false" outlineLevel="0" collapsed="false">
      <c r="A526" s="6" t="s">
        <v>2144</v>
      </c>
      <c r="B526" s="6" t="s">
        <v>2145</v>
      </c>
      <c r="C526" s="6" t="s">
        <v>2146</v>
      </c>
      <c r="D526" s="6" t="s">
        <v>1375</v>
      </c>
      <c r="E526" s="6" t="s">
        <v>10</v>
      </c>
      <c r="F526" s="7" t="n">
        <v>0.673611111111111</v>
      </c>
      <c r="G526" s="6" t="s">
        <v>32</v>
      </c>
      <c r="H526" s="6" t="s">
        <v>134</v>
      </c>
      <c r="I526" s="6" t="s">
        <v>1073</v>
      </c>
      <c r="J526" s="6" t="s">
        <v>108</v>
      </c>
    </row>
    <row r="527" customFormat="false" ht="23.85" hidden="false" customHeight="false" outlineLevel="0" collapsed="false">
      <c r="A527" s="6" t="s">
        <v>1843</v>
      </c>
      <c r="B527" s="6" t="s">
        <v>1844</v>
      </c>
      <c r="C527" s="6" t="s">
        <v>587</v>
      </c>
      <c r="D527" s="6" t="s">
        <v>1375</v>
      </c>
      <c r="E527" s="6" t="s">
        <v>10</v>
      </c>
      <c r="F527" s="7" t="n">
        <v>0.673611111111111</v>
      </c>
      <c r="G527" s="6" t="s">
        <v>32</v>
      </c>
      <c r="H527" s="6" t="s">
        <v>134</v>
      </c>
      <c r="I527" s="6" t="s">
        <v>1073</v>
      </c>
      <c r="J527" s="6" t="s">
        <v>108</v>
      </c>
    </row>
    <row r="528" customFormat="false" ht="23.85" hidden="false" customHeight="false" outlineLevel="0" collapsed="false">
      <c r="A528" s="6" t="s">
        <v>2147</v>
      </c>
      <c r="B528" s="6" t="s">
        <v>2148</v>
      </c>
      <c r="C528" s="6" t="s">
        <v>1906</v>
      </c>
      <c r="D528" s="6" t="s">
        <v>1375</v>
      </c>
      <c r="E528" s="6" t="s">
        <v>10</v>
      </c>
      <c r="F528" s="7" t="n">
        <v>0.673611111111111</v>
      </c>
      <c r="G528" s="6" t="s">
        <v>32</v>
      </c>
      <c r="H528" s="6" t="s">
        <v>134</v>
      </c>
      <c r="I528" s="6" t="s">
        <v>1073</v>
      </c>
      <c r="J528" s="6" t="s">
        <v>108</v>
      </c>
    </row>
    <row r="529" customFormat="false" ht="15" hidden="false" customHeight="false" outlineLevel="0" collapsed="false">
      <c r="A529" s="6" t="s">
        <v>1080</v>
      </c>
      <c r="B529" s="6" t="s">
        <v>2149</v>
      </c>
      <c r="C529" s="6" t="s">
        <v>1081</v>
      </c>
      <c r="D529" s="6" t="s">
        <v>1375</v>
      </c>
      <c r="E529" s="6" t="s">
        <v>10</v>
      </c>
      <c r="F529" s="7" t="n">
        <v>0.673611111111111</v>
      </c>
      <c r="G529" s="6" t="s">
        <v>21</v>
      </c>
      <c r="H529" s="6" t="s">
        <v>81</v>
      </c>
      <c r="I529" s="6" t="s">
        <v>1078</v>
      </c>
      <c r="J529" s="6" t="s">
        <v>119</v>
      </c>
    </row>
    <row r="530" customFormat="false" ht="23.85" hidden="false" customHeight="false" outlineLevel="0" collapsed="false">
      <c r="A530" s="6" t="s">
        <v>2150</v>
      </c>
      <c r="B530" s="6" t="s">
        <v>2151</v>
      </c>
      <c r="C530" s="6" t="s">
        <v>2152</v>
      </c>
      <c r="D530" s="6" t="s">
        <v>1375</v>
      </c>
      <c r="E530" s="6" t="s">
        <v>10</v>
      </c>
      <c r="F530" s="7" t="n">
        <v>0.673611111111111</v>
      </c>
      <c r="G530" s="6" t="s">
        <v>15</v>
      </c>
      <c r="H530" s="6" t="s">
        <v>134</v>
      </c>
      <c r="I530" s="6" t="s">
        <v>1082</v>
      </c>
      <c r="J530" s="6" t="s">
        <v>64</v>
      </c>
    </row>
    <row r="531" customFormat="false" ht="23.85" hidden="false" customHeight="false" outlineLevel="0" collapsed="false">
      <c r="A531" s="6" t="s">
        <v>2153</v>
      </c>
      <c r="B531" s="6" t="s">
        <v>2154</v>
      </c>
      <c r="C531" s="6" t="s">
        <v>1588</v>
      </c>
      <c r="D531" s="6" t="s">
        <v>1375</v>
      </c>
      <c r="E531" s="6" t="s">
        <v>10</v>
      </c>
      <c r="F531" s="7" t="n">
        <v>0.673611111111111</v>
      </c>
      <c r="G531" s="6" t="s">
        <v>15</v>
      </c>
      <c r="H531" s="6" t="s">
        <v>134</v>
      </c>
      <c r="I531" s="6" t="s">
        <v>1082</v>
      </c>
      <c r="J531" s="6" t="s">
        <v>64</v>
      </c>
    </row>
    <row r="532" customFormat="false" ht="23.85" hidden="false" customHeight="false" outlineLevel="0" collapsed="false">
      <c r="A532" s="6" t="s">
        <v>1776</v>
      </c>
      <c r="B532" s="6" t="s">
        <v>1775</v>
      </c>
      <c r="C532" s="6" t="s">
        <v>1777</v>
      </c>
      <c r="D532" s="6" t="s">
        <v>1375</v>
      </c>
      <c r="E532" s="6" t="s">
        <v>10</v>
      </c>
      <c r="F532" s="7" t="n">
        <v>0.673611111111111</v>
      </c>
      <c r="G532" s="6" t="s">
        <v>15</v>
      </c>
      <c r="H532" s="6" t="s">
        <v>134</v>
      </c>
      <c r="I532" s="6" t="s">
        <v>1082</v>
      </c>
      <c r="J532" s="6" t="s">
        <v>64</v>
      </c>
    </row>
    <row r="533" customFormat="false" ht="23.85" hidden="false" customHeight="false" outlineLevel="0" collapsed="false">
      <c r="A533" s="6" t="s">
        <v>1401</v>
      </c>
      <c r="B533" s="6" t="s">
        <v>1402</v>
      </c>
      <c r="C533" s="6" t="s">
        <v>1403</v>
      </c>
      <c r="D533" s="6" t="s">
        <v>1375</v>
      </c>
      <c r="E533" s="6" t="s">
        <v>10</v>
      </c>
      <c r="F533" s="7" t="n">
        <v>0.673611111111111</v>
      </c>
      <c r="G533" s="6" t="s">
        <v>19</v>
      </c>
      <c r="H533" s="6" t="s">
        <v>134</v>
      </c>
      <c r="I533" s="6" t="s">
        <v>1087</v>
      </c>
      <c r="J533" s="6" t="s">
        <v>86</v>
      </c>
    </row>
    <row r="534" customFormat="false" ht="23.85" hidden="false" customHeight="false" outlineLevel="0" collapsed="false">
      <c r="A534" s="6" t="s">
        <v>2155</v>
      </c>
      <c r="B534" s="6" t="s">
        <v>2156</v>
      </c>
      <c r="C534" s="6" t="s">
        <v>492</v>
      </c>
      <c r="D534" s="6" t="s">
        <v>1375</v>
      </c>
      <c r="E534" s="6" t="s">
        <v>10</v>
      </c>
      <c r="F534" s="7" t="n">
        <v>0.673611111111111</v>
      </c>
      <c r="G534" s="6" t="s">
        <v>19</v>
      </c>
      <c r="H534" s="6" t="s">
        <v>134</v>
      </c>
      <c r="I534" s="6" t="s">
        <v>1087</v>
      </c>
      <c r="J534" s="6" t="s">
        <v>86</v>
      </c>
    </row>
    <row r="535" customFormat="false" ht="23.85" hidden="false" customHeight="false" outlineLevel="0" collapsed="false">
      <c r="A535" s="6" t="s">
        <v>2157</v>
      </c>
      <c r="B535" s="6" t="s">
        <v>2158</v>
      </c>
      <c r="C535" s="6" t="s">
        <v>2159</v>
      </c>
      <c r="D535" s="6" t="s">
        <v>1375</v>
      </c>
      <c r="E535" s="6" t="s">
        <v>10</v>
      </c>
      <c r="F535" s="7" t="n">
        <v>0.673611111111111</v>
      </c>
      <c r="G535" s="6" t="s">
        <v>19</v>
      </c>
      <c r="H535" s="6" t="s">
        <v>134</v>
      </c>
      <c r="I535" s="6" t="s">
        <v>1087</v>
      </c>
      <c r="J535" s="6" t="s">
        <v>86</v>
      </c>
    </row>
    <row r="536" customFormat="false" ht="23.85" hidden="false" customHeight="false" outlineLevel="0" collapsed="false">
      <c r="A536" s="6" t="s">
        <v>2160</v>
      </c>
      <c r="B536" s="6" t="s">
        <v>2161</v>
      </c>
      <c r="C536" s="6" t="s">
        <v>2162</v>
      </c>
      <c r="D536" s="6" t="s">
        <v>1375</v>
      </c>
      <c r="E536" s="6" t="s">
        <v>10</v>
      </c>
      <c r="F536" s="7" t="n">
        <v>0.673611111111111</v>
      </c>
      <c r="G536" s="6" t="s">
        <v>17</v>
      </c>
      <c r="H536" s="6" t="s">
        <v>134</v>
      </c>
      <c r="I536" s="6" t="s">
        <v>1092</v>
      </c>
      <c r="J536" s="6" t="s">
        <v>80</v>
      </c>
    </row>
    <row r="537" customFormat="false" ht="23.85" hidden="false" customHeight="false" outlineLevel="0" collapsed="false">
      <c r="A537" s="6" t="s">
        <v>2090</v>
      </c>
      <c r="B537" s="6" t="s">
        <v>2091</v>
      </c>
      <c r="C537" s="6" t="s">
        <v>2092</v>
      </c>
      <c r="D537" s="6" t="s">
        <v>1375</v>
      </c>
      <c r="E537" s="6" t="s">
        <v>10</v>
      </c>
      <c r="F537" s="7" t="n">
        <v>0.673611111111111</v>
      </c>
      <c r="G537" s="6" t="s">
        <v>17</v>
      </c>
      <c r="H537" s="6" t="s">
        <v>134</v>
      </c>
      <c r="I537" s="6" t="s">
        <v>1092</v>
      </c>
      <c r="J537" s="6" t="s">
        <v>80</v>
      </c>
    </row>
    <row r="538" customFormat="false" ht="23.85" hidden="false" customHeight="false" outlineLevel="0" collapsed="false">
      <c r="A538" s="6" t="s">
        <v>2163</v>
      </c>
      <c r="B538" s="6" t="s">
        <v>2164</v>
      </c>
      <c r="C538" s="6" t="s">
        <v>2165</v>
      </c>
      <c r="D538" s="6" t="s">
        <v>1375</v>
      </c>
      <c r="E538" s="6" t="s">
        <v>10</v>
      </c>
      <c r="F538" s="7" t="n">
        <v>0.673611111111111</v>
      </c>
      <c r="G538" s="6" t="s">
        <v>17</v>
      </c>
      <c r="H538" s="6" t="s">
        <v>134</v>
      </c>
      <c r="I538" s="6" t="s">
        <v>1092</v>
      </c>
      <c r="J538" s="6" t="s">
        <v>80</v>
      </c>
    </row>
    <row r="539" customFormat="false" ht="23.85" hidden="false" customHeight="false" outlineLevel="0" collapsed="false">
      <c r="A539" s="6" t="s">
        <v>1099</v>
      </c>
      <c r="B539" s="6" t="s">
        <v>2166</v>
      </c>
      <c r="C539" s="6" t="s">
        <v>1100</v>
      </c>
      <c r="D539" s="6" t="s">
        <v>1375</v>
      </c>
      <c r="E539" s="6" t="s">
        <v>10</v>
      </c>
      <c r="F539" s="7" t="n">
        <v>0.677083333333333</v>
      </c>
      <c r="G539" s="6" t="s">
        <v>37</v>
      </c>
      <c r="H539" s="6" t="s">
        <v>81</v>
      </c>
      <c r="I539" s="6" t="s">
        <v>1097</v>
      </c>
      <c r="J539" s="6" t="s">
        <v>97</v>
      </c>
    </row>
    <row r="540" customFormat="false" ht="23.85" hidden="false" customHeight="false" outlineLevel="0" collapsed="false">
      <c r="A540" s="6" t="s">
        <v>1103</v>
      </c>
      <c r="B540" s="6" t="s">
        <v>2167</v>
      </c>
      <c r="C540" s="6" t="s">
        <v>1104</v>
      </c>
      <c r="D540" s="6" t="s">
        <v>1375</v>
      </c>
      <c r="E540" s="6" t="s">
        <v>10</v>
      </c>
      <c r="F540" s="7" t="n">
        <v>0.680555555555556</v>
      </c>
      <c r="G540" s="6" t="s">
        <v>36</v>
      </c>
      <c r="H540" s="6" t="s">
        <v>156</v>
      </c>
      <c r="I540" s="6" t="s">
        <v>1101</v>
      </c>
      <c r="J540" s="6" t="s">
        <v>36</v>
      </c>
    </row>
    <row r="541" customFormat="false" ht="23.85" hidden="false" customHeight="false" outlineLevel="0" collapsed="false">
      <c r="A541" s="6" t="s">
        <v>2076</v>
      </c>
      <c r="B541" s="6" t="s">
        <v>2077</v>
      </c>
      <c r="C541" s="6" t="s">
        <v>2078</v>
      </c>
      <c r="D541" s="6" t="s">
        <v>1375</v>
      </c>
      <c r="E541" s="6" t="s">
        <v>10</v>
      </c>
      <c r="F541" s="7" t="n">
        <v>0.680555555555556</v>
      </c>
      <c r="G541" s="6" t="s">
        <v>14</v>
      </c>
      <c r="H541" s="6" t="s">
        <v>134</v>
      </c>
      <c r="I541" s="6" t="s">
        <v>1105</v>
      </c>
      <c r="J541" s="6" t="s">
        <v>588</v>
      </c>
    </row>
    <row r="542" customFormat="false" ht="23.85" hidden="false" customHeight="false" outlineLevel="0" collapsed="false">
      <c r="A542" s="6" t="s">
        <v>1608</v>
      </c>
      <c r="B542" s="6" t="s">
        <v>1446</v>
      </c>
      <c r="C542" s="6" t="s">
        <v>1609</v>
      </c>
      <c r="D542" s="6" t="s">
        <v>1375</v>
      </c>
      <c r="E542" s="6" t="s">
        <v>10</v>
      </c>
      <c r="F542" s="7" t="n">
        <v>0.680555555555556</v>
      </c>
      <c r="G542" s="6" t="s">
        <v>14</v>
      </c>
      <c r="H542" s="6" t="s">
        <v>134</v>
      </c>
      <c r="I542" s="6" t="s">
        <v>1105</v>
      </c>
      <c r="J542" s="6" t="s">
        <v>588</v>
      </c>
    </row>
    <row r="543" customFormat="false" ht="23.85" hidden="false" customHeight="false" outlineLevel="0" collapsed="false">
      <c r="A543" s="6" t="s">
        <v>1011</v>
      </c>
      <c r="B543" s="6" t="s">
        <v>2111</v>
      </c>
      <c r="C543" s="6" t="s">
        <v>587</v>
      </c>
      <c r="D543" s="6" t="s">
        <v>1375</v>
      </c>
      <c r="E543" s="6" t="s">
        <v>10</v>
      </c>
      <c r="F543" s="7" t="n">
        <v>0.680555555555556</v>
      </c>
      <c r="G543" s="6" t="s">
        <v>14</v>
      </c>
      <c r="H543" s="6" t="s">
        <v>134</v>
      </c>
      <c r="I543" s="6" t="s">
        <v>1105</v>
      </c>
      <c r="J543" s="6" t="s">
        <v>588</v>
      </c>
    </row>
    <row r="544" customFormat="false" ht="23.85" hidden="false" customHeight="false" outlineLevel="0" collapsed="false">
      <c r="A544" s="6" t="s">
        <v>1112</v>
      </c>
      <c r="B544" s="6" t="s">
        <v>2168</v>
      </c>
      <c r="C544" s="6" t="s">
        <v>1113</v>
      </c>
      <c r="D544" s="6" t="s">
        <v>1375</v>
      </c>
      <c r="E544" s="6" t="s">
        <v>10</v>
      </c>
      <c r="F544" s="7" t="n">
        <v>0.684027777777778</v>
      </c>
      <c r="G544" s="6" t="s">
        <v>37</v>
      </c>
      <c r="H544" s="6" t="s">
        <v>81</v>
      </c>
      <c r="I544" s="6" t="s">
        <v>1110</v>
      </c>
      <c r="J544" s="6" t="s">
        <v>97</v>
      </c>
    </row>
    <row r="545" customFormat="false" ht="23.85" hidden="false" customHeight="false" outlineLevel="0" collapsed="false">
      <c r="A545" s="6" t="s">
        <v>2169</v>
      </c>
      <c r="B545" s="6" t="s">
        <v>2170</v>
      </c>
      <c r="C545" s="6" t="s">
        <v>2171</v>
      </c>
      <c r="D545" s="6" t="s">
        <v>1375</v>
      </c>
      <c r="E545" s="6" t="s">
        <v>10</v>
      </c>
      <c r="F545" s="7" t="n">
        <v>0.684027777777778</v>
      </c>
      <c r="G545" s="6" t="s">
        <v>21</v>
      </c>
      <c r="H545" s="6" t="s">
        <v>134</v>
      </c>
      <c r="I545" s="6" t="s">
        <v>1114</v>
      </c>
      <c r="J545" s="6" t="s">
        <v>119</v>
      </c>
    </row>
    <row r="546" customFormat="false" ht="23.85" hidden="false" customHeight="false" outlineLevel="0" collapsed="false">
      <c r="A546" s="6" t="s">
        <v>2172</v>
      </c>
      <c r="B546" s="6" t="s">
        <v>2173</v>
      </c>
      <c r="C546" s="6" t="s">
        <v>2174</v>
      </c>
      <c r="D546" s="6" t="s">
        <v>1375</v>
      </c>
      <c r="E546" s="6" t="s">
        <v>10</v>
      </c>
      <c r="F546" s="7" t="n">
        <v>0.684027777777778</v>
      </c>
      <c r="G546" s="6" t="s">
        <v>21</v>
      </c>
      <c r="H546" s="6" t="s">
        <v>134</v>
      </c>
      <c r="I546" s="6" t="s">
        <v>1114</v>
      </c>
      <c r="J546" s="6" t="s">
        <v>119</v>
      </c>
    </row>
    <row r="547" customFormat="false" ht="23.85" hidden="false" customHeight="false" outlineLevel="0" collapsed="false">
      <c r="A547" s="6" t="s">
        <v>2175</v>
      </c>
      <c r="B547" s="6" t="s">
        <v>2176</v>
      </c>
      <c r="C547" s="6" t="s">
        <v>418</v>
      </c>
      <c r="D547" s="6" t="s">
        <v>1375</v>
      </c>
      <c r="E547" s="6" t="s">
        <v>10</v>
      </c>
      <c r="F547" s="7" t="n">
        <v>0.684027777777778</v>
      </c>
      <c r="G547" s="6" t="s">
        <v>21</v>
      </c>
      <c r="H547" s="6" t="s">
        <v>134</v>
      </c>
      <c r="I547" s="6" t="s">
        <v>1114</v>
      </c>
      <c r="J547" s="6" t="s">
        <v>119</v>
      </c>
    </row>
    <row r="548" customFormat="false" ht="23.85" hidden="false" customHeight="false" outlineLevel="0" collapsed="false">
      <c r="A548" s="6" t="s">
        <v>1831</v>
      </c>
      <c r="B548" s="6" t="s">
        <v>1832</v>
      </c>
      <c r="C548" s="6" t="s">
        <v>492</v>
      </c>
      <c r="D548" s="6" t="s">
        <v>1375</v>
      </c>
      <c r="E548" s="6" t="s">
        <v>10</v>
      </c>
      <c r="F548" s="7" t="n">
        <v>0.684027777777778</v>
      </c>
      <c r="G548" s="6" t="s">
        <v>13</v>
      </c>
      <c r="H548" s="6" t="s">
        <v>134</v>
      </c>
      <c r="I548" s="6" t="s">
        <v>1119</v>
      </c>
      <c r="J548" s="6" t="s">
        <v>114</v>
      </c>
    </row>
    <row r="549" customFormat="false" ht="23.85" hidden="false" customHeight="false" outlineLevel="0" collapsed="false">
      <c r="A549" s="6" t="s">
        <v>2177</v>
      </c>
      <c r="B549" s="6" t="s">
        <v>2178</v>
      </c>
      <c r="C549" s="6" t="s">
        <v>2179</v>
      </c>
      <c r="D549" s="6" t="s">
        <v>1375</v>
      </c>
      <c r="E549" s="6" t="s">
        <v>10</v>
      </c>
      <c r="F549" s="7" t="n">
        <v>0.684027777777778</v>
      </c>
      <c r="G549" s="6" t="s">
        <v>13</v>
      </c>
      <c r="H549" s="6" t="s">
        <v>134</v>
      </c>
      <c r="I549" s="6" t="s">
        <v>1119</v>
      </c>
      <c r="J549" s="6" t="s">
        <v>114</v>
      </c>
    </row>
    <row r="550" customFormat="false" ht="23.85" hidden="false" customHeight="false" outlineLevel="0" collapsed="false">
      <c r="A550" s="6" t="s">
        <v>1423</v>
      </c>
      <c r="B550" s="6" t="s">
        <v>1424</v>
      </c>
      <c r="C550" s="6" t="s">
        <v>1425</v>
      </c>
      <c r="D550" s="6" t="s">
        <v>1375</v>
      </c>
      <c r="E550" s="6" t="s">
        <v>10</v>
      </c>
      <c r="F550" s="7" t="n">
        <v>0.684027777777778</v>
      </c>
      <c r="G550" s="6" t="s">
        <v>13</v>
      </c>
      <c r="H550" s="6" t="s">
        <v>134</v>
      </c>
      <c r="I550" s="6" t="s">
        <v>1119</v>
      </c>
      <c r="J550" s="6" t="s">
        <v>114</v>
      </c>
    </row>
    <row r="551" customFormat="false" ht="23.85" hidden="false" customHeight="false" outlineLevel="0" collapsed="false">
      <c r="A551" s="6" t="s">
        <v>1125</v>
      </c>
      <c r="B551" s="6" t="s">
        <v>2180</v>
      </c>
      <c r="C551" s="6" t="s">
        <v>1126</v>
      </c>
      <c r="D551" s="6" t="s">
        <v>1375</v>
      </c>
      <c r="E551" s="6" t="s">
        <v>10</v>
      </c>
      <c r="F551" s="7" t="n">
        <v>0.6875</v>
      </c>
      <c r="G551" s="6" t="s">
        <v>36</v>
      </c>
      <c r="H551" s="6" t="s">
        <v>156</v>
      </c>
      <c r="I551" s="6" t="s">
        <v>1123</v>
      </c>
      <c r="J551" s="6" t="s">
        <v>36</v>
      </c>
    </row>
    <row r="552" customFormat="false" ht="23.85" hidden="false" customHeight="false" outlineLevel="0" collapsed="false">
      <c r="A552" s="6" t="s">
        <v>2181</v>
      </c>
      <c r="B552" s="6" t="s">
        <v>2182</v>
      </c>
      <c r="C552" s="6" t="s">
        <v>1705</v>
      </c>
      <c r="D552" s="6" t="s">
        <v>1375</v>
      </c>
      <c r="E552" s="6" t="s">
        <v>10</v>
      </c>
      <c r="F552" s="7" t="n">
        <v>0.690972222222222</v>
      </c>
      <c r="G552" s="6" t="s">
        <v>37</v>
      </c>
      <c r="H552" s="6" t="s">
        <v>134</v>
      </c>
      <c r="I552" s="6" t="s">
        <v>1127</v>
      </c>
      <c r="J552" s="6" t="s">
        <v>97</v>
      </c>
    </row>
    <row r="553" customFormat="false" ht="23.85" hidden="false" customHeight="false" outlineLevel="0" collapsed="false">
      <c r="A553" s="6" t="s">
        <v>2128</v>
      </c>
      <c r="B553" s="6" t="s">
        <v>2129</v>
      </c>
      <c r="C553" s="6" t="s">
        <v>2130</v>
      </c>
      <c r="D553" s="6" t="s">
        <v>1375</v>
      </c>
      <c r="E553" s="6" t="s">
        <v>10</v>
      </c>
      <c r="F553" s="7" t="n">
        <v>0.690972222222222</v>
      </c>
      <c r="G553" s="6" t="s">
        <v>37</v>
      </c>
      <c r="H553" s="6" t="s">
        <v>134</v>
      </c>
      <c r="I553" s="6" t="s">
        <v>1127</v>
      </c>
      <c r="J553" s="6" t="s">
        <v>97</v>
      </c>
    </row>
    <row r="554" customFormat="false" ht="23.85" hidden="false" customHeight="false" outlineLevel="0" collapsed="false">
      <c r="A554" s="6" t="s">
        <v>2183</v>
      </c>
      <c r="B554" s="6" t="s">
        <v>2184</v>
      </c>
      <c r="C554" s="6" t="s">
        <v>492</v>
      </c>
      <c r="D554" s="6" t="s">
        <v>1375</v>
      </c>
      <c r="E554" s="6" t="s">
        <v>10</v>
      </c>
      <c r="F554" s="7" t="n">
        <v>0.690972222222222</v>
      </c>
      <c r="G554" s="6" t="s">
        <v>37</v>
      </c>
      <c r="H554" s="6" t="s">
        <v>134</v>
      </c>
      <c r="I554" s="6" t="s">
        <v>1127</v>
      </c>
      <c r="J554" s="6" t="s">
        <v>97</v>
      </c>
    </row>
    <row r="555" customFormat="false" ht="15" hidden="false" customHeight="false" outlineLevel="0" collapsed="false">
      <c r="A555" s="6" t="s">
        <v>1134</v>
      </c>
      <c r="B555" s="6" t="s">
        <v>1675</v>
      </c>
      <c r="C555" s="6" t="s">
        <v>1135</v>
      </c>
      <c r="D555" s="6" t="s">
        <v>1375</v>
      </c>
      <c r="E555" s="6" t="s">
        <v>10</v>
      </c>
      <c r="F555" s="7" t="n">
        <v>0.694444444444444</v>
      </c>
      <c r="G555" s="6" t="s">
        <v>36</v>
      </c>
      <c r="H555" s="6" t="s">
        <v>156</v>
      </c>
      <c r="I555" s="6" t="s">
        <v>1132</v>
      </c>
      <c r="J555" s="6" t="s">
        <v>36</v>
      </c>
    </row>
    <row r="556" customFormat="false" ht="15" hidden="false" customHeight="false" outlineLevel="0" collapsed="false">
      <c r="A556" s="6" t="s">
        <v>698</v>
      </c>
      <c r="B556" s="6" t="s">
        <v>1590</v>
      </c>
      <c r="C556" s="6" t="s">
        <v>699</v>
      </c>
      <c r="D556" s="6" t="s">
        <v>1375</v>
      </c>
      <c r="E556" s="6" t="s">
        <v>10</v>
      </c>
      <c r="F556" s="7" t="n">
        <v>0.694444444444444</v>
      </c>
      <c r="G556" s="6" t="s">
        <v>29</v>
      </c>
      <c r="H556" s="6" t="s">
        <v>695</v>
      </c>
      <c r="I556" s="6" t="s">
        <v>1136</v>
      </c>
      <c r="J556" s="6" t="s">
        <v>255</v>
      </c>
    </row>
    <row r="557" customFormat="false" ht="15" hidden="false" customHeight="false" outlineLevel="0" collapsed="false">
      <c r="A557" s="6" t="s">
        <v>118</v>
      </c>
      <c r="B557" s="6" t="s">
        <v>2185</v>
      </c>
      <c r="C557" s="6" t="s">
        <v>2186</v>
      </c>
      <c r="D557" s="6" t="s">
        <v>1375</v>
      </c>
      <c r="E557" s="6" t="s">
        <v>10</v>
      </c>
      <c r="F557" s="7" t="n">
        <v>0.711805555555556</v>
      </c>
      <c r="G557" s="6" t="s">
        <v>14</v>
      </c>
      <c r="H557" s="6" t="s">
        <v>81</v>
      </c>
      <c r="I557" s="6" t="s">
        <v>1137</v>
      </c>
      <c r="J557" s="6" t="s">
        <v>588</v>
      </c>
    </row>
    <row r="558" customFormat="false" ht="15" hidden="false" customHeight="false" outlineLevel="0" collapsed="false">
      <c r="A558" s="6" t="s">
        <v>2187</v>
      </c>
      <c r="B558" s="6" t="s">
        <v>2188</v>
      </c>
      <c r="C558" s="6" t="s">
        <v>2189</v>
      </c>
      <c r="D558" s="6" t="s">
        <v>1375</v>
      </c>
      <c r="E558" s="6" t="s">
        <v>10</v>
      </c>
      <c r="F558" s="7" t="n">
        <v>0.711805555555556</v>
      </c>
      <c r="G558" s="6" t="s">
        <v>14</v>
      </c>
      <c r="H558" s="6" t="s">
        <v>81</v>
      </c>
      <c r="I558" s="6" t="s">
        <v>1137</v>
      </c>
      <c r="J558" s="6" t="s">
        <v>588</v>
      </c>
    </row>
    <row r="559" customFormat="false" ht="23.85" hidden="false" customHeight="false" outlineLevel="0" collapsed="false">
      <c r="A559" s="6" t="s">
        <v>1313</v>
      </c>
      <c r="B559" s="6" t="s">
        <v>2056</v>
      </c>
      <c r="C559" s="6" t="s">
        <v>368</v>
      </c>
      <c r="D559" s="6" t="s">
        <v>1375</v>
      </c>
      <c r="E559" s="6" t="s">
        <v>10</v>
      </c>
      <c r="F559" s="7" t="n">
        <v>0.722222222222222</v>
      </c>
      <c r="G559" s="6" t="s">
        <v>14</v>
      </c>
      <c r="H559" s="6" t="s">
        <v>134</v>
      </c>
      <c r="I559" s="6" t="s">
        <v>1141</v>
      </c>
      <c r="J559" s="6" t="s">
        <v>588</v>
      </c>
    </row>
    <row r="560" customFormat="false" ht="23.85" hidden="false" customHeight="false" outlineLevel="0" collapsed="false">
      <c r="A560" s="6" t="s">
        <v>2137</v>
      </c>
      <c r="B560" s="6" t="s">
        <v>1979</v>
      </c>
      <c r="C560" s="6" t="s">
        <v>2029</v>
      </c>
      <c r="D560" s="6" t="s">
        <v>1375</v>
      </c>
      <c r="E560" s="6" t="s">
        <v>10</v>
      </c>
      <c r="F560" s="7" t="n">
        <v>0.722222222222222</v>
      </c>
      <c r="G560" s="6" t="s">
        <v>14</v>
      </c>
      <c r="H560" s="6" t="s">
        <v>134</v>
      </c>
      <c r="I560" s="6" t="s">
        <v>1141</v>
      </c>
      <c r="J560" s="6" t="s">
        <v>588</v>
      </c>
    </row>
    <row r="561" customFormat="false" ht="23.85" hidden="false" customHeight="false" outlineLevel="0" collapsed="false">
      <c r="A561" s="6" t="s">
        <v>1964</v>
      </c>
      <c r="B561" s="6" t="s">
        <v>2190</v>
      </c>
      <c r="C561" s="6" t="s">
        <v>2191</v>
      </c>
      <c r="D561" s="6" t="s">
        <v>1375</v>
      </c>
      <c r="E561" s="6" t="s">
        <v>10</v>
      </c>
      <c r="F561" s="7" t="n">
        <v>0.722222222222222</v>
      </c>
      <c r="G561" s="6" t="s">
        <v>14</v>
      </c>
      <c r="H561" s="6" t="s">
        <v>134</v>
      </c>
      <c r="I561" s="6" t="s">
        <v>1141</v>
      </c>
      <c r="J561" s="6" t="s">
        <v>588</v>
      </c>
    </row>
    <row r="562" customFormat="false" ht="23.85" hidden="false" customHeight="false" outlineLevel="0" collapsed="false">
      <c r="A562" s="6" t="s">
        <v>210</v>
      </c>
      <c r="B562" s="6"/>
      <c r="C562" s="6" t="s">
        <v>211</v>
      </c>
      <c r="D562" s="6" t="s">
        <v>1375</v>
      </c>
      <c r="E562" s="6" t="s">
        <v>11</v>
      </c>
      <c r="F562" s="7"/>
      <c r="G562" s="6" t="s">
        <v>31</v>
      </c>
      <c r="H562" s="6" t="s">
        <v>31</v>
      </c>
      <c r="I562" s="6" t="s">
        <v>1146</v>
      </c>
      <c r="J562" s="6" t="s">
        <v>212</v>
      </c>
    </row>
    <row r="563" customFormat="false" ht="15" hidden="false" customHeight="false" outlineLevel="0" collapsed="false">
      <c r="A563" s="6" t="s">
        <v>2192</v>
      </c>
      <c r="B563" s="6" t="s">
        <v>1532</v>
      </c>
      <c r="C563" s="6" t="s">
        <v>2193</v>
      </c>
      <c r="D563" s="6" t="s">
        <v>1375</v>
      </c>
      <c r="E563" s="6" t="s">
        <v>11</v>
      </c>
      <c r="F563" s="7" t="n">
        <v>0.395833333333333</v>
      </c>
      <c r="G563" s="6" t="s">
        <v>14</v>
      </c>
      <c r="H563" s="6" t="s">
        <v>215</v>
      </c>
      <c r="I563" s="6" t="s">
        <v>1147</v>
      </c>
      <c r="J563" s="6" t="s">
        <v>588</v>
      </c>
    </row>
    <row r="564" customFormat="false" ht="15" hidden="false" customHeight="false" outlineLevel="0" collapsed="false">
      <c r="A564" s="6" t="s">
        <v>2194</v>
      </c>
      <c r="B564" s="6" t="s">
        <v>2195</v>
      </c>
      <c r="C564" s="6" t="s">
        <v>2196</v>
      </c>
      <c r="D564" s="6" t="s">
        <v>1375</v>
      </c>
      <c r="E564" s="6" t="s">
        <v>11</v>
      </c>
      <c r="F564" s="7" t="n">
        <v>0.395833333333333</v>
      </c>
      <c r="G564" s="6" t="s">
        <v>14</v>
      </c>
      <c r="H564" s="6" t="s">
        <v>215</v>
      </c>
      <c r="I564" s="6" t="s">
        <v>1147</v>
      </c>
      <c r="J564" s="6" t="s">
        <v>588</v>
      </c>
    </row>
    <row r="565" customFormat="false" ht="15" hidden="false" customHeight="false" outlineLevel="0" collapsed="false">
      <c r="A565" s="6" t="s">
        <v>2197</v>
      </c>
      <c r="B565" s="6" t="s">
        <v>1412</v>
      </c>
      <c r="C565" s="6" t="s">
        <v>2198</v>
      </c>
      <c r="D565" s="6" t="s">
        <v>1375</v>
      </c>
      <c r="E565" s="6" t="s">
        <v>11</v>
      </c>
      <c r="F565" s="7" t="n">
        <v>0.40625</v>
      </c>
      <c r="G565" s="6" t="s">
        <v>18</v>
      </c>
      <c r="H565" s="6" t="s">
        <v>594</v>
      </c>
      <c r="I565" s="6" t="s">
        <v>1151</v>
      </c>
      <c r="J565" s="6" t="s">
        <v>64</v>
      </c>
    </row>
    <row r="566" customFormat="false" ht="15" hidden="false" customHeight="false" outlineLevel="0" collapsed="false">
      <c r="A566" s="6" t="s">
        <v>2199</v>
      </c>
      <c r="B566" s="6" t="s">
        <v>2200</v>
      </c>
      <c r="C566" s="6" t="s">
        <v>2201</v>
      </c>
      <c r="D566" s="6" t="s">
        <v>1375</v>
      </c>
      <c r="E566" s="6" t="s">
        <v>11</v>
      </c>
      <c r="F566" s="7" t="n">
        <v>0.40625</v>
      </c>
      <c r="G566" s="6" t="s">
        <v>18</v>
      </c>
      <c r="H566" s="6" t="s">
        <v>594</v>
      </c>
      <c r="I566" s="6" t="s">
        <v>1151</v>
      </c>
      <c r="J566" s="6" t="s">
        <v>64</v>
      </c>
    </row>
    <row r="567" customFormat="false" ht="15" hidden="false" customHeight="false" outlineLevel="0" collapsed="false">
      <c r="A567" s="6" t="s">
        <v>2202</v>
      </c>
      <c r="B567" s="6" t="s">
        <v>1412</v>
      </c>
      <c r="C567" s="6" t="s">
        <v>1749</v>
      </c>
      <c r="D567" s="6" t="s">
        <v>1375</v>
      </c>
      <c r="E567" s="6" t="s">
        <v>11</v>
      </c>
      <c r="F567" s="7" t="n">
        <v>0.40625</v>
      </c>
      <c r="G567" s="6" t="s">
        <v>14</v>
      </c>
      <c r="H567" s="6" t="s">
        <v>67</v>
      </c>
      <c r="I567" s="6" t="s">
        <v>1155</v>
      </c>
      <c r="J567" s="6" t="s">
        <v>588</v>
      </c>
    </row>
    <row r="568" customFormat="false" ht="15" hidden="false" customHeight="false" outlineLevel="0" collapsed="false">
      <c r="A568" s="6" t="s">
        <v>2203</v>
      </c>
      <c r="B568" s="6" t="s">
        <v>1542</v>
      </c>
      <c r="C568" s="6" t="s">
        <v>2204</v>
      </c>
      <c r="D568" s="6" t="s">
        <v>1375</v>
      </c>
      <c r="E568" s="6" t="s">
        <v>11</v>
      </c>
      <c r="F568" s="7" t="n">
        <v>0.40625</v>
      </c>
      <c r="G568" s="6" t="s">
        <v>14</v>
      </c>
      <c r="H568" s="6" t="s">
        <v>67</v>
      </c>
      <c r="I568" s="6" t="s">
        <v>1155</v>
      </c>
      <c r="J568" s="6" t="s">
        <v>588</v>
      </c>
    </row>
    <row r="569" customFormat="false" ht="23.85" hidden="false" customHeight="false" outlineLevel="0" collapsed="false">
      <c r="A569" s="6" t="s">
        <v>2197</v>
      </c>
      <c r="B569" s="6" t="s">
        <v>1412</v>
      </c>
      <c r="C569" s="6" t="s">
        <v>2198</v>
      </c>
      <c r="D569" s="6" t="s">
        <v>1375</v>
      </c>
      <c r="E569" s="6" t="s">
        <v>11</v>
      </c>
      <c r="F569" s="7" t="n">
        <v>0.416666666666667</v>
      </c>
      <c r="G569" s="6" t="s">
        <v>18</v>
      </c>
      <c r="H569" s="6" t="s">
        <v>134</v>
      </c>
      <c r="I569" s="6" t="s">
        <v>1159</v>
      </c>
      <c r="J569" s="6" t="s">
        <v>64</v>
      </c>
    </row>
    <row r="570" customFormat="false" ht="23.85" hidden="false" customHeight="false" outlineLevel="0" collapsed="false">
      <c r="A570" s="6" t="s">
        <v>2205</v>
      </c>
      <c r="B570" s="6" t="s">
        <v>2206</v>
      </c>
      <c r="C570" s="6" t="s">
        <v>2207</v>
      </c>
      <c r="D570" s="6" t="s">
        <v>1375</v>
      </c>
      <c r="E570" s="6" t="s">
        <v>11</v>
      </c>
      <c r="F570" s="7" t="n">
        <v>0.416666666666667</v>
      </c>
      <c r="G570" s="6" t="s">
        <v>18</v>
      </c>
      <c r="H570" s="6" t="s">
        <v>134</v>
      </c>
      <c r="I570" s="6" t="s">
        <v>1159</v>
      </c>
      <c r="J570" s="6" t="s">
        <v>64</v>
      </c>
    </row>
    <row r="571" customFormat="false" ht="23.85" hidden="false" customHeight="false" outlineLevel="0" collapsed="false">
      <c r="A571" s="6" t="s">
        <v>2208</v>
      </c>
      <c r="B571" s="6" t="s">
        <v>2209</v>
      </c>
      <c r="C571" s="6" t="s">
        <v>2162</v>
      </c>
      <c r="D571" s="6" t="s">
        <v>1375</v>
      </c>
      <c r="E571" s="6" t="s">
        <v>11</v>
      </c>
      <c r="F571" s="7" t="n">
        <v>0.416666666666667</v>
      </c>
      <c r="G571" s="6" t="s">
        <v>18</v>
      </c>
      <c r="H571" s="6" t="s">
        <v>134</v>
      </c>
      <c r="I571" s="6" t="s">
        <v>1159</v>
      </c>
      <c r="J571" s="6" t="s">
        <v>64</v>
      </c>
    </row>
    <row r="572" customFormat="false" ht="23.85" hidden="false" customHeight="false" outlineLevel="0" collapsed="false">
      <c r="A572" s="6" t="s">
        <v>2202</v>
      </c>
      <c r="B572" s="6" t="s">
        <v>1412</v>
      </c>
      <c r="C572" s="6" t="s">
        <v>1749</v>
      </c>
      <c r="D572" s="6" t="s">
        <v>1375</v>
      </c>
      <c r="E572" s="6" t="s">
        <v>11</v>
      </c>
      <c r="F572" s="7" t="n">
        <v>0.416666666666667</v>
      </c>
      <c r="G572" s="6" t="s">
        <v>14</v>
      </c>
      <c r="H572" s="6" t="s">
        <v>134</v>
      </c>
      <c r="I572" s="6" t="s">
        <v>1164</v>
      </c>
      <c r="J572" s="6" t="s">
        <v>588</v>
      </c>
    </row>
    <row r="573" customFormat="false" ht="23.85" hidden="false" customHeight="false" outlineLevel="0" collapsed="false">
      <c r="A573" s="6" t="s">
        <v>1879</v>
      </c>
      <c r="B573" s="6" t="s">
        <v>1880</v>
      </c>
      <c r="C573" s="6" t="s">
        <v>1881</v>
      </c>
      <c r="D573" s="6" t="s">
        <v>1375</v>
      </c>
      <c r="E573" s="6" t="s">
        <v>11</v>
      </c>
      <c r="F573" s="7" t="n">
        <v>0.416666666666667</v>
      </c>
      <c r="G573" s="6" t="s">
        <v>14</v>
      </c>
      <c r="H573" s="6" t="s">
        <v>134</v>
      </c>
      <c r="I573" s="6" t="s">
        <v>1164</v>
      </c>
      <c r="J573" s="6" t="s">
        <v>588</v>
      </c>
    </row>
    <row r="574" customFormat="false" ht="23.85" hidden="false" customHeight="false" outlineLevel="0" collapsed="false">
      <c r="A574" s="6" t="s">
        <v>2210</v>
      </c>
      <c r="B574" s="6" t="s">
        <v>2211</v>
      </c>
      <c r="C574" s="6" t="s">
        <v>2212</v>
      </c>
      <c r="D574" s="6" t="s">
        <v>1375</v>
      </c>
      <c r="E574" s="6" t="s">
        <v>11</v>
      </c>
      <c r="F574" s="7" t="n">
        <v>0.416666666666667</v>
      </c>
      <c r="G574" s="6" t="s">
        <v>14</v>
      </c>
      <c r="H574" s="6" t="s">
        <v>134</v>
      </c>
      <c r="I574" s="6" t="s">
        <v>1164</v>
      </c>
      <c r="J574" s="6" t="s">
        <v>588</v>
      </c>
    </row>
    <row r="575" customFormat="false" ht="23.85" hidden="false" customHeight="false" outlineLevel="0" collapsed="false">
      <c r="A575" s="6" t="s">
        <v>210</v>
      </c>
      <c r="B575" s="6"/>
      <c r="C575" s="6" t="s">
        <v>211</v>
      </c>
      <c r="D575" s="6" t="s">
        <v>1375</v>
      </c>
      <c r="E575" s="6" t="s">
        <v>11</v>
      </c>
      <c r="F575" s="7" t="n">
        <v>0.447916666666667</v>
      </c>
      <c r="G575" s="6" t="s">
        <v>31</v>
      </c>
      <c r="H575" s="6" t="s">
        <v>31</v>
      </c>
      <c r="I575" s="6" t="s">
        <v>1168</v>
      </c>
      <c r="J575" s="6" t="s">
        <v>212</v>
      </c>
    </row>
    <row r="576" customFormat="false" ht="15" hidden="false" customHeight="false" outlineLevel="0" collapsed="false">
      <c r="A576" s="6" t="s">
        <v>1171</v>
      </c>
      <c r="B576" s="6" t="s">
        <v>2180</v>
      </c>
      <c r="C576" s="6" t="s">
        <v>1172</v>
      </c>
      <c r="D576" s="6" t="s">
        <v>1375</v>
      </c>
      <c r="E576" s="6" t="s">
        <v>11</v>
      </c>
      <c r="F576" s="7" t="n">
        <v>0.493055555555556</v>
      </c>
      <c r="G576" s="6" t="s">
        <v>36</v>
      </c>
      <c r="H576" s="6" t="s">
        <v>156</v>
      </c>
      <c r="I576" s="6" t="s">
        <v>1169</v>
      </c>
      <c r="J576" s="6" t="s">
        <v>36</v>
      </c>
    </row>
    <row r="577" customFormat="false" ht="15" hidden="false" customHeight="false" outlineLevel="0" collapsed="false">
      <c r="A577" s="6" t="s">
        <v>698</v>
      </c>
      <c r="B577" s="6" t="s">
        <v>1590</v>
      </c>
      <c r="C577" s="6" t="s">
        <v>699</v>
      </c>
      <c r="D577" s="6" t="s">
        <v>1375</v>
      </c>
      <c r="E577" s="6" t="s">
        <v>11</v>
      </c>
      <c r="F577" s="7" t="n">
        <v>0.496527777777778</v>
      </c>
      <c r="G577" s="6" t="s">
        <v>29</v>
      </c>
      <c r="H577" s="6" t="s">
        <v>695</v>
      </c>
      <c r="I577" s="6" t="s">
        <v>696</v>
      </c>
      <c r="J577" s="6" t="s">
        <v>255</v>
      </c>
    </row>
    <row r="578" customFormat="false" ht="23.85" hidden="false" customHeight="false" outlineLevel="0" collapsed="false">
      <c r="A578" s="6" t="s">
        <v>2213</v>
      </c>
      <c r="B578" s="6" t="s">
        <v>2214</v>
      </c>
      <c r="C578" s="6" t="s">
        <v>2215</v>
      </c>
      <c r="D578" s="6" t="s">
        <v>1375</v>
      </c>
      <c r="E578" s="6" t="s">
        <v>11</v>
      </c>
      <c r="F578" s="7" t="n">
        <v>0.5</v>
      </c>
      <c r="G578" s="6" t="s">
        <v>23</v>
      </c>
      <c r="H578" s="6" t="s">
        <v>67</v>
      </c>
      <c r="I578" s="6" t="s">
        <v>1173</v>
      </c>
      <c r="J578" s="6" t="s">
        <v>732</v>
      </c>
    </row>
    <row r="579" customFormat="false" ht="23.85" hidden="false" customHeight="false" outlineLevel="0" collapsed="false">
      <c r="A579" s="6" t="s">
        <v>2216</v>
      </c>
      <c r="B579" s="6" t="s">
        <v>1438</v>
      </c>
      <c r="C579" s="6" t="s">
        <v>2217</v>
      </c>
      <c r="D579" s="6" t="s">
        <v>1375</v>
      </c>
      <c r="E579" s="6" t="s">
        <v>11</v>
      </c>
      <c r="F579" s="7" t="n">
        <v>0.5</v>
      </c>
      <c r="G579" s="6" t="s">
        <v>23</v>
      </c>
      <c r="H579" s="6" t="s">
        <v>67</v>
      </c>
      <c r="I579" s="6" t="s">
        <v>1173</v>
      </c>
      <c r="J579" s="6" t="s">
        <v>732</v>
      </c>
    </row>
    <row r="580" customFormat="false" ht="15" hidden="false" customHeight="false" outlineLevel="0" collapsed="false">
      <c r="A580" s="6" t="s">
        <v>1179</v>
      </c>
      <c r="B580" s="6" t="s">
        <v>2218</v>
      </c>
      <c r="C580" s="6" t="s">
        <v>1180</v>
      </c>
      <c r="D580" s="6" t="s">
        <v>1375</v>
      </c>
      <c r="E580" s="6" t="s">
        <v>11</v>
      </c>
      <c r="F580" s="7" t="n">
        <v>0.5</v>
      </c>
      <c r="G580" s="6" t="s">
        <v>36</v>
      </c>
      <c r="H580" s="6" t="s">
        <v>156</v>
      </c>
      <c r="I580" s="6" t="s">
        <v>1177</v>
      </c>
      <c r="J580" s="6" t="s">
        <v>36</v>
      </c>
    </row>
    <row r="581" customFormat="false" ht="15" hidden="false" customHeight="false" outlineLevel="0" collapsed="false">
      <c r="A581" s="6" t="s">
        <v>2219</v>
      </c>
      <c r="B581" s="6" t="s">
        <v>1938</v>
      </c>
      <c r="C581" s="6" t="s">
        <v>2220</v>
      </c>
      <c r="D581" s="6" t="s">
        <v>1375</v>
      </c>
      <c r="E581" s="6" t="s">
        <v>11</v>
      </c>
      <c r="F581" s="7" t="n">
        <v>0.5</v>
      </c>
      <c r="G581" s="6" t="s">
        <v>14</v>
      </c>
      <c r="H581" s="6" t="s">
        <v>594</v>
      </c>
      <c r="I581" s="6" t="s">
        <v>1181</v>
      </c>
      <c r="J581" s="6" t="s">
        <v>588</v>
      </c>
    </row>
    <row r="582" customFormat="false" ht="15" hidden="false" customHeight="false" outlineLevel="0" collapsed="false">
      <c r="A582" s="6" t="s">
        <v>2221</v>
      </c>
      <c r="B582" s="6" t="s">
        <v>1552</v>
      </c>
      <c r="C582" s="6" t="s">
        <v>2222</v>
      </c>
      <c r="D582" s="6" t="s">
        <v>1375</v>
      </c>
      <c r="E582" s="6" t="s">
        <v>11</v>
      </c>
      <c r="F582" s="7" t="n">
        <v>0.5</v>
      </c>
      <c r="G582" s="6" t="s">
        <v>14</v>
      </c>
      <c r="H582" s="6" t="s">
        <v>594</v>
      </c>
      <c r="I582" s="6" t="s">
        <v>1181</v>
      </c>
      <c r="J582" s="6" t="s">
        <v>588</v>
      </c>
    </row>
    <row r="583" customFormat="false" ht="23.85" hidden="false" customHeight="false" outlineLevel="0" collapsed="false">
      <c r="A583" s="6" t="s">
        <v>2223</v>
      </c>
      <c r="B583" s="6" t="s">
        <v>2224</v>
      </c>
      <c r="C583" s="6" t="s">
        <v>2225</v>
      </c>
      <c r="D583" s="6" t="s">
        <v>1375</v>
      </c>
      <c r="E583" s="6" t="s">
        <v>11</v>
      </c>
      <c r="F583" s="7" t="n">
        <v>0.5</v>
      </c>
      <c r="G583" s="6" t="s">
        <v>15</v>
      </c>
      <c r="H583" s="6" t="s">
        <v>67</v>
      </c>
      <c r="I583" s="6" t="s">
        <v>1185</v>
      </c>
      <c r="J583" s="6" t="s">
        <v>64</v>
      </c>
    </row>
    <row r="584" customFormat="false" ht="23.85" hidden="false" customHeight="false" outlineLevel="0" collapsed="false">
      <c r="A584" s="6" t="s">
        <v>2030</v>
      </c>
      <c r="B584" s="6" t="s">
        <v>2031</v>
      </c>
      <c r="C584" s="6" t="s">
        <v>2032</v>
      </c>
      <c r="D584" s="6" t="s">
        <v>1375</v>
      </c>
      <c r="E584" s="6" t="s">
        <v>11</v>
      </c>
      <c r="F584" s="7" t="n">
        <v>0.5</v>
      </c>
      <c r="G584" s="6" t="s">
        <v>15</v>
      </c>
      <c r="H584" s="6" t="s">
        <v>67</v>
      </c>
      <c r="I584" s="6" t="s">
        <v>1185</v>
      </c>
      <c r="J584" s="6" t="s">
        <v>64</v>
      </c>
    </row>
    <row r="585" customFormat="false" ht="23.85" hidden="false" customHeight="false" outlineLevel="0" collapsed="false">
      <c r="A585" s="6" t="s">
        <v>1191</v>
      </c>
      <c r="B585" s="6" t="s">
        <v>2226</v>
      </c>
      <c r="C585" s="6" t="s">
        <v>1192</v>
      </c>
      <c r="D585" s="6" t="s">
        <v>1375</v>
      </c>
      <c r="E585" s="6" t="s">
        <v>11</v>
      </c>
      <c r="F585" s="7" t="n">
        <v>0.5</v>
      </c>
      <c r="G585" s="6" t="s">
        <v>29</v>
      </c>
      <c r="H585" s="6" t="s">
        <v>81</v>
      </c>
      <c r="I585" s="6" t="s">
        <v>1189</v>
      </c>
      <c r="J585" s="6" t="s">
        <v>255</v>
      </c>
    </row>
    <row r="586" customFormat="false" ht="23.85" hidden="false" customHeight="false" outlineLevel="0" collapsed="false">
      <c r="A586" s="6" t="s">
        <v>1195</v>
      </c>
      <c r="B586" s="6" t="s">
        <v>2227</v>
      </c>
      <c r="C586" s="6" t="s">
        <v>1196</v>
      </c>
      <c r="D586" s="6" t="s">
        <v>1375</v>
      </c>
      <c r="E586" s="6" t="s">
        <v>11</v>
      </c>
      <c r="F586" s="7" t="n">
        <v>0.5</v>
      </c>
      <c r="G586" s="6" t="s">
        <v>13</v>
      </c>
      <c r="H586" s="6" t="s">
        <v>215</v>
      </c>
      <c r="I586" s="6" t="s">
        <v>1193</v>
      </c>
      <c r="J586" s="6" t="s">
        <v>114</v>
      </c>
    </row>
    <row r="587" customFormat="false" ht="23.85" hidden="false" customHeight="false" outlineLevel="0" collapsed="false">
      <c r="A587" s="6" t="s">
        <v>1546</v>
      </c>
      <c r="B587" s="6" t="s">
        <v>1547</v>
      </c>
      <c r="C587" s="6" t="s">
        <v>133</v>
      </c>
      <c r="D587" s="6" t="s">
        <v>1375</v>
      </c>
      <c r="E587" s="6" t="s">
        <v>11</v>
      </c>
      <c r="F587" s="7" t="n">
        <v>0.5</v>
      </c>
      <c r="G587" s="6" t="s">
        <v>33</v>
      </c>
      <c r="H587" s="6" t="s">
        <v>81</v>
      </c>
      <c r="I587" s="6" t="s">
        <v>1197</v>
      </c>
      <c r="J587" s="6" t="s">
        <v>103</v>
      </c>
    </row>
    <row r="588" customFormat="false" ht="23.85" hidden="false" customHeight="false" outlineLevel="0" collapsed="false">
      <c r="A588" s="6" t="s">
        <v>1822</v>
      </c>
      <c r="B588" s="6" t="s">
        <v>1542</v>
      </c>
      <c r="C588" s="6" t="s">
        <v>2228</v>
      </c>
      <c r="D588" s="6" t="s">
        <v>1375</v>
      </c>
      <c r="E588" s="6" t="s">
        <v>11</v>
      </c>
      <c r="F588" s="7" t="n">
        <v>0.5</v>
      </c>
      <c r="G588" s="6" t="s">
        <v>33</v>
      </c>
      <c r="H588" s="6" t="s">
        <v>81</v>
      </c>
      <c r="I588" s="6" t="s">
        <v>1197</v>
      </c>
      <c r="J588" s="6" t="s">
        <v>103</v>
      </c>
    </row>
    <row r="589" customFormat="false" ht="15" hidden="false" customHeight="false" outlineLevel="0" collapsed="false">
      <c r="A589" s="6" t="s">
        <v>1203</v>
      </c>
      <c r="B589" s="6" t="s">
        <v>2229</v>
      </c>
      <c r="C589" s="6" t="s">
        <v>1204</v>
      </c>
      <c r="D589" s="6" t="s">
        <v>1375</v>
      </c>
      <c r="E589" s="6" t="s">
        <v>11</v>
      </c>
      <c r="F589" s="7" t="n">
        <v>0.5</v>
      </c>
      <c r="G589" s="6" t="s">
        <v>16</v>
      </c>
      <c r="H589" s="6" t="s">
        <v>81</v>
      </c>
      <c r="I589" s="6" t="s">
        <v>1201</v>
      </c>
      <c r="J589" s="6" t="s">
        <v>92</v>
      </c>
    </row>
    <row r="590" customFormat="false" ht="23.85" hidden="false" customHeight="false" outlineLevel="0" collapsed="false">
      <c r="A590" s="6" t="s">
        <v>1208</v>
      </c>
      <c r="B590" s="6" t="s">
        <v>2230</v>
      </c>
      <c r="C590" s="6" t="s">
        <v>1209</v>
      </c>
      <c r="D590" s="6" t="s">
        <v>1375</v>
      </c>
      <c r="E590" s="6" t="s">
        <v>11</v>
      </c>
      <c r="F590" s="7" t="n">
        <v>0.506944444444444</v>
      </c>
      <c r="G590" s="6" t="s">
        <v>36</v>
      </c>
      <c r="H590" s="6" t="s">
        <v>156</v>
      </c>
      <c r="I590" s="6" t="s">
        <v>1206</v>
      </c>
      <c r="J590" s="6" t="s">
        <v>36</v>
      </c>
    </row>
    <row r="591" customFormat="false" ht="15" hidden="false" customHeight="false" outlineLevel="0" collapsed="false">
      <c r="A591" s="6" t="s">
        <v>1212</v>
      </c>
      <c r="B591" s="6" t="s">
        <v>2231</v>
      </c>
      <c r="C591" s="6" t="s">
        <v>1213</v>
      </c>
      <c r="D591" s="6" t="s">
        <v>1375</v>
      </c>
      <c r="E591" s="6" t="s">
        <v>11</v>
      </c>
      <c r="F591" s="7" t="n">
        <v>0.510416666666667</v>
      </c>
      <c r="G591" s="6" t="s">
        <v>13</v>
      </c>
      <c r="H591" s="6" t="s">
        <v>81</v>
      </c>
      <c r="I591" s="6" t="s">
        <v>1210</v>
      </c>
      <c r="J591" s="6" t="s">
        <v>114</v>
      </c>
    </row>
    <row r="592" customFormat="false" ht="23.85" hidden="false" customHeight="false" outlineLevel="0" collapsed="false">
      <c r="A592" s="6" t="s">
        <v>2232</v>
      </c>
      <c r="B592" s="6" t="s">
        <v>2233</v>
      </c>
      <c r="C592" s="6" t="s">
        <v>2234</v>
      </c>
      <c r="D592" s="6" t="s">
        <v>1375</v>
      </c>
      <c r="E592" s="6" t="s">
        <v>11</v>
      </c>
      <c r="F592" s="7" t="n">
        <v>0.510416666666667</v>
      </c>
      <c r="G592" s="6" t="s">
        <v>16</v>
      </c>
      <c r="H592" s="6" t="s">
        <v>134</v>
      </c>
      <c r="I592" s="6" t="s">
        <v>1214</v>
      </c>
      <c r="J592" s="6" t="s">
        <v>92</v>
      </c>
    </row>
    <row r="593" customFormat="false" ht="23.85" hidden="false" customHeight="false" outlineLevel="0" collapsed="false">
      <c r="A593" s="6" t="s">
        <v>2235</v>
      </c>
      <c r="B593" s="6" t="s">
        <v>2236</v>
      </c>
      <c r="C593" s="6" t="s">
        <v>2237</v>
      </c>
      <c r="D593" s="6" t="s">
        <v>1375</v>
      </c>
      <c r="E593" s="6" t="s">
        <v>11</v>
      </c>
      <c r="F593" s="7" t="n">
        <v>0.510416666666667</v>
      </c>
      <c r="G593" s="6" t="s">
        <v>16</v>
      </c>
      <c r="H593" s="6" t="s">
        <v>134</v>
      </c>
      <c r="I593" s="6" t="s">
        <v>1214</v>
      </c>
      <c r="J593" s="6" t="s">
        <v>92</v>
      </c>
    </row>
    <row r="594" customFormat="false" ht="23.85" hidden="false" customHeight="false" outlineLevel="0" collapsed="false">
      <c r="A594" s="6" t="s">
        <v>2238</v>
      </c>
      <c r="B594" s="6" t="s">
        <v>2239</v>
      </c>
      <c r="C594" s="6" t="s">
        <v>2240</v>
      </c>
      <c r="D594" s="6" t="s">
        <v>1375</v>
      </c>
      <c r="E594" s="6" t="s">
        <v>11</v>
      </c>
      <c r="F594" s="7" t="n">
        <v>0.510416666666667</v>
      </c>
      <c r="G594" s="6" t="s">
        <v>16</v>
      </c>
      <c r="H594" s="6" t="s">
        <v>134</v>
      </c>
      <c r="I594" s="6" t="s">
        <v>1214</v>
      </c>
      <c r="J594" s="6" t="s">
        <v>92</v>
      </c>
    </row>
    <row r="595" customFormat="false" ht="23.85" hidden="false" customHeight="false" outlineLevel="0" collapsed="false">
      <c r="A595" s="6" t="s">
        <v>2241</v>
      </c>
      <c r="B595" s="6" t="s">
        <v>2242</v>
      </c>
      <c r="C595" s="6" t="s">
        <v>1456</v>
      </c>
      <c r="D595" s="6" t="s">
        <v>1375</v>
      </c>
      <c r="E595" s="6" t="s">
        <v>11</v>
      </c>
      <c r="F595" s="7" t="n">
        <v>0.510416666666667</v>
      </c>
      <c r="G595" s="6" t="s">
        <v>33</v>
      </c>
      <c r="H595" s="6" t="s">
        <v>67</v>
      </c>
      <c r="I595" s="6" t="s">
        <v>1219</v>
      </c>
      <c r="J595" s="6" t="s">
        <v>103</v>
      </c>
    </row>
    <row r="596" customFormat="false" ht="23.85" hidden="false" customHeight="false" outlineLevel="0" collapsed="false">
      <c r="A596" s="6" t="s">
        <v>1766</v>
      </c>
      <c r="B596" s="6" t="s">
        <v>1675</v>
      </c>
      <c r="C596" s="6" t="s">
        <v>1767</v>
      </c>
      <c r="D596" s="6" t="s">
        <v>1375</v>
      </c>
      <c r="E596" s="6" t="s">
        <v>11</v>
      </c>
      <c r="F596" s="7" t="n">
        <v>0.510416666666667</v>
      </c>
      <c r="G596" s="6" t="s">
        <v>33</v>
      </c>
      <c r="H596" s="6" t="s">
        <v>67</v>
      </c>
      <c r="I596" s="6" t="s">
        <v>1219</v>
      </c>
      <c r="J596" s="6" t="s">
        <v>103</v>
      </c>
    </row>
    <row r="597" customFormat="false" ht="23.85" hidden="false" customHeight="false" outlineLevel="0" collapsed="false">
      <c r="A597" s="6" t="s">
        <v>1226</v>
      </c>
      <c r="B597" s="6" t="s">
        <v>2243</v>
      </c>
      <c r="C597" s="6" t="s">
        <v>1227</v>
      </c>
      <c r="D597" s="6" t="s">
        <v>1375</v>
      </c>
      <c r="E597" s="6" t="s">
        <v>11</v>
      </c>
      <c r="F597" s="7" t="n">
        <v>0.510416666666667</v>
      </c>
      <c r="G597" s="6" t="s">
        <v>23</v>
      </c>
      <c r="H597" s="6" t="s">
        <v>215</v>
      </c>
      <c r="I597" s="6" t="s">
        <v>1224</v>
      </c>
      <c r="J597" s="6" t="s">
        <v>732</v>
      </c>
    </row>
    <row r="598" customFormat="false" ht="23.85" hidden="false" customHeight="false" outlineLevel="0" collapsed="false">
      <c r="A598" s="6" t="s">
        <v>1230</v>
      </c>
      <c r="B598" s="6" t="s">
        <v>2244</v>
      </c>
      <c r="C598" s="6" t="s">
        <v>1231</v>
      </c>
      <c r="D598" s="6" t="s">
        <v>1375</v>
      </c>
      <c r="E598" s="6" t="s">
        <v>11</v>
      </c>
      <c r="F598" s="7" t="n">
        <v>0.510416666666667</v>
      </c>
      <c r="G598" s="6" t="s">
        <v>15</v>
      </c>
      <c r="H598" s="6" t="s">
        <v>81</v>
      </c>
      <c r="I598" s="6" t="s">
        <v>1228</v>
      </c>
      <c r="J598" s="6" t="s">
        <v>64</v>
      </c>
    </row>
    <row r="599" customFormat="false" ht="15" hidden="false" customHeight="false" outlineLevel="0" collapsed="false">
      <c r="A599" s="6" t="s">
        <v>2245</v>
      </c>
      <c r="B599" s="6" t="s">
        <v>2246</v>
      </c>
      <c r="C599" s="6" t="s">
        <v>2247</v>
      </c>
      <c r="D599" s="6" t="s">
        <v>1375</v>
      </c>
      <c r="E599" s="6" t="s">
        <v>11</v>
      </c>
      <c r="F599" s="7" t="n">
        <v>0.510416666666667</v>
      </c>
      <c r="G599" s="6" t="s">
        <v>29</v>
      </c>
      <c r="H599" s="6" t="s">
        <v>81</v>
      </c>
      <c r="I599" s="6" t="s">
        <v>1232</v>
      </c>
      <c r="J599" s="6" t="s">
        <v>255</v>
      </c>
    </row>
    <row r="600" customFormat="false" ht="15" hidden="false" customHeight="false" outlineLevel="0" collapsed="false">
      <c r="A600" s="6" t="s">
        <v>2248</v>
      </c>
      <c r="B600" s="6" t="s">
        <v>1729</v>
      </c>
      <c r="C600" s="6" t="s">
        <v>2249</v>
      </c>
      <c r="D600" s="6" t="s">
        <v>1375</v>
      </c>
      <c r="E600" s="6" t="s">
        <v>11</v>
      </c>
      <c r="F600" s="7" t="n">
        <v>0.510416666666667</v>
      </c>
      <c r="G600" s="6" t="s">
        <v>29</v>
      </c>
      <c r="H600" s="6" t="s">
        <v>81</v>
      </c>
      <c r="I600" s="6" t="s">
        <v>1232</v>
      </c>
      <c r="J600" s="6" t="s">
        <v>255</v>
      </c>
    </row>
    <row r="601" customFormat="false" ht="15" hidden="false" customHeight="false" outlineLevel="0" collapsed="false">
      <c r="A601" s="6" t="s">
        <v>1239</v>
      </c>
      <c r="B601" s="6" t="s">
        <v>2250</v>
      </c>
      <c r="C601" s="6" t="s">
        <v>1240</v>
      </c>
      <c r="D601" s="6" t="s">
        <v>1375</v>
      </c>
      <c r="E601" s="6" t="s">
        <v>11</v>
      </c>
      <c r="F601" s="7" t="n">
        <v>0.513888888888889</v>
      </c>
      <c r="G601" s="6" t="s">
        <v>36</v>
      </c>
      <c r="H601" s="6" t="s">
        <v>156</v>
      </c>
      <c r="I601" s="6" t="s">
        <v>1237</v>
      </c>
      <c r="J601" s="6" t="s">
        <v>36</v>
      </c>
    </row>
    <row r="602" customFormat="false" ht="23.85" hidden="false" customHeight="false" outlineLevel="0" collapsed="false">
      <c r="A602" s="6" t="s">
        <v>2251</v>
      </c>
      <c r="B602" s="6" t="s">
        <v>2252</v>
      </c>
      <c r="C602" s="6" t="s">
        <v>2253</v>
      </c>
      <c r="D602" s="6" t="s">
        <v>1375</v>
      </c>
      <c r="E602" s="6" t="s">
        <v>11</v>
      </c>
      <c r="F602" s="7" t="n">
        <v>0.520833333333333</v>
      </c>
      <c r="G602" s="6" t="s">
        <v>23</v>
      </c>
      <c r="H602" s="6" t="s">
        <v>134</v>
      </c>
      <c r="I602" s="6" t="s">
        <v>1241</v>
      </c>
      <c r="J602" s="6" t="s">
        <v>732</v>
      </c>
    </row>
    <row r="603" customFormat="false" ht="23.85" hidden="false" customHeight="false" outlineLevel="0" collapsed="false">
      <c r="A603" s="6" t="s">
        <v>2254</v>
      </c>
      <c r="B603" s="6" t="s">
        <v>2255</v>
      </c>
      <c r="C603" s="6" t="s">
        <v>1053</v>
      </c>
      <c r="D603" s="6" t="s">
        <v>1375</v>
      </c>
      <c r="E603" s="6" t="s">
        <v>11</v>
      </c>
      <c r="F603" s="7" t="n">
        <v>0.520833333333333</v>
      </c>
      <c r="G603" s="6" t="s">
        <v>23</v>
      </c>
      <c r="H603" s="6" t="s">
        <v>134</v>
      </c>
      <c r="I603" s="6" t="s">
        <v>1241</v>
      </c>
      <c r="J603" s="6" t="s">
        <v>732</v>
      </c>
    </row>
    <row r="604" customFormat="false" ht="23.85" hidden="false" customHeight="false" outlineLevel="0" collapsed="false">
      <c r="A604" s="6" t="s">
        <v>2256</v>
      </c>
      <c r="B604" s="6" t="s">
        <v>2257</v>
      </c>
      <c r="C604" s="6" t="s">
        <v>423</v>
      </c>
      <c r="D604" s="6" t="s">
        <v>1375</v>
      </c>
      <c r="E604" s="6" t="s">
        <v>11</v>
      </c>
      <c r="F604" s="7" t="n">
        <v>0.520833333333333</v>
      </c>
      <c r="G604" s="6" t="s">
        <v>23</v>
      </c>
      <c r="H604" s="6" t="s">
        <v>134</v>
      </c>
      <c r="I604" s="6" t="s">
        <v>1241</v>
      </c>
      <c r="J604" s="6" t="s">
        <v>732</v>
      </c>
    </row>
    <row r="605" customFormat="false" ht="23.85" hidden="false" customHeight="false" outlineLevel="0" collapsed="false">
      <c r="A605" s="6" t="s">
        <v>2036</v>
      </c>
      <c r="B605" s="6" t="s">
        <v>2037</v>
      </c>
      <c r="C605" s="6" t="s">
        <v>1192</v>
      </c>
      <c r="D605" s="6" t="s">
        <v>1375</v>
      </c>
      <c r="E605" s="6" t="s">
        <v>11</v>
      </c>
      <c r="F605" s="7" t="n">
        <v>0.520833333333333</v>
      </c>
      <c r="G605" s="6" t="s">
        <v>33</v>
      </c>
      <c r="H605" s="6" t="s">
        <v>134</v>
      </c>
      <c r="I605" s="6" t="s">
        <v>1246</v>
      </c>
      <c r="J605" s="6" t="s">
        <v>103</v>
      </c>
    </row>
    <row r="606" customFormat="false" ht="23.85" hidden="false" customHeight="false" outlineLevel="0" collapsed="false">
      <c r="A606" s="6" t="s">
        <v>2155</v>
      </c>
      <c r="B606" s="6" t="s">
        <v>2156</v>
      </c>
      <c r="C606" s="6" t="s">
        <v>492</v>
      </c>
      <c r="D606" s="6" t="s">
        <v>1375</v>
      </c>
      <c r="E606" s="6" t="s">
        <v>11</v>
      </c>
      <c r="F606" s="7" t="n">
        <v>0.520833333333333</v>
      </c>
      <c r="G606" s="6" t="s">
        <v>33</v>
      </c>
      <c r="H606" s="6" t="s">
        <v>134</v>
      </c>
      <c r="I606" s="6" t="s">
        <v>1246</v>
      </c>
      <c r="J606" s="6" t="s">
        <v>103</v>
      </c>
    </row>
    <row r="607" customFormat="false" ht="23.85" hidden="false" customHeight="false" outlineLevel="0" collapsed="false">
      <c r="A607" s="6" t="s">
        <v>2258</v>
      </c>
      <c r="B607" s="6" t="s">
        <v>2135</v>
      </c>
      <c r="C607" s="6" t="s">
        <v>2259</v>
      </c>
      <c r="D607" s="6" t="s">
        <v>1375</v>
      </c>
      <c r="E607" s="6" t="s">
        <v>11</v>
      </c>
      <c r="F607" s="7" t="n">
        <v>0.520833333333333</v>
      </c>
      <c r="G607" s="6" t="s">
        <v>33</v>
      </c>
      <c r="H607" s="6" t="s">
        <v>134</v>
      </c>
      <c r="I607" s="6" t="s">
        <v>1246</v>
      </c>
      <c r="J607" s="6" t="s">
        <v>103</v>
      </c>
    </row>
    <row r="608" customFormat="false" ht="23.85" hidden="false" customHeight="false" outlineLevel="0" collapsed="false">
      <c r="A608" s="6" t="s">
        <v>2009</v>
      </c>
      <c r="B608" s="6" t="s">
        <v>2010</v>
      </c>
      <c r="C608" s="6" t="s">
        <v>2011</v>
      </c>
      <c r="D608" s="6" t="s">
        <v>1375</v>
      </c>
      <c r="E608" s="6" t="s">
        <v>11</v>
      </c>
      <c r="F608" s="7" t="n">
        <v>0.520833333333333</v>
      </c>
      <c r="G608" s="6" t="s">
        <v>15</v>
      </c>
      <c r="H608" s="6" t="s">
        <v>134</v>
      </c>
      <c r="I608" s="6" t="s">
        <v>1251</v>
      </c>
      <c r="J608" s="6" t="s">
        <v>64</v>
      </c>
    </row>
    <row r="609" customFormat="false" ht="23.85" hidden="false" customHeight="false" outlineLevel="0" collapsed="false">
      <c r="A609" s="6" t="s">
        <v>2223</v>
      </c>
      <c r="B609" s="6" t="s">
        <v>2224</v>
      </c>
      <c r="C609" s="6" t="s">
        <v>2225</v>
      </c>
      <c r="D609" s="6" t="s">
        <v>1375</v>
      </c>
      <c r="E609" s="6" t="s">
        <v>11</v>
      </c>
      <c r="F609" s="7" t="n">
        <v>0.520833333333333</v>
      </c>
      <c r="G609" s="6" t="s">
        <v>15</v>
      </c>
      <c r="H609" s="6" t="s">
        <v>134</v>
      </c>
      <c r="I609" s="6" t="s">
        <v>1251</v>
      </c>
      <c r="J609" s="6" t="s">
        <v>64</v>
      </c>
    </row>
    <row r="610" customFormat="false" ht="23.85" hidden="false" customHeight="false" outlineLevel="0" collapsed="false">
      <c r="A610" s="6" t="s">
        <v>2260</v>
      </c>
      <c r="B610" s="6" t="s">
        <v>1979</v>
      </c>
      <c r="C610" s="6" t="s">
        <v>2198</v>
      </c>
      <c r="D610" s="6" t="s">
        <v>1375</v>
      </c>
      <c r="E610" s="6" t="s">
        <v>11</v>
      </c>
      <c r="F610" s="7" t="n">
        <v>0.520833333333333</v>
      </c>
      <c r="G610" s="6" t="s">
        <v>15</v>
      </c>
      <c r="H610" s="6" t="s">
        <v>134</v>
      </c>
      <c r="I610" s="6" t="s">
        <v>1251</v>
      </c>
      <c r="J610" s="6" t="s">
        <v>64</v>
      </c>
    </row>
    <row r="611" customFormat="false" ht="23.85" hidden="false" customHeight="false" outlineLevel="0" collapsed="false">
      <c r="A611" s="6" t="s">
        <v>1191</v>
      </c>
      <c r="B611" s="6" t="s">
        <v>2226</v>
      </c>
      <c r="C611" s="6" t="s">
        <v>1192</v>
      </c>
      <c r="D611" s="6" t="s">
        <v>1375</v>
      </c>
      <c r="E611" s="6" t="s">
        <v>11</v>
      </c>
      <c r="F611" s="7" t="n">
        <v>0.520833333333333</v>
      </c>
      <c r="G611" s="6" t="s">
        <v>29</v>
      </c>
      <c r="H611" s="6" t="s">
        <v>215</v>
      </c>
      <c r="I611" s="6" t="s">
        <v>1256</v>
      </c>
      <c r="J611" s="6" t="s">
        <v>255</v>
      </c>
    </row>
    <row r="612" customFormat="false" ht="23.85" hidden="false" customHeight="false" outlineLevel="0" collapsed="false">
      <c r="A612" s="6" t="s">
        <v>2261</v>
      </c>
      <c r="B612" s="6" t="s">
        <v>2262</v>
      </c>
      <c r="C612" s="6" t="s">
        <v>388</v>
      </c>
      <c r="D612" s="6" t="s">
        <v>1375</v>
      </c>
      <c r="E612" s="6" t="s">
        <v>11</v>
      </c>
      <c r="F612" s="7" t="n">
        <v>0.520833333333333</v>
      </c>
      <c r="G612" s="6" t="s">
        <v>29</v>
      </c>
      <c r="H612" s="6" t="s">
        <v>215</v>
      </c>
      <c r="I612" s="6" t="s">
        <v>1256</v>
      </c>
      <c r="J612" s="6" t="s">
        <v>255</v>
      </c>
    </row>
    <row r="613" customFormat="false" ht="23.85" hidden="false" customHeight="false" outlineLevel="0" collapsed="false">
      <c r="A613" s="6" t="s">
        <v>2004</v>
      </c>
      <c r="B613" s="6" t="s">
        <v>2005</v>
      </c>
      <c r="C613" s="6" t="s">
        <v>2006</v>
      </c>
      <c r="D613" s="6" t="s">
        <v>1375</v>
      </c>
      <c r="E613" s="6" t="s">
        <v>11</v>
      </c>
      <c r="F613" s="7" t="n">
        <v>0.520833333333333</v>
      </c>
      <c r="G613" s="6" t="s">
        <v>29</v>
      </c>
      <c r="H613" s="6" t="s">
        <v>215</v>
      </c>
      <c r="I613" s="6" t="s">
        <v>1256</v>
      </c>
      <c r="J613" s="6" t="s">
        <v>255</v>
      </c>
    </row>
    <row r="614" customFormat="false" ht="23.85" hidden="false" customHeight="false" outlineLevel="0" collapsed="false">
      <c r="A614" s="6" t="s">
        <v>1582</v>
      </c>
      <c r="B614" s="6" t="s">
        <v>1542</v>
      </c>
      <c r="C614" s="6" t="s">
        <v>79</v>
      </c>
      <c r="D614" s="6" t="s">
        <v>1375</v>
      </c>
      <c r="E614" s="6" t="s">
        <v>11</v>
      </c>
      <c r="F614" s="7" t="n">
        <v>0.520833333333333</v>
      </c>
      <c r="G614" s="6" t="s">
        <v>13</v>
      </c>
      <c r="H614" s="6" t="s">
        <v>81</v>
      </c>
      <c r="I614" s="6" t="s">
        <v>1261</v>
      </c>
      <c r="J614" s="6" t="s">
        <v>114</v>
      </c>
    </row>
    <row r="615" customFormat="false" ht="23.85" hidden="false" customHeight="false" outlineLevel="0" collapsed="false">
      <c r="A615" s="6" t="s">
        <v>2263</v>
      </c>
      <c r="B615" s="6" t="s">
        <v>2264</v>
      </c>
      <c r="C615" s="6" t="s">
        <v>1653</v>
      </c>
      <c r="D615" s="6" t="s">
        <v>1375</v>
      </c>
      <c r="E615" s="6" t="s">
        <v>11</v>
      </c>
      <c r="F615" s="7" t="n">
        <v>0.520833333333333</v>
      </c>
      <c r="G615" s="6" t="s">
        <v>13</v>
      </c>
      <c r="H615" s="6" t="s">
        <v>81</v>
      </c>
      <c r="I615" s="6" t="s">
        <v>1261</v>
      </c>
      <c r="J615" s="6" t="s">
        <v>114</v>
      </c>
    </row>
    <row r="616" customFormat="false" ht="15" hidden="false" customHeight="false" outlineLevel="0" collapsed="false">
      <c r="A616" s="6" t="s">
        <v>1268</v>
      </c>
      <c r="B616" s="6" t="s">
        <v>2265</v>
      </c>
      <c r="C616" s="6" t="s">
        <v>1269</v>
      </c>
      <c r="D616" s="6" t="s">
        <v>1375</v>
      </c>
      <c r="E616" s="6" t="s">
        <v>11</v>
      </c>
      <c r="F616" s="7" t="n">
        <v>0.520833333333333</v>
      </c>
      <c r="G616" s="6" t="s">
        <v>36</v>
      </c>
      <c r="H616" s="6" t="s">
        <v>156</v>
      </c>
      <c r="I616" s="6" t="s">
        <v>1266</v>
      </c>
      <c r="J616" s="6" t="s">
        <v>36</v>
      </c>
    </row>
    <row r="617" customFormat="false" ht="15" hidden="false" customHeight="false" outlineLevel="0" collapsed="false">
      <c r="A617" s="6" t="s">
        <v>1272</v>
      </c>
      <c r="B617" s="6" t="s">
        <v>2265</v>
      </c>
      <c r="C617" s="6" t="s">
        <v>1273</v>
      </c>
      <c r="D617" s="6" t="s">
        <v>1375</v>
      </c>
      <c r="E617" s="6" t="s">
        <v>11</v>
      </c>
      <c r="F617" s="7" t="n">
        <v>0.527777777777778</v>
      </c>
      <c r="G617" s="6" t="s">
        <v>36</v>
      </c>
      <c r="H617" s="6" t="s">
        <v>156</v>
      </c>
      <c r="I617" s="6" t="s">
        <v>1270</v>
      </c>
      <c r="J617" s="6" t="s">
        <v>36</v>
      </c>
    </row>
    <row r="618" customFormat="false" ht="23.85" hidden="false" customHeight="false" outlineLevel="0" collapsed="false">
      <c r="A618" s="6" t="s">
        <v>2266</v>
      </c>
      <c r="B618" s="6" t="s">
        <v>2267</v>
      </c>
      <c r="C618" s="6" t="s">
        <v>2268</v>
      </c>
      <c r="D618" s="6" t="s">
        <v>1375</v>
      </c>
      <c r="E618" s="6" t="s">
        <v>11</v>
      </c>
      <c r="F618" s="7" t="n">
        <v>0.53125</v>
      </c>
      <c r="G618" s="6" t="s">
        <v>13</v>
      </c>
      <c r="H618" s="6" t="s">
        <v>134</v>
      </c>
      <c r="I618" s="6" t="s">
        <v>1274</v>
      </c>
      <c r="J618" s="6" t="s">
        <v>114</v>
      </c>
    </row>
    <row r="619" customFormat="false" ht="23.85" hidden="false" customHeight="false" outlineLevel="0" collapsed="false">
      <c r="A619" s="6" t="s">
        <v>2269</v>
      </c>
      <c r="B619" s="6" t="s">
        <v>2270</v>
      </c>
      <c r="C619" s="6" t="s">
        <v>79</v>
      </c>
      <c r="D619" s="6" t="s">
        <v>1375</v>
      </c>
      <c r="E619" s="6" t="s">
        <v>11</v>
      </c>
      <c r="F619" s="7" t="n">
        <v>0.53125</v>
      </c>
      <c r="G619" s="6" t="s">
        <v>13</v>
      </c>
      <c r="H619" s="6" t="s">
        <v>134</v>
      </c>
      <c r="I619" s="6" t="s">
        <v>1274</v>
      </c>
      <c r="J619" s="6" t="s">
        <v>114</v>
      </c>
    </row>
    <row r="620" customFormat="false" ht="23.85" hidden="false" customHeight="false" outlineLevel="0" collapsed="false">
      <c r="A620" s="6" t="s">
        <v>2271</v>
      </c>
      <c r="B620" s="6" t="s">
        <v>2272</v>
      </c>
      <c r="C620" s="6" t="s">
        <v>1588</v>
      </c>
      <c r="D620" s="6" t="s">
        <v>1375</v>
      </c>
      <c r="E620" s="6" t="s">
        <v>11</v>
      </c>
      <c r="F620" s="7" t="n">
        <v>0.53125</v>
      </c>
      <c r="G620" s="6" t="s">
        <v>13</v>
      </c>
      <c r="H620" s="6" t="s">
        <v>134</v>
      </c>
      <c r="I620" s="6" t="s">
        <v>1274</v>
      </c>
      <c r="J620" s="6" t="s">
        <v>114</v>
      </c>
    </row>
    <row r="621" customFormat="false" ht="15" hidden="false" customHeight="false" outlineLevel="0" collapsed="false">
      <c r="A621" s="6" t="s">
        <v>1281</v>
      </c>
      <c r="B621" s="6" t="s">
        <v>2273</v>
      </c>
      <c r="C621" s="6" t="s">
        <v>1282</v>
      </c>
      <c r="D621" s="6" t="s">
        <v>1375</v>
      </c>
      <c r="E621" s="6" t="s">
        <v>11</v>
      </c>
      <c r="F621" s="7" t="n">
        <v>0.534722222222222</v>
      </c>
      <c r="G621" s="6" t="s">
        <v>36</v>
      </c>
      <c r="H621" s="6" t="s">
        <v>156</v>
      </c>
      <c r="I621" s="6" t="s">
        <v>1279</v>
      </c>
      <c r="J621" s="6" t="s">
        <v>36</v>
      </c>
    </row>
    <row r="622" customFormat="false" ht="15" hidden="false" customHeight="false" outlineLevel="0" collapsed="false">
      <c r="A622" s="6" t="s">
        <v>1285</v>
      </c>
      <c r="B622" s="6" t="s">
        <v>1802</v>
      </c>
      <c r="C622" s="6" t="s">
        <v>1286</v>
      </c>
      <c r="D622" s="6" t="s">
        <v>1375</v>
      </c>
      <c r="E622" s="6" t="s">
        <v>11</v>
      </c>
      <c r="F622" s="7" t="n">
        <v>0.541666666666667</v>
      </c>
      <c r="G622" s="6" t="s">
        <v>36</v>
      </c>
      <c r="H622" s="6" t="s">
        <v>156</v>
      </c>
      <c r="I622" s="6" t="s">
        <v>1283</v>
      </c>
      <c r="J622" s="6" t="s">
        <v>36</v>
      </c>
    </row>
    <row r="623" customFormat="false" ht="15" hidden="false" customHeight="false" outlineLevel="0" collapsed="false">
      <c r="A623" s="6" t="s">
        <v>1289</v>
      </c>
      <c r="B623" s="6" t="s">
        <v>1500</v>
      </c>
      <c r="C623" s="6" t="s">
        <v>1290</v>
      </c>
      <c r="D623" s="6" t="s">
        <v>1375</v>
      </c>
      <c r="E623" s="6" t="s">
        <v>11</v>
      </c>
      <c r="F623" s="7" t="n">
        <v>0.548611111111111</v>
      </c>
      <c r="G623" s="6" t="s">
        <v>36</v>
      </c>
      <c r="H623" s="6" t="s">
        <v>156</v>
      </c>
      <c r="I623" s="6" t="s">
        <v>1287</v>
      </c>
      <c r="J623" s="6" t="s">
        <v>36</v>
      </c>
    </row>
    <row r="624" customFormat="false" ht="23.85" hidden="false" customHeight="false" outlineLevel="0" collapsed="false">
      <c r="A624" s="6" t="s">
        <v>2274</v>
      </c>
      <c r="B624" s="6"/>
      <c r="C624" s="6"/>
      <c r="D624" s="6" t="s">
        <v>210</v>
      </c>
      <c r="E624" s="6" t="s">
        <v>11</v>
      </c>
      <c r="F624" s="7" t="n">
        <v>0.552083333333333</v>
      </c>
      <c r="G624" s="6" t="s">
        <v>39</v>
      </c>
      <c r="H624" s="6" t="s">
        <v>39</v>
      </c>
      <c r="I624" s="6" t="s">
        <v>1291</v>
      </c>
      <c r="J624" s="6" t="s">
        <v>103</v>
      </c>
    </row>
    <row r="625" customFormat="false" ht="23.85" hidden="false" customHeight="false" outlineLevel="0" collapsed="false">
      <c r="A625" s="6" t="s">
        <v>2275</v>
      </c>
      <c r="B625" s="6"/>
      <c r="C625" s="6"/>
      <c r="D625" s="6" t="s">
        <v>210</v>
      </c>
      <c r="E625" s="6" t="s">
        <v>11</v>
      </c>
      <c r="F625" s="7" t="n">
        <v>0.552083333333333</v>
      </c>
      <c r="G625" s="6" t="s">
        <v>39</v>
      </c>
      <c r="H625" s="6" t="s">
        <v>39</v>
      </c>
      <c r="I625" s="6" t="s">
        <v>1291</v>
      </c>
      <c r="J625" s="6" t="s">
        <v>103</v>
      </c>
    </row>
    <row r="626" customFormat="false" ht="23.85" hidden="false" customHeight="false" outlineLevel="0" collapsed="false">
      <c r="A626" s="6" t="s">
        <v>2276</v>
      </c>
      <c r="B626" s="6"/>
      <c r="C626" s="6"/>
      <c r="D626" s="6" t="s">
        <v>210</v>
      </c>
      <c r="E626" s="6" t="s">
        <v>11</v>
      </c>
      <c r="F626" s="7" t="n">
        <v>0.552083333333333</v>
      </c>
      <c r="G626" s="6" t="s">
        <v>39</v>
      </c>
      <c r="H626" s="6" t="s">
        <v>39</v>
      </c>
      <c r="I626" s="6" t="s">
        <v>1291</v>
      </c>
      <c r="J626" s="6" t="s">
        <v>103</v>
      </c>
    </row>
    <row r="627" customFormat="false" ht="23.85" hidden="false" customHeight="false" outlineLevel="0" collapsed="false">
      <c r="A627" s="6" t="s">
        <v>2277</v>
      </c>
      <c r="B627" s="6"/>
      <c r="C627" s="6"/>
      <c r="D627" s="6" t="s">
        <v>210</v>
      </c>
      <c r="E627" s="6" t="s">
        <v>11</v>
      </c>
      <c r="F627" s="7" t="n">
        <v>0.552083333333333</v>
      </c>
      <c r="G627" s="6" t="s">
        <v>39</v>
      </c>
      <c r="H627" s="6" t="s">
        <v>39</v>
      </c>
      <c r="I627" s="6" t="s">
        <v>1291</v>
      </c>
      <c r="J627" s="6" t="s">
        <v>103</v>
      </c>
    </row>
    <row r="628" customFormat="false" ht="23.85" hidden="false" customHeight="false" outlineLevel="0" collapsed="false">
      <c r="A628" s="6" t="s">
        <v>2278</v>
      </c>
      <c r="B628" s="6"/>
      <c r="C628" s="6"/>
      <c r="D628" s="6" t="s">
        <v>210</v>
      </c>
      <c r="E628" s="6" t="s">
        <v>11</v>
      </c>
      <c r="F628" s="7" t="n">
        <v>0.552083333333333</v>
      </c>
      <c r="G628" s="6" t="s">
        <v>39</v>
      </c>
      <c r="H628" s="6" t="s">
        <v>39</v>
      </c>
      <c r="I628" s="6" t="s">
        <v>1291</v>
      </c>
      <c r="J628" s="6" t="s">
        <v>103</v>
      </c>
    </row>
    <row r="629" customFormat="false" ht="23.85" hidden="false" customHeight="false" outlineLevel="0" collapsed="false">
      <c r="A629" s="6" t="s">
        <v>2279</v>
      </c>
      <c r="B629" s="6"/>
      <c r="C629" s="6"/>
      <c r="D629" s="6" t="s">
        <v>210</v>
      </c>
      <c r="E629" s="6" t="s">
        <v>11</v>
      </c>
      <c r="F629" s="7" t="n">
        <v>0.552083333333333</v>
      </c>
      <c r="G629" s="6" t="s">
        <v>39</v>
      </c>
      <c r="H629" s="6" t="s">
        <v>39</v>
      </c>
      <c r="I629" s="6" t="s">
        <v>1291</v>
      </c>
      <c r="J629" s="6" t="s">
        <v>103</v>
      </c>
    </row>
    <row r="630" customFormat="false" ht="15" hidden="false" customHeight="false" outlineLevel="0" collapsed="false">
      <c r="A630" s="6" t="s">
        <v>1297</v>
      </c>
      <c r="B630" s="6" t="s">
        <v>1676</v>
      </c>
      <c r="C630" s="6" t="s">
        <v>1298</v>
      </c>
      <c r="D630" s="6" t="s">
        <v>1375</v>
      </c>
      <c r="E630" s="6" t="s">
        <v>11</v>
      </c>
      <c r="F630" s="7" t="n">
        <v>0.555555555555556</v>
      </c>
      <c r="G630" s="6" t="s">
        <v>36</v>
      </c>
      <c r="H630" s="6" t="s">
        <v>156</v>
      </c>
      <c r="I630" s="6" t="s">
        <v>1295</v>
      </c>
      <c r="J630" s="6" t="s">
        <v>36</v>
      </c>
    </row>
    <row r="631" customFormat="false" ht="15" hidden="false" customHeight="false" outlineLevel="0" collapsed="false">
      <c r="A631" s="6" t="s">
        <v>1797</v>
      </c>
      <c r="B631" s="6" t="s">
        <v>1798</v>
      </c>
      <c r="C631" s="6" t="s">
        <v>1799</v>
      </c>
      <c r="D631" s="6" t="s">
        <v>1375</v>
      </c>
      <c r="E631" s="6" t="s">
        <v>11</v>
      </c>
      <c r="F631" s="7" t="n">
        <v>0.5625</v>
      </c>
      <c r="G631" s="6" t="s">
        <v>14</v>
      </c>
      <c r="H631" s="6" t="s">
        <v>554</v>
      </c>
      <c r="I631" s="6" t="s">
        <v>1299</v>
      </c>
      <c r="J631" s="6" t="s">
        <v>588</v>
      </c>
    </row>
    <row r="632" customFormat="false" ht="15" hidden="false" customHeight="false" outlineLevel="0" collapsed="false">
      <c r="A632" s="6" t="s">
        <v>1401</v>
      </c>
      <c r="B632" s="6" t="s">
        <v>1402</v>
      </c>
      <c r="C632" s="6" t="s">
        <v>1403</v>
      </c>
      <c r="D632" s="6" t="s">
        <v>1375</v>
      </c>
      <c r="E632" s="6" t="s">
        <v>11</v>
      </c>
      <c r="F632" s="7" t="n">
        <v>0.5625</v>
      </c>
      <c r="G632" s="6" t="s">
        <v>14</v>
      </c>
      <c r="H632" s="6" t="s">
        <v>554</v>
      </c>
      <c r="I632" s="6" t="s">
        <v>1299</v>
      </c>
      <c r="J632" s="6" t="s">
        <v>588</v>
      </c>
    </row>
    <row r="633" customFormat="false" ht="15" hidden="false" customHeight="false" outlineLevel="0" collapsed="false">
      <c r="A633" s="6" t="s">
        <v>2280</v>
      </c>
      <c r="B633" s="6" t="s">
        <v>2281</v>
      </c>
      <c r="C633" s="6" t="s">
        <v>587</v>
      </c>
      <c r="D633" s="6" t="s">
        <v>1375</v>
      </c>
      <c r="E633" s="6" t="s">
        <v>11</v>
      </c>
      <c r="F633" s="7" t="n">
        <v>0.5625</v>
      </c>
      <c r="G633" s="6" t="s">
        <v>14</v>
      </c>
      <c r="H633" s="6" t="s">
        <v>554</v>
      </c>
      <c r="I633" s="6" t="s">
        <v>1299</v>
      </c>
      <c r="J633" s="6" t="s">
        <v>588</v>
      </c>
    </row>
    <row r="634" customFormat="false" ht="15" hidden="false" customHeight="false" outlineLevel="0" collapsed="false">
      <c r="A634" s="6" t="s">
        <v>1307</v>
      </c>
      <c r="B634" s="6" t="s">
        <v>2282</v>
      </c>
      <c r="C634" s="6" t="s">
        <v>1308</v>
      </c>
      <c r="D634" s="6" t="s">
        <v>1375</v>
      </c>
      <c r="E634" s="6" t="s">
        <v>11</v>
      </c>
      <c r="F634" s="7" t="n">
        <v>0.5625</v>
      </c>
      <c r="G634" s="6" t="s">
        <v>36</v>
      </c>
      <c r="H634" s="6" t="s">
        <v>156</v>
      </c>
      <c r="I634" s="6" t="s">
        <v>1305</v>
      </c>
      <c r="J634" s="6" t="s">
        <v>36</v>
      </c>
    </row>
    <row r="635" customFormat="false" ht="23.85" hidden="false" customHeight="false" outlineLevel="0" collapsed="false">
      <c r="A635" s="6" t="s">
        <v>1310</v>
      </c>
      <c r="B635" s="6"/>
      <c r="C635" s="6"/>
      <c r="D635" s="6" t="s">
        <v>210</v>
      </c>
      <c r="E635" s="6" t="s">
        <v>11</v>
      </c>
      <c r="F635" s="7" t="n">
        <v>0.5625</v>
      </c>
      <c r="G635" s="6" t="s">
        <v>35</v>
      </c>
      <c r="H635" s="6" t="s">
        <v>35</v>
      </c>
      <c r="I635" s="6" t="s">
        <v>1309</v>
      </c>
      <c r="J635" s="6" t="s">
        <v>580</v>
      </c>
    </row>
    <row r="636" customFormat="false" ht="23.85" hidden="false" customHeight="false" outlineLevel="0" collapsed="false">
      <c r="A636" s="6" t="s">
        <v>1313</v>
      </c>
      <c r="B636" s="6"/>
      <c r="C636" s="6"/>
      <c r="D636" s="6" t="s">
        <v>210</v>
      </c>
      <c r="E636" s="6" t="s">
        <v>11</v>
      </c>
      <c r="F636" s="7" t="n">
        <v>0.5625</v>
      </c>
      <c r="G636" s="6" t="s">
        <v>35</v>
      </c>
      <c r="H636" s="6" t="s">
        <v>35</v>
      </c>
      <c r="I636" s="6" t="s">
        <v>1312</v>
      </c>
      <c r="J636" s="6" t="s">
        <v>580</v>
      </c>
    </row>
    <row r="637" customFormat="false" ht="15" hidden="false" customHeight="false" outlineLevel="0" collapsed="false">
      <c r="A637" s="6" t="s">
        <v>2283</v>
      </c>
      <c r="B637" s="6" t="s">
        <v>2134</v>
      </c>
      <c r="C637" s="6" t="s">
        <v>2284</v>
      </c>
      <c r="D637" s="6" t="s">
        <v>1375</v>
      </c>
      <c r="E637" s="6" t="s">
        <v>11</v>
      </c>
      <c r="F637" s="7" t="n">
        <v>0.576388888888889</v>
      </c>
      <c r="G637" s="6" t="s">
        <v>28</v>
      </c>
      <c r="H637" s="6" t="s">
        <v>215</v>
      </c>
      <c r="I637" s="6" t="s">
        <v>1314</v>
      </c>
      <c r="J637" s="6" t="s">
        <v>36</v>
      </c>
    </row>
    <row r="638" customFormat="false" ht="15" hidden="false" customHeight="false" outlineLevel="0" collapsed="false">
      <c r="A638" s="6" t="s">
        <v>198</v>
      </c>
      <c r="B638" s="6" t="s">
        <v>1530</v>
      </c>
      <c r="C638" s="6" t="s">
        <v>199</v>
      </c>
      <c r="D638" s="6" t="s">
        <v>1375</v>
      </c>
      <c r="E638" s="6" t="s">
        <v>11</v>
      </c>
      <c r="F638" s="7" t="n">
        <v>0.576388888888889</v>
      </c>
      <c r="G638" s="6" t="s">
        <v>28</v>
      </c>
      <c r="H638" s="6" t="s">
        <v>215</v>
      </c>
      <c r="I638" s="6" t="s">
        <v>1314</v>
      </c>
      <c r="J638" s="6" t="s">
        <v>36</v>
      </c>
    </row>
    <row r="639" customFormat="false" ht="15" hidden="false" customHeight="false" outlineLevel="0" collapsed="false">
      <c r="A639" s="6" t="s">
        <v>2285</v>
      </c>
      <c r="B639" s="6" t="s">
        <v>2134</v>
      </c>
      <c r="C639" s="6" t="s">
        <v>2286</v>
      </c>
      <c r="D639" s="6" t="s">
        <v>1375</v>
      </c>
      <c r="E639" s="6" t="s">
        <v>11</v>
      </c>
      <c r="F639" s="7" t="n">
        <v>0.576388888888889</v>
      </c>
      <c r="G639" s="6" t="s">
        <v>28</v>
      </c>
      <c r="H639" s="6" t="s">
        <v>215</v>
      </c>
      <c r="I639" s="6" t="s">
        <v>1314</v>
      </c>
      <c r="J639" s="6" t="s">
        <v>36</v>
      </c>
    </row>
    <row r="640" customFormat="false" ht="23.85" hidden="false" customHeight="false" outlineLevel="0" collapsed="false">
      <c r="A640" s="6" t="s">
        <v>2287</v>
      </c>
      <c r="B640" s="6" t="s">
        <v>2288</v>
      </c>
      <c r="C640" s="6" t="s">
        <v>1723</v>
      </c>
      <c r="D640" s="6" t="s">
        <v>1375</v>
      </c>
      <c r="E640" s="6" t="s">
        <v>11</v>
      </c>
      <c r="F640" s="7" t="n">
        <v>0.583333333333333</v>
      </c>
      <c r="G640" s="6" t="s">
        <v>23</v>
      </c>
      <c r="H640" s="6" t="s">
        <v>67</v>
      </c>
      <c r="I640" s="6" t="s">
        <v>1318</v>
      </c>
      <c r="J640" s="6" t="s">
        <v>732</v>
      </c>
    </row>
    <row r="641" customFormat="false" ht="23.85" hidden="false" customHeight="false" outlineLevel="0" collapsed="false">
      <c r="A641" s="6" t="s">
        <v>2216</v>
      </c>
      <c r="B641" s="6" t="s">
        <v>1438</v>
      </c>
      <c r="C641" s="6" t="s">
        <v>2217</v>
      </c>
      <c r="D641" s="6" t="s">
        <v>1375</v>
      </c>
      <c r="E641" s="6" t="s">
        <v>11</v>
      </c>
      <c r="F641" s="7" t="n">
        <v>0.583333333333333</v>
      </c>
      <c r="G641" s="6" t="s">
        <v>23</v>
      </c>
      <c r="H641" s="6" t="s">
        <v>67</v>
      </c>
      <c r="I641" s="6" t="s">
        <v>1318</v>
      </c>
      <c r="J641" s="6" t="s">
        <v>732</v>
      </c>
    </row>
    <row r="642" customFormat="false" ht="23.85" hidden="false" customHeight="false" outlineLevel="0" collapsed="false">
      <c r="A642" s="6" t="s">
        <v>2289</v>
      </c>
      <c r="B642" s="6" t="s">
        <v>2290</v>
      </c>
      <c r="C642" s="6" t="s">
        <v>2291</v>
      </c>
      <c r="D642" s="6" t="s">
        <v>1375</v>
      </c>
      <c r="E642" s="6" t="s">
        <v>11</v>
      </c>
      <c r="F642" s="7" t="n">
        <v>0.583333333333333</v>
      </c>
      <c r="G642" s="6" t="s">
        <v>29</v>
      </c>
      <c r="H642" s="6" t="s">
        <v>67</v>
      </c>
      <c r="I642" s="6" t="s">
        <v>1322</v>
      </c>
      <c r="J642" s="6" t="s">
        <v>255</v>
      </c>
    </row>
    <row r="643" customFormat="false" ht="23.85" hidden="false" customHeight="false" outlineLevel="0" collapsed="false">
      <c r="A643" s="6" t="s">
        <v>698</v>
      </c>
      <c r="B643" s="6" t="s">
        <v>1590</v>
      </c>
      <c r="C643" s="6" t="s">
        <v>699</v>
      </c>
      <c r="D643" s="6" t="s">
        <v>1375</v>
      </c>
      <c r="E643" s="6" t="s">
        <v>11</v>
      </c>
      <c r="F643" s="7" t="n">
        <v>0.583333333333333</v>
      </c>
      <c r="G643" s="6" t="s">
        <v>29</v>
      </c>
      <c r="H643" s="6" t="s">
        <v>67</v>
      </c>
      <c r="I643" s="6" t="s">
        <v>1322</v>
      </c>
      <c r="J643" s="6" t="s">
        <v>255</v>
      </c>
    </row>
    <row r="644" customFormat="false" ht="23.85" hidden="false" customHeight="false" outlineLevel="0" collapsed="false">
      <c r="A644" s="6" t="s">
        <v>2292</v>
      </c>
      <c r="B644" s="6" t="s">
        <v>2293</v>
      </c>
      <c r="C644" s="6" t="s">
        <v>2294</v>
      </c>
      <c r="D644" s="6" t="s">
        <v>1375</v>
      </c>
      <c r="E644" s="6" t="s">
        <v>11</v>
      </c>
      <c r="F644" s="7" t="n">
        <v>0.583333333333333</v>
      </c>
      <c r="G644" s="6" t="s">
        <v>15</v>
      </c>
      <c r="H644" s="6" t="s">
        <v>67</v>
      </c>
      <c r="I644" s="6" t="s">
        <v>1326</v>
      </c>
      <c r="J644" s="6" t="s">
        <v>64</v>
      </c>
    </row>
    <row r="645" customFormat="false" ht="23.85" hidden="false" customHeight="false" outlineLevel="0" collapsed="false">
      <c r="A645" s="6" t="s">
        <v>2199</v>
      </c>
      <c r="B645" s="6" t="s">
        <v>2200</v>
      </c>
      <c r="C645" s="6" t="s">
        <v>2201</v>
      </c>
      <c r="D645" s="6" t="s">
        <v>1375</v>
      </c>
      <c r="E645" s="6" t="s">
        <v>11</v>
      </c>
      <c r="F645" s="7" t="n">
        <v>0.583333333333333</v>
      </c>
      <c r="G645" s="6" t="s">
        <v>15</v>
      </c>
      <c r="H645" s="6" t="s">
        <v>67</v>
      </c>
      <c r="I645" s="6" t="s">
        <v>1326</v>
      </c>
      <c r="J645" s="6" t="s">
        <v>64</v>
      </c>
    </row>
    <row r="646" customFormat="false" ht="15" hidden="false" customHeight="false" outlineLevel="0" collapsed="false">
      <c r="A646" s="6" t="s">
        <v>2295</v>
      </c>
      <c r="B646" s="6" t="s">
        <v>2296</v>
      </c>
      <c r="C646" s="6" t="s">
        <v>2297</v>
      </c>
      <c r="D646" s="6" t="s">
        <v>1375</v>
      </c>
      <c r="E646" s="6" t="s">
        <v>11</v>
      </c>
      <c r="F646" s="7" t="n">
        <v>0.583333333333333</v>
      </c>
      <c r="G646" s="6" t="s">
        <v>13</v>
      </c>
      <c r="H646" s="6" t="s">
        <v>67</v>
      </c>
      <c r="I646" s="6" t="s">
        <v>1330</v>
      </c>
      <c r="J646" s="6" t="s">
        <v>114</v>
      </c>
    </row>
    <row r="647" customFormat="false" ht="15" hidden="false" customHeight="false" outlineLevel="0" collapsed="false">
      <c r="A647" s="6" t="s">
        <v>2298</v>
      </c>
      <c r="B647" s="6" t="s">
        <v>2299</v>
      </c>
      <c r="C647" s="6" t="s">
        <v>2300</v>
      </c>
      <c r="D647" s="6" t="s">
        <v>1375</v>
      </c>
      <c r="E647" s="6" t="s">
        <v>11</v>
      </c>
      <c r="F647" s="7" t="n">
        <v>0.583333333333333</v>
      </c>
      <c r="G647" s="6" t="s">
        <v>13</v>
      </c>
      <c r="H647" s="6" t="s">
        <v>67</v>
      </c>
      <c r="I647" s="6" t="s">
        <v>1330</v>
      </c>
      <c r="J647" s="6" t="s">
        <v>114</v>
      </c>
    </row>
    <row r="648" customFormat="false" ht="23.85" hidden="false" customHeight="false" outlineLevel="0" collapsed="false">
      <c r="A648" s="6" t="s">
        <v>2301</v>
      </c>
      <c r="B648" s="6" t="s">
        <v>2302</v>
      </c>
      <c r="C648" s="6" t="s">
        <v>1337</v>
      </c>
      <c r="D648" s="6" t="s">
        <v>1375</v>
      </c>
      <c r="E648" s="6" t="s">
        <v>11</v>
      </c>
      <c r="F648" s="7" t="n">
        <v>0.59375</v>
      </c>
      <c r="G648" s="6" t="s">
        <v>13</v>
      </c>
      <c r="H648" s="6" t="s">
        <v>215</v>
      </c>
      <c r="I648" s="6" t="s">
        <v>1334</v>
      </c>
      <c r="J648" s="6" t="s">
        <v>114</v>
      </c>
    </row>
    <row r="649" customFormat="false" ht="23.85" hidden="false" customHeight="false" outlineLevel="0" collapsed="false">
      <c r="A649" s="6" t="s">
        <v>2303</v>
      </c>
      <c r="B649" s="6" t="s">
        <v>2304</v>
      </c>
      <c r="C649" s="6" t="s">
        <v>1337</v>
      </c>
      <c r="D649" s="6" t="s">
        <v>1375</v>
      </c>
      <c r="E649" s="6" t="s">
        <v>11</v>
      </c>
      <c r="F649" s="7" t="n">
        <v>0.59375</v>
      </c>
      <c r="G649" s="6" t="s">
        <v>13</v>
      </c>
      <c r="H649" s="6" t="s">
        <v>215</v>
      </c>
      <c r="I649" s="6" t="s">
        <v>1334</v>
      </c>
      <c r="J649" s="6" t="s">
        <v>114</v>
      </c>
    </row>
    <row r="650" customFormat="false" ht="23.85" hidden="false" customHeight="false" outlineLevel="0" collapsed="false">
      <c r="A650" s="6" t="s">
        <v>2305</v>
      </c>
      <c r="B650" s="6" t="s">
        <v>2306</v>
      </c>
      <c r="C650" s="6" t="s">
        <v>2307</v>
      </c>
      <c r="D650" s="6" t="s">
        <v>1375</v>
      </c>
      <c r="E650" s="6" t="s">
        <v>11</v>
      </c>
      <c r="F650" s="7" t="n">
        <v>0.59375</v>
      </c>
      <c r="G650" s="6" t="s">
        <v>15</v>
      </c>
      <c r="H650" s="6" t="s">
        <v>134</v>
      </c>
      <c r="I650" s="6" t="s">
        <v>1338</v>
      </c>
      <c r="J650" s="6" t="s">
        <v>64</v>
      </c>
    </row>
    <row r="651" customFormat="false" ht="23.85" hidden="false" customHeight="false" outlineLevel="0" collapsed="false">
      <c r="A651" s="6" t="s">
        <v>2308</v>
      </c>
      <c r="B651" s="6" t="s">
        <v>2309</v>
      </c>
      <c r="C651" s="6" t="s">
        <v>2310</v>
      </c>
      <c r="D651" s="6" t="s">
        <v>1375</v>
      </c>
      <c r="E651" s="6" t="s">
        <v>11</v>
      </c>
      <c r="F651" s="7" t="n">
        <v>0.59375</v>
      </c>
      <c r="G651" s="6" t="s">
        <v>15</v>
      </c>
      <c r="H651" s="6" t="s">
        <v>134</v>
      </c>
      <c r="I651" s="6" t="s">
        <v>1338</v>
      </c>
      <c r="J651" s="6" t="s">
        <v>64</v>
      </c>
    </row>
    <row r="652" customFormat="false" ht="23.85" hidden="false" customHeight="false" outlineLevel="0" collapsed="false">
      <c r="A652" s="6" t="s">
        <v>2096</v>
      </c>
      <c r="B652" s="6" t="s">
        <v>2097</v>
      </c>
      <c r="C652" s="6" t="s">
        <v>2098</v>
      </c>
      <c r="D652" s="6" t="s">
        <v>1375</v>
      </c>
      <c r="E652" s="6" t="s">
        <v>11</v>
      </c>
      <c r="F652" s="7" t="n">
        <v>0.59375</v>
      </c>
      <c r="G652" s="6" t="s">
        <v>15</v>
      </c>
      <c r="H652" s="6" t="s">
        <v>134</v>
      </c>
      <c r="I652" s="6" t="s">
        <v>1338</v>
      </c>
      <c r="J652" s="6" t="s">
        <v>64</v>
      </c>
    </row>
    <row r="653" customFormat="false" ht="15" hidden="false" customHeight="false" outlineLevel="0" collapsed="false">
      <c r="A653" s="6" t="s">
        <v>2311</v>
      </c>
      <c r="B653" s="6" t="s">
        <v>1412</v>
      </c>
      <c r="C653" s="6" t="s">
        <v>2312</v>
      </c>
      <c r="D653" s="6" t="s">
        <v>1375</v>
      </c>
      <c r="E653" s="6" t="s">
        <v>11</v>
      </c>
      <c r="F653" s="7" t="n">
        <v>0.59375</v>
      </c>
      <c r="G653" s="6" t="s">
        <v>29</v>
      </c>
      <c r="H653" s="6" t="s">
        <v>215</v>
      </c>
      <c r="I653" s="6" t="s">
        <v>1343</v>
      </c>
      <c r="J653" s="6" t="s">
        <v>255</v>
      </c>
    </row>
    <row r="654" customFormat="false" ht="15" hidden="false" customHeight="false" outlineLevel="0" collapsed="false">
      <c r="A654" s="6" t="s">
        <v>698</v>
      </c>
      <c r="B654" s="6" t="s">
        <v>1590</v>
      </c>
      <c r="C654" s="6" t="s">
        <v>699</v>
      </c>
      <c r="D654" s="6" t="s">
        <v>1375</v>
      </c>
      <c r="E654" s="6" t="s">
        <v>11</v>
      </c>
      <c r="F654" s="7" t="n">
        <v>0.59375</v>
      </c>
      <c r="G654" s="6" t="s">
        <v>29</v>
      </c>
      <c r="H654" s="6" t="s">
        <v>215</v>
      </c>
      <c r="I654" s="6" t="s">
        <v>1343</v>
      </c>
      <c r="J654" s="6" t="s">
        <v>255</v>
      </c>
    </row>
    <row r="655" customFormat="false" ht="15" hidden="false" customHeight="false" outlineLevel="0" collapsed="false">
      <c r="A655" s="6" t="s">
        <v>2289</v>
      </c>
      <c r="B655" s="6" t="s">
        <v>2290</v>
      </c>
      <c r="C655" s="6" t="s">
        <v>2291</v>
      </c>
      <c r="D655" s="6" t="s">
        <v>1375</v>
      </c>
      <c r="E655" s="6" t="s">
        <v>11</v>
      </c>
      <c r="F655" s="7" t="n">
        <v>0.59375</v>
      </c>
      <c r="G655" s="6" t="s">
        <v>29</v>
      </c>
      <c r="H655" s="6" t="s">
        <v>215</v>
      </c>
      <c r="I655" s="6" t="s">
        <v>1343</v>
      </c>
      <c r="J655" s="6" t="s">
        <v>255</v>
      </c>
    </row>
    <row r="656" customFormat="false" ht="23.85" hidden="false" customHeight="false" outlineLevel="0" collapsed="false">
      <c r="A656" s="6" t="s">
        <v>2313</v>
      </c>
      <c r="B656" s="6" t="s">
        <v>2314</v>
      </c>
      <c r="C656" s="6" t="s">
        <v>2315</v>
      </c>
      <c r="D656" s="6" t="s">
        <v>1375</v>
      </c>
      <c r="E656" s="6" t="s">
        <v>11</v>
      </c>
      <c r="F656" s="7" t="n">
        <v>0.59375</v>
      </c>
      <c r="G656" s="6" t="s">
        <v>23</v>
      </c>
      <c r="H656" s="6" t="s">
        <v>134</v>
      </c>
      <c r="I656" s="6" t="s">
        <v>1348</v>
      </c>
      <c r="J656" s="6" t="s">
        <v>732</v>
      </c>
    </row>
    <row r="657" customFormat="false" ht="23.85" hidden="false" customHeight="false" outlineLevel="0" collapsed="false">
      <c r="A657" s="6" t="s">
        <v>2316</v>
      </c>
      <c r="B657" s="6" t="s">
        <v>2317</v>
      </c>
      <c r="C657" s="6" t="s">
        <v>1723</v>
      </c>
      <c r="D657" s="6" t="s">
        <v>1375</v>
      </c>
      <c r="E657" s="6" t="s">
        <v>11</v>
      </c>
      <c r="F657" s="7" t="n">
        <v>0.59375</v>
      </c>
      <c r="G657" s="6" t="s">
        <v>23</v>
      </c>
      <c r="H657" s="6" t="s">
        <v>134</v>
      </c>
      <c r="I657" s="6" t="s">
        <v>1348</v>
      </c>
      <c r="J657" s="6" t="s">
        <v>732</v>
      </c>
    </row>
    <row r="658" customFormat="false" ht="23.85" hidden="false" customHeight="false" outlineLevel="0" collapsed="false">
      <c r="A658" s="6" t="s">
        <v>2318</v>
      </c>
      <c r="B658" s="6" t="s">
        <v>2319</v>
      </c>
      <c r="C658" s="6" t="s">
        <v>2320</v>
      </c>
      <c r="D658" s="6" t="s">
        <v>1375</v>
      </c>
      <c r="E658" s="6" t="s">
        <v>11</v>
      </c>
      <c r="F658" s="7" t="n">
        <v>0.59375</v>
      </c>
      <c r="G658" s="6" t="s">
        <v>23</v>
      </c>
      <c r="H658" s="6" t="s">
        <v>134</v>
      </c>
      <c r="I658" s="6" t="s">
        <v>1348</v>
      </c>
      <c r="J658" s="6" t="s">
        <v>732</v>
      </c>
    </row>
    <row r="659" customFormat="false" ht="23.85" hidden="false" customHeight="false" outlineLevel="0" collapsed="false">
      <c r="A659" s="6" t="s">
        <v>2321</v>
      </c>
      <c r="B659" s="6" t="s">
        <v>1421</v>
      </c>
      <c r="C659" s="6" t="s">
        <v>492</v>
      </c>
      <c r="D659" s="6" t="s">
        <v>1375</v>
      </c>
      <c r="E659" s="6" t="s">
        <v>11</v>
      </c>
      <c r="F659" s="7" t="n">
        <v>0.604166666666667</v>
      </c>
      <c r="G659" s="6" t="s">
        <v>13</v>
      </c>
      <c r="H659" s="6" t="s">
        <v>215</v>
      </c>
      <c r="I659" s="6" t="s">
        <v>1353</v>
      </c>
      <c r="J659" s="6" t="s">
        <v>114</v>
      </c>
    </row>
    <row r="660" customFormat="false" ht="23.85" hidden="false" customHeight="false" outlineLevel="0" collapsed="false">
      <c r="A660" s="6" t="s">
        <v>2322</v>
      </c>
      <c r="B660" s="6" t="s">
        <v>2323</v>
      </c>
      <c r="C660" s="6" t="s">
        <v>388</v>
      </c>
      <c r="D660" s="6" t="s">
        <v>1375</v>
      </c>
      <c r="E660" s="6" t="s">
        <v>11</v>
      </c>
      <c r="F660" s="7" t="n">
        <v>0.604166666666667</v>
      </c>
      <c r="G660" s="6" t="s">
        <v>13</v>
      </c>
      <c r="H660" s="6" t="s">
        <v>215</v>
      </c>
      <c r="I660" s="6" t="s">
        <v>1353</v>
      </c>
      <c r="J660" s="6" t="s">
        <v>114</v>
      </c>
    </row>
    <row r="661" customFormat="false" ht="23.85" hidden="false" customHeight="false" outlineLevel="0" collapsed="false">
      <c r="A661" s="6" t="s">
        <v>1195</v>
      </c>
      <c r="B661" s="6" t="s">
        <v>2227</v>
      </c>
      <c r="C661" s="6" t="s">
        <v>1196</v>
      </c>
      <c r="D661" s="6" t="s">
        <v>1375</v>
      </c>
      <c r="E661" s="6" t="s">
        <v>11</v>
      </c>
      <c r="F661" s="7" t="n">
        <v>0.604166666666667</v>
      </c>
      <c r="G661" s="6" t="s">
        <v>13</v>
      </c>
      <c r="H661" s="6" t="s">
        <v>215</v>
      </c>
      <c r="I661" s="6" t="s">
        <v>1353</v>
      </c>
      <c r="J661" s="6" t="s">
        <v>114</v>
      </c>
    </row>
    <row r="662" customFormat="false" ht="23.85" hidden="false" customHeight="false" outlineLevel="0" collapsed="false">
      <c r="A662" s="6" t="s">
        <v>2324</v>
      </c>
      <c r="B662" s="6" t="s">
        <v>2325</v>
      </c>
      <c r="C662" s="6" t="s">
        <v>1588</v>
      </c>
      <c r="D662" s="6" t="s">
        <v>1375</v>
      </c>
      <c r="E662" s="6" t="s">
        <v>11</v>
      </c>
      <c r="F662" s="7" t="n">
        <v>0.604166666666667</v>
      </c>
      <c r="G662" s="6" t="s">
        <v>14</v>
      </c>
      <c r="H662" s="6" t="s">
        <v>134</v>
      </c>
      <c r="I662" s="6" t="s">
        <v>1357</v>
      </c>
      <c r="J662" s="6" t="s">
        <v>588</v>
      </c>
    </row>
    <row r="663" customFormat="false" ht="23.85" hidden="false" customHeight="false" outlineLevel="0" collapsed="false">
      <c r="A663" s="6" t="s">
        <v>2326</v>
      </c>
      <c r="B663" s="6" t="s">
        <v>2327</v>
      </c>
      <c r="C663" s="6" t="s">
        <v>587</v>
      </c>
      <c r="D663" s="6" t="s">
        <v>1375</v>
      </c>
      <c r="E663" s="6" t="s">
        <v>11</v>
      </c>
      <c r="F663" s="7" t="n">
        <v>0.604166666666667</v>
      </c>
      <c r="G663" s="6" t="s">
        <v>14</v>
      </c>
      <c r="H663" s="6" t="s">
        <v>134</v>
      </c>
      <c r="I663" s="6" t="s">
        <v>1357</v>
      </c>
      <c r="J663" s="6" t="s">
        <v>588</v>
      </c>
    </row>
    <row r="664" customFormat="false" ht="23.85" hidden="false" customHeight="false" outlineLevel="0" collapsed="false">
      <c r="A664" s="6" t="s">
        <v>2245</v>
      </c>
      <c r="B664" s="6" t="s">
        <v>2246</v>
      </c>
      <c r="C664" s="6" t="s">
        <v>2247</v>
      </c>
      <c r="D664" s="6" t="s">
        <v>1375</v>
      </c>
      <c r="E664" s="6" t="s">
        <v>11</v>
      </c>
      <c r="F664" s="7" t="n">
        <v>0.604166666666667</v>
      </c>
      <c r="G664" s="6" t="s">
        <v>14</v>
      </c>
      <c r="H664" s="6" t="s">
        <v>134</v>
      </c>
      <c r="I664" s="6" t="s">
        <v>1357</v>
      </c>
      <c r="J664" s="6" t="s">
        <v>588</v>
      </c>
    </row>
    <row r="665" customFormat="false" ht="15" hidden="false" customHeight="false" outlineLevel="0" collapsed="false">
      <c r="A665" s="6" t="s">
        <v>1364</v>
      </c>
      <c r="B665" s="6" t="s">
        <v>1412</v>
      </c>
      <c r="C665" s="6" t="s">
        <v>1365</v>
      </c>
      <c r="D665" s="6" t="s">
        <v>1375</v>
      </c>
      <c r="E665" s="6" t="s">
        <v>11</v>
      </c>
      <c r="F665" s="7" t="n">
        <v>0.614583333333333</v>
      </c>
      <c r="G665" s="6" t="s">
        <v>36</v>
      </c>
      <c r="H665" s="6" t="s">
        <v>156</v>
      </c>
      <c r="I665" s="6" t="s">
        <v>1362</v>
      </c>
      <c r="J665" s="6" t="s">
        <v>36</v>
      </c>
    </row>
    <row r="666" customFormat="false" ht="15" hidden="false" customHeight="false" outlineLevel="0" collapsed="false">
      <c r="A666" s="6" t="s">
        <v>2194</v>
      </c>
      <c r="B666" s="6" t="s">
        <v>2195</v>
      </c>
      <c r="C666" s="6" t="s">
        <v>2196</v>
      </c>
      <c r="D666" s="6" t="s">
        <v>1375</v>
      </c>
      <c r="E666" s="6" t="s">
        <v>11</v>
      </c>
      <c r="F666" s="7" t="n">
        <v>0.635416666666667</v>
      </c>
      <c r="G666" s="6" t="s">
        <v>14</v>
      </c>
      <c r="H666" s="6" t="s">
        <v>554</v>
      </c>
      <c r="I666" s="6" t="s">
        <v>1366</v>
      </c>
      <c r="J666" s="6" t="s">
        <v>588</v>
      </c>
    </row>
    <row r="667" customFormat="false" ht="15" hidden="false" customHeight="false" outlineLevel="0" collapsed="false">
      <c r="A667" s="6" t="s">
        <v>2328</v>
      </c>
      <c r="B667" s="6" t="s">
        <v>1590</v>
      </c>
      <c r="C667" s="6" t="s">
        <v>2329</v>
      </c>
      <c r="D667" s="6" t="s">
        <v>1375</v>
      </c>
      <c r="E667" s="6" t="s">
        <v>11</v>
      </c>
      <c r="F667" s="7" t="n">
        <v>0.635416666666667</v>
      </c>
      <c r="G667" s="6" t="s">
        <v>14</v>
      </c>
      <c r="H667" s="6" t="s">
        <v>554</v>
      </c>
      <c r="I667" s="6" t="s">
        <v>1366</v>
      </c>
      <c r="J667" s="6" t="s">
        <v>588</v>
      </c>
    </row>
    <row r="668" customFormat="false" ht="15" hidden="false" customHeight="false" outlineLevel="0" collapsed="false">
      <c r="A668" s="6" t="s">
        <v>1686</v>
      </c>
      <c r="B668" s="6" t="s">
        <v>1687</v>
      </c>
      <c r="C668" s="6" t="s">
        <v>1688</v>
      </c>
      <c r="D668" s="6" t="s">
        <v>1375</v>
      </c>
      <c r="E668" s="6" t="s">
        <v>11</v>
      </c>
      <c r="F668" s="7" t="n">
        <v>0.635416666666667</v>
      </c>
      <c r="G668" s="6" t="s">
        <v>14</v>
      </c>
      <c r="H668" s="6" t="s">
        <v>554</v>
      </c>
      <c r="I668" s="6" t="s">
        <v>1366</v>
      </c>
      <c r="J668" s="6" t="s">
        <v>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5"/>
    <col collapsed="false" customWidth="true" hidden="false" outlineLevel="0" max="3" min="3" style="0" width="40"/>
    <col collapsed="false" customWidth="true" hidden="false" outlineLevel="0" max="4" min="4" style="0" width="12"/>
  </cols>
  <sheetData>
    <row r="1" customFormat="false" ht="30" hidden="false" customHeight="true" outlineLevel="0" collapsed="false">
      <c r="A1" s="5" t="s">
        <v>1370</v>
      </c>
      <c r="B1" s="5" t="s">
        <v>1371</v>
      </c>
      <c r="C1" s="5" t="s">
        <v>1372</v>
      </c>
      <c r="D1" s="5" t="s">
        <v>2330</v>
      </c>
    </row>
    <row r="2" customFormat="false" ht="15" hidden="false" customHeight="false" outlineLevel="0" collapsed="false">
      <c r="A2" s="6" t="s">
        <v>1511</v>
      </c>
      <c r="B2" s="6" t="s">
        <v>1512</v>
      </c>
      <c r="C2" s="6" t="s">
        <v>1513</v>
      </c>
      <c r="D2" s="6" t="n">
        <f aca="false">COUNTIF('Speaker Appearances'!$A$2:$A$668,A2)</f>
        <v>1</v>
      </c>
    </row>
    <row r="3" customFormat="false" ht="15" hidden="false" customHeight="false" outlineLevel="0" collapsed="false">
      <c r="A3" s="6" t="s">
        <v>1825</v>
      </c>
      <c r="B3" s="6" t="s">
        <v>1826</v>
      </c>
      <c r="C3" s="6" t="s">
        <v>508</v>
      </c>
      <c r="D3" s="6" t="n">
        <f aca="false">COUNTIF('Speaker Appearances'!$A$2:$A$668,A3)</f>
        <v>1</v>
      </c>
    </row>
    <row r="4" customFormat="false" ht="15" hidden="false" customHeight="false" outlineLevel="0" collapsed="false">
      <c r="A4" s="6" t="s">
        <v>1423</v>
      </c>
      <c r="B4" s="6" t="s">
        <v>1424</v>
      </c>
      <c r="C4" s="6" t="s">
        <v>1425</v>
      </c>
      <c r="D4" s="6" t="n">
        <f aca="false">COUNTIF('Speaker Appearances'!$A$2:$A$668,A4)</f>
        <v>2</v>
      </c>
    </row>
    <row r="5" customFormat="false" ht="15" hidden="false" customHeight="false" outlineLevel="0" collapsed="false">
      <c r="A5" s="6" t="s">
        <v>917</v>
      </c>
      <c r="B5" s="6" t="s">
        <v>1715</v>
      </c>
      <c r="C5" s="6" t="s">
        <v>918</v>
      </c>
      <c r="D5" s="6" t="n">
        <f aca="false">COUNTIF('Speaker Appearances'!$A$2:$A$668,A5)</f>
        <v>1</v>
      </c>
    </row>
    <row r="6" customFormat="false" ht="15" hidden="false" customHeight="false" outlineLevel="0" collapsed="false">
      <c r="A6" s="6" t="s">
        <v>1494</v>
      </c>
      <c r="B6" s="6" t="s">
        <v>1495</v>
      </c>
      <c r="C6" s="6" t="s">
        <v>1496</v>
      </c>
      <c r="D6" s="6" t="n">
        <f aca="false">COUNTIF('Speaker Appearances'!$A$2:$A$668,A6)</f>
        <v>1</v>
      </c>
    </row>
    <row r="7" customFormat="false" ht="23.85" hidden="false" customHeight="false" outlineLevel="0" collapsed="false">
      <c r="A7" s="6" t="s">
        <v>2292</v>
      </c>
      <c r="B7" s="6" t="s">
        <v>2293</v>
      </c>
      <c r="C7" s="6" t="s">
        <v>2294</v>
      </c>
      <c r="D7" s="6" t="n">
        <f aca="false">COUNTIF('Speaker Appearances'!$A$2:$A$668,A7)</f>
        <v>1</v>
      </c>
    </row>
    <row r="8" customFormat="false" ht="15" hidden="false" customHeight="false" outlineLevel="0" collapsed="false">
      <c r="A8" s="6" t="s">
        <v>2150</v>
      </c>
      <c r="B8" s="6" t="s">
        <v>2151</v>
      </c>
      <c r="C8" s="6" t="s">
        <v>2152</v>
      </c>
      <c r="D8" s="6" t="n">
        <f aca="false">COUNTIF('Speaker Appearances'!$A$2:$A$668,A8)</f>
        <v>1</v>
      </c>
    </row>
    <row r="9" customFormat="false" ht="15" hidden="false" customHeight="false" outlineLevel="0" collapsed="false">
      <c r="A9" s="6" t="s">
        <v>378</v>
      </c>
      <c r="B9" s="6" t="s">
        <v>1685</v>
      </c>
      <c r="C9" s="6" t="s">
        <v>379</v>
      </c>
      <c r="D9" s="6" t="n">
        <f aca="false">COUNTIF('Speaker Appearances'!$A$2:$A$668,A9)</f>
        <v>2</v>
      </c>
    </row>
    <row r="10" customFormat="false" ht="15" hidden="false" customHeight="false" outlineLevel="0" collapsed="false">
      <c r="A10" s="6" t="s">
        <v>1929</v>
      </c>
      <c r="B10" s="6" t="s">
        <v>1442</v>
      </c>
      <c r="C10" s="6" t="s">
        <v>1930</v>
      </c>
      <c r="D10" s="6" t="n">
        <f aca="false">COUNTIF('Speaker Appearances'!$A$2:$A$668,A10)</f>
        <v>2</v>
      </c>
    </row>
    <row r="11" customFormat="false" ht="15" hidden="false" customHeight="false" outlineLevel="0" collapsed="false">
      <c r="A11" s="6" t="s">
        <v>2079</v>
      </c>
      <c r="B11" s="6" t="s">
        <v>2080</v>
      </c>
      <c r="C11" s="6" t="s">
        <v>2081</v>
      </c>
      <c r="D11" s="6" t="n">
        <f aca="false">COUNTIF('Speaker Appearances'!$A$2:$A$668,A11)</f>
        <v>2</v>
      </c>
    </row>
    <row r="12" customFormat="false" ht="15" hidden="false" customHeight="false" outlineLevel="0" collapsed="false">
      <c r="A12" s="6" t="s">
        <v>1451</v>
      </c>
      <c r="B12" s="6" t="s">
        <v>1452</v>
      </c>
      <c r="C12" s="6" t="s">
        <v>1453</v>
      </c>
      <c r="D12" s="6" t="n">
        <f aca="false">COUNTIF('Speaker Appearances'!$A$2:$A$668,A12)</f>
        <v>1</v>
      </c>
    </row>
    <row r="13" customFormat="false" ht="15" hidden="false" customHeight="false" outlineLevel="0" collapsed="false">
      <c r="A13" s="6" t="s">
        <v>1057</v>
      </c>
      <c r="B13" s="6" t="s">
        <v>2136</v>
      </c>
      <c r="C13" s="6" t="s">
        <v>1058</v>
      </c>
      <c r="D13" s="6" t="n">
        <f aca="false">COUNTIF('Speaker Appearances'!$A$2:$A$668,A13)</f>
        <v>1</v>
      </c>
    </row>
    <row r="14" customFormat="false" ht="15" hidden="false" customHeight="false" outlineLevel="0" collapsed="false">
      <c r="A14" s="6" t="s">
        <v>1477</v>
      </c>
      <c r="B14" s="6" t="s">
        <v>1478</v>
      </c>
      <c r="C14" s="6" t="s">
        <v>1479</v>
      </c>
      <c r="D14" s="6" t="n">
        <f aca="false">COUNTIF('Speaker Appearances'!$A$2:$A$668,A14)</f>
        <v>5</v>
      </c>
    </row>
    <row r="15" customFormat="false" ht="15" hidden="false" customHeight="false" outlineLevel="0" collapsed="false">
      <c r="A15" s="6" t="s">
        <v>1385</v>
      </c>
      <c r="B15" s="6" t="s">
        <v>1386</v>
      </c>
      <c r="C15" s="6" t="s">
        <v>242</v>
      </c>
      <c r="D15" s="6" t="n">
        <f aca="false">COUNTIF('Speaker Appearances'!$A$2:$A$668,A15)</f>
        <v>1</v>
      </c>
    </row>
    <row r="16" customFormat="false" ht="15" hidden="false" customHeight="false" outlineLevel="0" collapsed="false">
      <c r="A16" s="6" t="s">
        <v>1208</v>
      </c>
      <c r="B16" s="6" t="s">
        <v>2230</v>
      </c>
      <c r="C16" s="6" t="s">
        <v>1209</v>
      </c>
      <c r="D16" s="6" t="n">
        <f aca="false">COUNTIF('Speaker Appearances'!$A$2:$A$668,A16)</f>
        <v>1</v>
      </c>
    </row>
    <row r="17" customFormat="false" ht="15" hidden="false" customHeight="false" outlineLevel="0" collapsed="false">
      <c r="A17" s="6" t="s">
        <v>2128</v>
      </c>
      <c r="B17" s="6" t="s">
        <v>2129</v>
      </c>
      <c r="C17" s="6" t="s">
        <v>2130</v>
      </c>
      <c r="D17" s="6" t="n">
        <f aca="false">COUNTIF('Speaker Appearances'!$A$2:$A$668,A17)</f>
        <v>2</v>
      </c>
    </row>
    <row r="18" customFormat="false" ht="15" hidden="false" customHeight="false" outlineLevel="0" collapsed="false">
      <c r="A18" s="6" t="s">
        <v>862</v>
      </c>
      <c r="B18" s="6" t="s">
        <v>1671</v>
      </c>
      <c r="C18" s="6" t="s">
        <v>863</v>
      </c>
      <c r="D18" s="6" t="n">
        <f aca="false">COUNTIF('Speaker Appearances'!$A$2:$A$668,A18)</f>
        <v>3</v>
      </c>
    </row>
    <row r="19" customFormat="false" ht="15" hidden="false" customHeight="false" outlineLevel="0" collapsed="false">
      <c r="A19" s="6" t="s">
        <v>1099</v>
      </c>
      <c r="B19" s="6" t="s">
        <v>2166</v>
      </c>
      <c r="C19" s="6" t="s">
        <v>1100</v>
      </c>
      <c r="D19" s="6" t="n">
        <f aca="false">COUNTIF('Speaker Appearances'!$A$2:$A$668,A19)</f>
        <v>1</v>
      </c>
    </row>
    <row r="20" customFormat="false" ht="15" hidden="false" customHeight="false" outlineLevel="0" collapsed="false">
      <c r="A20" s="6" t="s">
        <v>1066</v>
      </c>
      <c r="B20" s="6" t="s">
        <v>1412</v>
      </c>
      <c r="C20" s="6" t="s">
        <v>1067</v>
      </c>
      <c r="D20" s="6" t="n">
        <f aca="false">COUNTIF('Speaker Appearances'!$A$2:$A$668,A20)</f>
        <v>1</v>
      </c>
    </row>
    <row r="21" customFormat="false" ht="15" hidden="false" customHeight="false" outlineLevel="0" collapsed="false">
      <c r="A21" s="6" t="s">
        <v>1944</v>
      </c>
      <c r="B21" s="6"/>
      <c r="C21" s="6"/>
      <c r="D21" s="6" t="n">
        <f aca="false">COUNTIF('Speaker Appearances'!$A$2:$A$668,A21)</f>
        <v>1</v>
      </c>
    </row>
    <row r="22" customFormat="false" ht="15" hidden="false" customHeight="false" outlineLevel="0" collapsed="false">
      <c r="A22" s="6" t="s">
        <v>544</v>
      </c>
      <c r="B22" s="6" t="s">
        <v>1856</v>
      </c>
      <c r="C22" s="6" t="s">
        <v>545</v>
      </c>
      <c r="D22" s="6" t="n">
        <f aca="false">COUNTIF('Speaker Appearances'!$A$2:$A$668,A22)</f>
        <v>1</v>
      </c>
    </row>
    <row r="23" customFormat="false" ht="15" hidden="false" customHeight="false" outlineLevel="0" collapsed="false">
      <c r="A23" s="6" t="s">
        <v>1696</v>
      </c>
      <c r="B23" s="6" t="s">
        <v>1697</v>
      </c>
      <c r="C23" s="6" t="s">
        <v>1574</v>
      </c>
      <c r="D23" s="6" t="n">
        <f aca="false">COUNTIF('Speaker Appearances'!$A$2:$A$668,A23)</f>
        <v>1</v>
      </c>
    </row>
    <row r="24" customFormat="false" ht="15" hidden="false" customHeight="false" outlineLevel="0" collapsed="false">
      <c r="A24" s="6" t="s">
        <v>1958</v>
      </c>
      <c r="B24" s="6"/>
      <c r="C24" s="6"/>
      <c r="D24" s="6" t="n">
        <f aca="false">COUNTIF('Speaker Appearances'!$A$2:$A$668,A24)</f>
        <v>1</v>
      </c>
    </row>
    <row r="25" customFormat="false" ht="23.85" hidden="false" customHeight="false" outlineLevel="0" collapsed="false">
      <c r="A25" s="6" t="s">
        <v>1868</v>
      </c>
      <c r="B25" s="6" t="s">
        <v>1869</v>
      </c>
      <c r="C25" s="6" t="s">
        <v>1870</v>
      </c>
      <c r="D25" s="6" t="n">
        <f aca="false">COUNTIF('Speaker Appearances'!$A$2:$A$668,A25)</f>
        <v>2</v>
      </c>
    </row>
    <row r="26" customFormat="false" ht="15" hidden="false" customHeight="false" outlineLevel="0" collapsed="false">
      <c r="A26" s="6" t="s">
        <v>2210</v>
      </c>
      <c r="B26" s="6" t="s">
        <v>2211</v>
      </c>
      <c r="C26" s="6" t="s">
        <v>2212</v>
      </c>
      <c r="D26" s="6" t="n">
        <f aca="false">COUNTIF('Speaker Appearances'!$A$2:$A$668,A26)</f>
        <v>1</v>
      </c>
    </row>
    <row r="27" customFormat="false" ht="15" hidden="false" customHeight="false" outlineLevel="0" collapsed="false">
      <c r="A27" s="6" t="s">
        <v>1522</v>
      </c>
      <c r="B27" s="6" t="s">
        <v>1523</v>
      </c>
      <c r="C27" s="6" t="s">
        <v>1524</v>
      </c>
      <c r="D27" s="6" t="n">
        <f aca="false">COUNTIF('Speaker Appearances'!$A$2:$A$668,A27)</f>
        <v>1</v>
      </c>
    </row>
    <row r="28" customFormat="false" ht="15" hidden="false" customHeight="false" outlineLevel="0" collapsed="false">
      <c r="A28" s="6" t="s">
        <v>1448</v>
      </c>
      <c r="B28" s="6" t="s">
        <v>1449</v>
      </c>
      <c r="C28" s="6" t="s">
        <v>1450</v>
      </c>
      <c r="D28" s="6" t="n">
        <f aca="false">COUNTIF('Speaker Appearances'!$A$2:$A$668,A28)</f>
        <v>1</v>
      </c>
    </row>
    <row r="29" customFormat="false" ht="15" hidden="false" customHeight="false" outlineLevel="0" collapsed="false">
      <c r="A29" s="6" t="s">
        <v>2202</v>
      </c>
      <c r="B29" s="6" t="s">
        <v>1412</v>
      </c>
      <c r="C29" s="6" t="s">
        <v>1749</v>
      </c>
      <c r="D29" s="6" t="n">
        <f aca="false">COUNTIF('Speaker Appearances'!$A$2:$A$668,A29)</f>
        <v>2</v>
      </c>
    </row>
    <row r="30" customFormat="false" ht="15" hidden="false" customHeight="false" outlineLevel="0" collapsed="false">
      <c r="A30" s="6" t="s">
        <v>1956</v>
      </c>
      <c r="B30" s="6"/>
      <c r="C30" s="6"/>
      <c r="D30" s="6" t="n">
        <f aca="false">COUNTIF('Speaker Appearances'!$A$2:$A$668,A30)</f>
        <v>1</v>
      </c>
    </row>
    <row r="31" customFormat="false" ht="15" hidden="false" customHeight="false" outlineLevel="0" collapsed="false">
      <c r="A31" s="6" t="s">
        <v>1541</v>
      </c>
      <c r="B31" s="6" t="s">
        <v>1542</v>
      </c>
      <c r="C31" s="6" t="s">
        <v>1543</v>
      </c>
      <c r="D31" s="6" t="n">
        <f aca="false">COUNTIF('Speaker Appearances'!$A$2:$A$668,A31)</f>
        <v>2</v>
      </c>
    </row>
    <row r="32" customFormat="false" ht="15" hidden="false" customHeight="false" outlineLevel="0" collapsed="false">
      <c r="A32" s="6" t="s">
        <v>2241</v>
      </c>
      <c r="B32" s="6" t="s">
        <v>2242</v>
      </c>
      <c r="C32" s="6" t="s">
        <v>1456</v>
      </c>
      <c r="D32" s="6" t="n">
        <f aca="false">COUNTIF('Speaker Appearances'!$A$2:$A$668,A32)</f>
        <v>1</v>
      </c>
    </row>
    <row r="33" customFormat="false" ht="15" hidden="false" customHeight="false" outlineLevel="0" collapsed="false">
      <c r="A33" s="6" t="s">
        <v>1996</v>
      </c>
      <c r="B33" s="6" t="s">
        <v>1997</v>
      </c>
      <c r="C33" s="6" t="s">
        <v>242</v>
      </c>
      <c r="D33" s="6" t="n">
        <f aca="false">COUNTIF('Speaker Appearances'!$A$2:$A$668,A33)</f>
        <v>1</v>
      </c>
    </row>
    <row r="34" customFormat="false" ht="15" hidden="false" customHeight="false" outlineLevel="0" collapsed="false">
      <c r="A34" s="6" t="s">
        <v>295</v>
      </c>
      <c r="B34" s="6" t="s">
        <v>1601</v>
      </c>
      <c r="C34" s="6" t="s">
        <v>296</v>
      </c>
      <c r="D34" s="6" t="n">
        <f aca="false">COUNTIF('Speaker Appearances'!$A$2:$A$668,A34)</f>
        <v>1</v>
      </c>
    </row>
    <row r="35" customFormat="false" ht="15" hidden="false" customHeight="false" outlineLevel="0" collapsed="false">
      <c r="A35" s="6" t="s">
        <v>567</v>
      </c>
      <c r="B35" s="6" t="s">
        <v>1900</v>
      </c>
      <c r="C35" s="6" t="s">
        <v>568</v>
      </c>
      <c r="D35" s="6" t="n">
        <f aca="false">COUNTIF('Speaker Appearances'!$A$2:$A$668,A35)</f>
        <v>1</v>
      </c>
    </row>
    <row r="36" customFormat="false" ht="15" hidden="false" customHeight="false" outlineLevel="0" collapsed="false">
      <c r="A36" s="6" t="s">
        <v>1701</v>
      </c>
      <c r="B36" s="6" t="s">
        <v>1702</v>
      </c>
      <c r="C36" s="6" t="s">
        <v>1703</v>
      </c>
      <c r="D36" s="6" t="n">
        <f aca="false">COUNTIF('Speaker Appearances'!$A$2:$A$668,A36)</f>
        <v>1</v>
      </c>
    </row>
    <row r="37" customFormat="false" ht="15" hidden="false" customHeight="false" outlineLevel="0" collapsed="false">
      <c r="A37" s="6" t="s">
        <v>1947</v>
      </c>
      <c r="B37" s="6"/>
      <c r="C37" s="6"/>
      <c r="D37" s="6" t="n">
        <f aca="false">COUNTIF('Speaker Appearances'!$A$2:$A$668,A37)</f>
        <v>1</v>
      </c>
    </row>
    <row r="38" customFormat="false" ht="15" hidden="false" customHeight="false" outlineLevel="0" collapsed="false">
      <c r="A38" s="6" t="s">
        <v>975</v>
      </c>
      <c r="B38" s="6" t="s">
        <v>1854</v>
      </c>
      <c r="C38" s="6" t="s">
        <v>976</v>
      </c>
      <c r="D38" s="6" t="n">
        <f aca="false">COUNTIF('Speaker Appearances'!$A$2:$A$668,A38)</f>
        <v>2</v>
      </c>
    </row>
    <row r="39" customFormat="false" ht="15" hidden="false" customHeight="false" outlineLevel="0" collapsed="false">
      <c r="A39" s="6" t="s">
        <v>2295</v>
      </c>
      <c r="B39" s="6" t="s">
        <v>2296</v>
      </c>
      <c r="C39" s="6" t="s">
        <v>2297</v>
      </c>
      <c r="D39" s="6" t="n">
        <f aca="false">COUNTIF('Speaker Appearances'!$A$2:$A$668,A39)</f>
        <v>1</v>
      </c>
    </row>
    <row r="40" customFormat="false" ht="15" hidden="false" customHeight="false" outlineLevel="0" collapsed="false">
      <c r="A40" s="6" t="s">
        <v>1517</v>
      </c>
      <c r="B40" s="6" t="s">
        <v>1518</v>
      </c>
      <c r="C40" s="6" t="s">
        <v>587</v>
      </c>
      <c r="D40" s="6" t="n">
        <f aca="false">COUNTIF('Speaker Appearances'!$A$2:$A$668,A40)</f>
        <v>1</v>
      </c>
    </row>
    <row r="41" customFormat="false" ht="15" hidden="false" customHeight="false" outlineLevel="0" collapsed="false">
      <c r="A41" s="6" t="s">
        <v>2303</v>
      </c>
      <c r="B41" s="6" t="s">
        <v>2304</v>
      </c>
      <c r="C41" s="6" t="s">
        <v>1337</v>
      </c>
      <c r="D41" s="6" t="n">
        <f aca="false">COUNTIF('Speaker Appearances'!$A$2:$A$668,A41)</f>
        <v>1</v>
      </c>
    </row>
    <row r="42" customFormat="false" ht="23.85" hidden="false" customHeight="false" outlineLevel="0" collapsed="false">
      <c r="A42" s="6" t="s">
        <v>2160</v>
      </c>
      <c r="B42" s="6" t="s">
        <v>2161</v>
      </c>
      <c r="C42" s="6" t="s">
        <v>2162</v>
      </c>
      <c r="D42" s="6" t="n">
        <f aca="false">COUNTIF('Speaker Appearances'!$A$2:$A$668,A42)</f>
        <v>1</v>
      </c>
    </row>
    <row r="43" customFormat="false" ht="15" hidden="false" customHeight="false" outlineLevel="0" collapsed="false">
      <c r="A43" s="6" t="s">
        <v>299</v>
      </c>
      <c r="B43" s="6" t="s">
        <v>1602</v>
      </c>
      <c r="C43" s="6" t="s">
        <v>300</v>
      </c>
      <c r="D43" s="6" t="n">
        <f aca="false">COUNTIF('Speaker Appearances'!$A$2:$A$668,A43)</f>
        <v>2</v>
      </c>
    </row>
    <row r="44" customFormat="false" ht="15" hidden="false" customHeight="false" outlineLevel="0" collapsed="false">
      <c r="A44" s="6" t="s">
        <v>2009</v>
      </c>
      <c r="B44" s="6" t="s">
        <v>2010</v>
      </c>
      <c r="C44" s="6" t="s">
        <v>2011</v>
      </c>
      <c r="D44" s="6" t="n">
        <f aca="false">COUNTIF('Speaker Appearances'!$A$2:$A$668,A44)</f>
        <v>2</v>
      </c>
    </row>
    <row r="45" customFormat="false" ht="15" hidden="false" customHeight="false" outlineLevel="0" collapsed="false">
      <c r="A45" s="6" t="s">
        <v>1780</v>
      </c>
      <c r="B45" s="6" t="s">
        <v>1564</v>
      </c>
      <c r="C45" s="6" t="s">
        <v>1781</v>
      </c>
      <c r="D45" s="6" t="n">
        <f aca="false">COUNTIF('Speaker Appearances'!$A$2:$A$668,A45)</f>
        <v>1</v>
      </c>
    </row>
    <row r="46" customFormat="false" ht="15" hidden="false" customHeight="false" outlineLevel="0" collapsed="false">
      <c r="A46" s="6" t="s">
        <v>1877</v>
      </c>
      <c r="B46" s="6" t="s">
        <v>1446</v>
      </c>
      <c r="C46" s="6" t="s">
        <v>1878</v>
      </c>
      <c r="D46" s="6" t="n">
        <f aca="false">COUNTIF('Speaker Appearances'!$A$2:$A$668,A46)</f>
        <v>1</v>
      </c>
    </row>
    <row r="47" customFormat="false" ht="15" hidden="false" customHeight="false" outlineLevel="0" collapsed="false">
      <c r="A47" s="6" t="s">
        <v>1818</v>
      </c>
      <c r="B47" s="6" t="s">
        <v>1729</v>
      </c>
      <c r="C47" s="6" t="s">
        <v>1819</v>
      </c>
      <c r="D47" s="6" t="n">
        <f aca="false">COUNTIF('Speaker Appearances'!$A$2:$A$668,A47)</f>
        <v>2</v>
      </c>
    </row>
    <row r="48" customFormat="false" ht="15" hidden="false" customHeight="false" outlineLevel="0" collapsed="false">
      <c r="A48" s="6" t="s">
        <v>2301</v>
      </c>
      <c r="B48" s="6" t="s">
        <v>2302</v>
      </c>
      <c r="C48" s="6" t="s">
        <v>1337</v>
      </c>
      <c r="D48" s="6" t="n">
        <f aca="false">COUNTIF('Speaker Appearances'!$A$2:$A$668,A48)</f>
        <v>1</v>
      </c>
    </row>
    <row r="49" customFormat="false" ht="15" hidden="false" customHeight="false" outlineLevel="0" collapsed="false">
      <c r="A49" s="6" t="s">
        <v>2283</v>
      </c>
      <c r="B49" s="6" t="s">
        <v>2134</v>
      </c>
      <c r="C49" s="6" t="s">
        <v>2284</v>
      </c>
      <c r="D49" s="6" t="n">
        <f aca="false">COUNTIF('Speaker Appearances'!$A$2:$A$668,A49)</f>
        <v>1</v>
      </c>
    </row>
    <row r="50" customFormat="false" ht="15" hidden="false" customHeight="false" outlineLevel="0" collapsed="false">
      <c r="A50" s="6" t="s">
        <v>1562</v>
      </c>
      <c r="B50" s="6"/>
      <c r="C50" s="6"/>
      <c r="D50" s="6" t="n">
        <f aca="false">COUNTIF('Speaker Appearances'!$A$2:$A$668,A50)</f>
        <v>1</v>
      </c>
    </row>
    <row r="51" customFormat="false" ht="15" hidden="false" customHeight="false" outlineLevel="0" collapsed="false">
      <c r="A51" s="6" t="s">
        <v>1563</v>
      </c>
      <c r="B51" s="6" t="s">
        <v>1564</v>
      </c>
      <c r="C51" s="6" t="s">
        <v>1565</v>
      </c>
      <c r="D51" s="6" t="n">
        <f aca="false">COUNTIF('Speaker Appearances'!$A$2:$A$668,A51)</f>
        <v>3</v>
      </c>
    </row>
    <row r="52" customFormat="false" ht="15" hidden="false" customHeight="false" outlineLevel="0" collapsed="false">
      <c r="A52" s="6" t="s">
        <v>1804</v>
      </c>
      <c r="B52" s="6" t="s">
        <v>1805</v>
      </c>
      <c r="C52" s="6" t="s">
        <v>1806</v>
      </c>
      <c r="D52" s="6" t="n">
        <f aca="false">COUNTIF('Speaker Appearances'!$A$2:$A$668,A52)</f>
        <v>2</v>
      </c>
    </row>
    <row r="53" customFormat="false" ht="15" hidden="false" customHeight="false" outlineLevel="0" collapsed="false">
      <c r="A53" s="6" t="s">
        <v>1797</v>
      </c>
      <c r="B53" s="6" t="s">
        <v>1798</v>
      </c>
      <c r="C53" s="6" t="s">
        <v>1799</v>
      </c>
      <c r="D53" s="6" t="n">
        <f aca="false">COUNTIF('Speaker Appearances'!$A$2:$A$668,A53)</f>
        <v>3</v>
      </c>
    </row>
    <row r="54" customFormat="false" ht="15" hidden="false" customHeight="false" outlineLevel="0" collapsed="false">
      <c r="A54" s="6" t="s">
        <v>1838</v>
      </c>
      <c r="B54" s="6" t="s">
        <v>1839</v>
      </c>
      <c r="C54" s="6" t="s">
        <v>1840</v>
      </c>
      <c r="D54" s="6" t="n">
        <f aca="false">COUNTIF('Speaker Appearances'!$A$2:$A$668,A54)</f>
        <v>1</v>
      </c>
    </row>
    <row r="55" customFormat="false" ht="15" hidden="false" customHeight="false" outlineLevel="0" collapsed="false">
      <c r="A55" s="6" t="s">
        <v>1857</v>
      </c>
      <c r="B55" s="6" t="s">
        <v>1858</v>
      </c>
      <c r="C55" s="6" t="s">
        <v>1859</v>
      </c>
      <c r="D55" s="6" t="n">
        <f aca="false">COUNTIF('Speaker Appearances'!$A$2:$A$668,A55)</f>
        <v>1</v>
      </c>
    </row>
    <row r="56" customFormat="false" ht="15" hidden="false" customHeight="false" outlineLevel="0" collapsed="false">
      <c r="A56" s="6" t="s">
        <v>1718</v>
      </c>
      <c r="B56" s="6" t="s">
        <v>1719</v>
      </c>
      <c r="C56" s="6" t="s">
        <v>1720</v>
      </c>
      <c r="D56" s="6" t="n">
        <f aca="false">COUNTIF('Speaker Appearances'!$A$2:$A$668,A56)</f>
        <v>1</v>
      </c>
    </row>
    <row r="57" customFormat="false" ht="15" hidden="false" customHeight="false" outlineLevel="0" collapsed="false">
      <c r="A57" s="6" t="s">
        <v>1313</v>
      </c>
      <c r="B57" s="6" t="s">
        <v>2056</v>
      </c>
      <c r="C57" s="6" t="s">
        <v>368</v>
      </c>
      <c r="D57" s="6" t="n">
        <f aca="false">COUNTIF('Speaker Appearances'!$A$2:$A$668,A57)</f>
        <v>3</v>
      </c>
    </row>
    <row r="58" customFormat="false" ht="15" hidden="false" customHeight="false" outlineLevel="0" collapsed="false">
      <c r="A58" s="6" t="s">
        <v>1964</v>
      </c>
      <c r="B58" s="6" t="s">
        <v>2190</v>
      </c>
      <c r="C58" s="6" t="s">
        <v>2191</v>
      </c>
      <c r="D58" s="6" t="n">
        <f aca="false">COUNTIF('Speaker Appearances'!$A$2:$A$668,A58)</f>
        <v>2</v>
      </c>
    </row>
    <row r="59" customFormat="false" ht="15" hidden="false" customHeight="false" outlineLevel="0" collapsed="false">
      <c r="A59" s="6" t="s">
        <v>1922</v>
      </c>
      <c r="B59" s="6" t="s">
        <v>1923</v>
      </c>
      <c r="C59" s="6" t="s">
        <v>1924</v>
      </c>
      <c r="D59" s="6" t="n">
        <f aca="false">COUNTIF('Speaker Appearances'!$A$2:$A$668,A59)</f>
        <v>4</v>
      </c>
    </row>
    <row r="60" customFormat="false" ht="15" hidden="false" customHeight="false" outlineLevel="0" collapsed="false">
      <c r="A60" s="6" t="s">
        <v>228</v>
      </c>
      <c r="B60" s="6" t="s">
        <v>1432</v>
      </c>
      <c r="C60" s="6" t="s">
        <v>229</v>
      </c>
      <c r="D60" s="6" t="n">
        <f aca="false">COUNTIF('Speaker Appearances'!$A$2:$A$668,A60)</f>
        <v>2</v>
      </c>
    </row>
    <row r="61" customFormat="false" ht="15" hidden="false" customHeight="false" outlineLevel="0" collapsed="false">
      <c r="A61" s="6" t="s">
        <v>1434</v>
      </c>
      <c r="B61" s="6" t="s">
        <v>1435</v>
      </c>
      <c r="C61" s="6" t="s">
        <v>1436</v>
      </c>
      <c r="D61" s="6" t="n">
        <f aca="false">COUNTIF('Speaker Appearances'!$A$2:$A$668,A61)</f>
        <v>1</v>
      </c>
    </row>
    <row r="62" customFormat="false" ht="15" hidden="false" customHeight="false" outlineLevel="0" collapsed="false">
      <c r="A62" s="6" t="s">
        <v>2248</v>
      </c>
      <c r="B62" s="6" t="s">
        <v>1729</v>
      </c>
      <c r="C62" s="6" t="s">
        <v>2249</v>
      </c>
      <c r="D62" s="6" t="n">
        <f aca="false">COUNTIF('Speaker Appearances'!$A$2:$A$668,A62)</f>
        <v>1</v>
      </c>
    </row>
    <row r="63" customFormat="false" ht="15" hidden="false" customHeight="false" outlineLevel="0" collapsed="false">
      <c r="A63" s="6" t="s">
        <v>763</v>
      </c>
      <c r="B63" s="6" t="s">
        <v>1994</v>
      </c>
      <c r="C63" s="6" t="s">
        <v>764</v>
      </c>
      <c r="D63" s="6" t="n">
        <f aca="false">COUNTIF('Speaker Appearances'!$A$2:$A$668,A63)</f>
        <v>1</v>
      </c>
    </row>
    <row r="64" customFormat="false" ht="15" hidden="false" customHeight="false" outlineLevel="0" collapsed="false">
      <c r="A64" s="6" t="s">
        <v>1598</v>
      </c>
      <c r="B64" s="6" t="s">
        <v>1599</v>
      </c>
      <c r="C64" s="6" t="s">
        <v>1600</v>
      </c>
      <c r="D64" s="6" t="n">
        <f aca="false">COUNTIF('Speaker Appearances'!$A$2:$A$668,A64)</f>
        <v>3</v>
      </c>
    </row>
    <row r="65" customFormat="false" ht="15" hidden="false" customHeight="false" outlineLevel="0" collapsed="false">
      <c r="A65" s="6" t="s">
        <v>2070</v>
      </c>
      <c r="B65" s="6"/>
      <c r="C65" s="6"/>
      <c r="D65" s="6" t="n">
        <f aca="false">COUNTIF('Speaker Appearances'!$A$2:$A$668,A65)</f>
        <v>1</v>
      </c>
    </row>
    <row r="66" customFormat="false" ht="15" hidden="false" customHeight="false" outlineLevel="0" collapsed="false">
      <c r="A66" s="6" t="s">
        <v>2254</v>
      </c>
      <c r="B66" s="6" t="s">
        <v>2255</v>
      </c>
      <c r="C66" s="6" t="s">
        <v>1053</v>
      </c>
      <c r="D66" s="6" t="n">
        <f aca="false">COUNTIF('Speaker Appearances'!$A$2:$A$668,A66)</f>
        <v>1</v>
      </c>
    </row>
    <row r="67" customFormat="false" ht="15" hidden="false" customHeight="false" outlineLevel="0" collapsed="false">
      <c r="A67" s="6" t="s">
        <v>1946</v>
      </c>
      <c r="B67" s="6"/>
      <c r="C67" s="6"/>
      <c r="D67" s="6" t="n">
        <f aca="false">COUNTIF('Speaker Appearances'!$A$2:$A$668,A67)</f>
        <v>1</v>
      </c>
    </row>
    <row r="68" customFormat="false" ht="15" hidden="false" customHeight="false" outlineLevel="0" collapsed="false">
      <c r="A68" s="6" t="s">
        <v>1628</v>
      </c>
      <c r="B68" s="6" t="s">
        <v>1629</v>
      </c>
      <c r="C68" s="6" t="s">
        <v>1630</v>
      </c>
      <c r="D68" s="6" t="n">
        <f aca="false">COUNTIF('Speaker Appearances'!$A$2:$A$668,A68)</f>
        <v>1</v>
      </c>
    </row>
    <row r="69" customFormat="false" ht="15" hidden="false" customHeight="false" outlineLevel="0" collapsed="false">
      <c r="A69" s="6" t="s">
        <v>1382</v>
      </c>
      <c r="B69" s="6" t="s">
        <v>1383</v>
      </c>
      <c r="C69" s="6" t="s">
        <v>1384</v>
      </c>
      <c r="D69" s="6" t="n">
        <f aca="false">COUNTIF('Speaker Appearances'!$A$2:$A$668,A69)</f>
        <v>1</v>
      </c>
    </row>
    <row r="70" customFormat="false" ht="15" hidden="false" customHeight="false" outlineLevel="0" collapsed="false">
      <c r="A70" s="6" t="s">
        <v>1561</v>
      </c>
      <c r="B70" s="6"/>
      <c r="C70" s="6"/>
      <c r="D70" s="6" t="n">
        <f aca="false">COUNTIF('Speaker Appearances'!$A$2:$A$668,A70)</f>
        <v>1</v>
      </c>
    </row>
    <row r="71" customFormat="false" ht="15" hidden="false" customHeight="false" outlineLevel="0" collapsed="false">
      <c r="A71" s="6" t="s">
        <v>1968</v>
      </c>
      <c r="B71" s="6"/>
      <c r="C71" s="6"/>
      <c r="D71" s="6" t="n">
        <f aca="false">COUNTIF('Speaker Appearances'!$A$2:$A$668,A71)</f>
        <v>1</v>
      </c>
    </row>
    <row r="72" customFormat="false" ht="15" hidden="false" customHeight="false" outlineLevel="0" collapsed="false">
      <c r="A72" s="6" t="s">
        <v>2124</v>
      </c>
      <c r="B72" s="6" t="s">
        <v>2125</v>
      </c>
      <c r="C72" s="6" t="s">
        <v>2126</v>
      </c>
      <c r="D72" s="6" t="n">
        <f aca="false">COUNTIF('Speaker Appearances'!$A$2:$A$668,A72)</f>
        <v>1</v>
      </c>
    </row>
    <row r="73" customFormat="false" ht="15" hidden="false" customHeight="false" outlineLevel="0" collapsed="false">
      <c r="A73" s="6" t="s">
        <v>1023</v>
      </c>
      <c r="B73" s="6" t="s">
        <v>1856</v>
      </c>
      <c r="C73" s="6" t="s">
        <v>1024</v>
      </c>
      <c r="D73" s="6" t="n">
        <f aca="false">COUNTIF('Speaker Appearances'!$A$2:$A$668,A73)</f>
        <v>1</v>
      </c>
    </row>
    <row r="74" customFormat="false" ht="15" hidden="false" customHeight="false" outlineLevel="0" collapsed="false">
      <c r="A74" s="6" t="s">
        <v>1778</v>
      </c>
      <c r="B74" s="6" t="s">
        <v>1779</v>
      </c>
      <c r="C74" s="6" t="s">
        <v>727</v>
      </c>
      <c r="D74" s="6" t="n">
        <f aca="false">COUNTIF('Speaker Appearances'!$A$2:$A$668,A74)</f>
        <v>1</v>
      </c>
    </row>
    <row r="75" customFormat="false" ht="15" hidden="false" customHeight="false" outlineLevel="0" collapsed="false">
      <c r="A75" s="6" t="s">
        <v>1879</v>
      </c>
      <c r="B75" s="6" t="s">
        <v>1880</v>
      </c>
      <c r="C75" s="6" t="s">
        <v>1881</v>
      </c>
      <c r="D75" s="6" t="n">
        <f aca="false">COUNTIF('Speaker Appearances'!$A$2:$A$668,A75)</f>
        <v>2</v>
      </c>
    </row>
    <row r="76" customFormat="false" ht="15" hidden="false" customHeight="false" outlineLevel="0" collapsed="false">
      <c r="A76" s="6" t="s">
        <v>2324</v>
      </c>
      <c r="B76" s="6" t="s">
        <v>2325</v>
      </c>
      <c r="C76" s="6" t="s">
        <v>1588</v>
      </c>
      <c r="D76" s="6" t="n">
        <f aca="false">COUNTIF('Speaker Appearances'!$A$2:$A$668,A76)</f>
        <v>1</v>
      </c>
    </row>
    <row r="77" customFormat="false" ht="15" hidden="false" customHeight="false" outlineLevel="0" collapsed="false">
      <c r="A77" s="6" t="s">
        <v>586</v>
      </c>
      <c r="B77" s="6" t="s">
        <v>1919</v>
      </c>
      <c r="C77" s="6" t="s">
        <v>587</v>
      </c>
      <c r="D77" s="6" t="n">
        <f aca="false">COUNTIF('Speaker Appearances'!$A$2:$A$668,A77)</f>
        <v>1</v>
      </c>
    </row>
    <row r="78" customFormat="false" ht="15" hidden="false" customHeight="false" outlineLevel="0" collapsed="false">
      <c r="A78" s="6" t="s">
        <v>2090</v>
      </c>
      <c r="B78" s="6" t="s">
        <v>2091</v>
      </c>
      <c r="C78" s="6" t="s">
        <v>2092</v>
      </c>
      <c r="D78" s="6" t="n">
        <f aca="false">COUNTIF('Speaker Appearances'!$A$2:$A$668,A78)</f>
        <v>2</v>
      </c>
    </row>
    <row r="79" customFormat="false" ht="15" hidden="false" customHeight="false" outlineLevel="0" collapsed="false">
      <c r="A79" s="6" t="s">
        <v>1897</v>
      </c>
      <c r="B79" s="6" t="s">
        <v>1898</v>
      </c>
      <c r="C79" s="6" t="s">
        <v>1053</v>
      </c>
      <c r="D79" s="6" t="n">
        <f aca="false">COUNTIF('Speaker Appearances'!$A$2:$A$668,A79)</f>
        <v>1</v>
      </c>
    </row>
    <row r="80" customFormat="false" ht="15" hidden="false" customHeight="false" outlineLevel="0" collapsed="false">
      <c r="A80" s="6" t="s">
        <v>1445</v>
      </c>
      <c r="B80" s="6" t="s">
        <v>1446</v>
      </c>
      <c r="C80" s="6" t="s">
        <v>1447</v>
      </c>
      <c r="D80" s="6" t="n">
        <f aca="false">COUNTIF('Speaker Appearances'!$A$2:$A$668,A80)</f>
        <v>1</v>
      </c>
    </row>
    <row r="81" customFormat="false" ht="15" hidden="false" customHeight="false" outlineLevel="0" collapsed="false">
      <c r="A81" s="6" t="s">
        <v>979</v>
      </c>
      <c r="B81" s="6" t="s">
        <v>1675</v>
      </c>
      <c r="C81" s="6" t="s">
        <v>980</v>
      </c>
      <c r="D81" s="6" t="n">
        <f aca="false">COUNTIF('Speaker Appearances'!$A$2:$A$668,A81)</f>
        <v>1</v>
      </c>
    </row>
    <row r="82" customFormat="false" ht="15" hidden="false" customHeight="false" outlineLevel="0" collapsed="false">
      <c r="A82" s="6" t="s">
        <v>2153</v>
      </c>
      <c r="B82" s="6" t="s">
        <v>2154</v>
      </c>
      <c r="C82" s="6" t="s">
        <v>1588</v>
      </c>
      <c r="D82" s="6" t="n">
        <f aca="false">COUNTIF('Speaker Appearances'!$A$2:$A$668,A82)</f>
        <v>1</v>
      </c>
    </row>
    <row r="83" customFormat="false" ht="15" hidden="false" customHeight="false" outlineLevel="0" collapsed="false">
      <c r="A83" s="6" t="s">
        <v>1894</v>
      </c>
      <c r="B83" s="6" t="s">
        <v>1895</v>
      </c>
      <c r="C83" s="6" t="s">
        <v>1896</v>
      </c>
      <c r="D83" s="6" t="n">
        <f aca="false">COUNTIF('Speaker Appearances'!$A$2:$A$668,A83)</f>
        <v>1</v>
      </c>
    </row>
    <row r="84" customFormat="false" ht="15" hidden="false" customHeight="false" outlineLevel="0" collapsed="false">
      <c r="A84" s="6" t="s">
        <v>1955</v>
      </c>
      <c r="B84" s="6"/>
      <c r="C84" s="6"/>
      <c r="D84" s="6" t="n">
        <f aca="false">COUNTIF('Speaker Appearances'!$A$2:$A$668,A84)</f>
        <v>1</v>
      </c>
    </row>
    <row r="85" customFormat="false" ht="15" hidden="false" customHeight="false" outlineLevel="0" collapsed="false">
      <c r="A85" s="6" t="s">
        <v>1544</v>
      </c>
      <c r="B85" s="6" t="s">
        <v>1545</v>
      </c>
      <c r="C85" s="6" t="s">
        <v>242</v>
      </c>
      <c r="D85" s="6" t="n">
        <f aca="false">COUNTIF('Speaker Appearances'!$A$2:$A$668,A85)</f>
        <v>2</v>
      </c>
    </row>
    <row r="86" customFormat="false" ht="15" hidden="false" customHeight="false" outlineLevel="0" collapsed="false">
      <c r="A86" s="6" t="s">
        <v>1468</v>
      </c>
      <c r="B86" s="6" t="s">
        <v>1412</v>
      </c>
      <c r="C86" s="6" t="s">
        <v>1469</v>
      </c>
      <c r="D86" s="6" t="n">
        <f aca="false">COUNTIF('Speaker Appearances'!$A$2:$A$668,A86)</f>
        <v>1</v>
      </c>
    </row>
    <row r="87" customFormat="false" ht="15" hidden="false" customHeight="false" outlineLevel="0" collapsed="false">
      <c r="A87" s="6" t="s">
        <v>2109</v>
      </c>
      <c r="B87" s="6" t="s">
        <v>1542</v>
      </c>
      <c r="C87" s="6" t="s">
        <v>2110</v>
      </c>
      <c r="D87" s="6" t="n">
        <f aca="false">COUNTIF('Speaker Appearances'!$A$2:$A$668,A87)</f>
        <v>1</v>
      </c>
    </row>
    <row r="88" customFormat="false" ht="15" hidden="false" customHeight="false" outlineLevel="0" collapsed="false">
      <c r="A88" s="6" t="s">
        <v>1307</v>
      </c>
      <c r="B88" s="6" t="s">
        <v>2282</v>
      </c>
      <c r="C88" s="6" t="s">
        <v>1308</v>
      </c>
      <c r="D88" s="6" t="n">
        <f aca="false">COUNTIF('Speaker Appearances'!$A$2:$A$668,A88)</f>
        <v>1</v>
      </c>
    </row>
    <row r="89" customFormat="false" ht="15" hidden="false" customHeight="false" outlineLevel="0" collapsed="false">
      <c r="A89" s="6" t="s">
        <v>1663</v>
      </c>
      <c r="B89" s="6" t="s">
        <v>1664</v>
      </c>
      <c r="C89" s="6" t="s">
        <v>1665</v>
      </c>
      <c r="D89" s="6" t="n">
        <f aca="false">COUNTIF('Speaker Appearances'!$A$2:$A$668,A89)</f>
        <v>1</v>
      </c>
    </row>
    <row r="90" customFormat="false" ht="15" hidden="false" customHeight="false" outlineLevel="0" collapsed="false">
      <c r="A90" s="6" t="s">
        <v>1904</v>
      </c>
      <c r="B90" s="6" t="s">
        <v>1905</v>
      </c>
      <c r="C90" s="6" t="s">
        <v>1906</v>
      </c>
      <c r="D90" s="6" t="n">
        <f aca="false">COUNTIF('Speaker Appearances'!$A$2:$A$668,A90)</f>
        <v>1</v>
      </c>
    </row>
    <row r="91" customFormat="false" ht="15" hidden="false" customHeight="false" outlineLevel="0" collapsed="false">
      <c r="A91" s="6" t="s">
        <v>141</v>
      </c>
      <c r="B91" s="6" t="s">
        <v>1412</v>
      </c>
      <c r="C91" s="6" t="s">
        <v>142</v>
      </c>
      <c r="D91" s="6" t="n">
        <f aca="false">COUNTIF('Speaker Appearances'!$A$2:$A$668,A91)</f>
        <v>1</v>
      </c>
    </row>
    <row r="92" customFormat="false" ht="15" hidden="false" customHeight="false" outlineLevel="0" collapsed="false">
      <c r="A92" s="6" t="s">
        <v>1606</v>
      </c>
      <c r="B92" s="6" t="s">
        <v>1607</v>
      </c>
      <c r="C92" s="6" t="s">
        <v>79</v>
      </c>
      <c r="D92" s="6" t="n">
        <f aca="false">COUNTIF('Speaker Appearances'!$A$2:$A$668,A92)</f>
        <v>1</v>
      </c>
    </row>
    <row r="93" customFormat="false" ht="15" hidden="false" customHeight="false" outlineLevel="0" collapsed="false">
      <c r="A93" s="6" t="s">
        <v>1226</v>
      </c>
      <c r="B93" s="6" t="s">
        <v>2243</v>
      </c>
      <c r="C93" s="6" t="s">
        <v>1227</v>
      </c>
      <c r="D93" s="6" t="n">
        <f aca="false">COUNTIF('Speaker Appearances'!$A$2:$A$668,A93)</f>
        <v>1</v>
      </c>
    </row>
    <row r="94" customFormat="false" ht="15" hidden="false" customHeight="false" outlineLevel="0" collapsed="false">
      <c r="A94" s="6" t="s">
        <v>913</v>
      </c>
      <c r="B94" s="6"/>
      <c r="C94" s="6"/>
      <c r="D94" s="6" t="n">
        <f aca="false">COUNTIF('Speaker Appearances'!$A$2:$A$668,A94)</f>
        <v>1</v>
      </c>
    </row>
    <row r="95" customFormat="false" ht="15" hidden="false" customHeight="false" outlineLevel="0" collapsed="false">
      <c r="A95" s="6" t="s">
        <v>1721</v>
      </c>
      <c r="B95" s="6" t="s">
        <v>1722</v>
      </c>
      <c r="C95" s="6" t="s">
        <v>1723</v>
      </c>
      <c r="D95" s="6" t="n">
        <f aca="false">COUNTIF('Speaker Appearances'!$A$2:$A$668,A95)</f>
        <v>2</v>
      </c>
    </row>
    <row r="96" customFormat="false" ht="15" hidden="false" customHeight="false" outlineLevel="0" collapsed="false">
      <c r="A96" s="6" t="s">
        <v>1407</v>
      </c>
      <c r="B96" s="6" t="s">
        <v>1408</v>
      </c>
      <c r="C96" s="6" t="s">
        <v>492</v>
      </c>
      <c r="D96" s="6" t="n">
        <f aca="false">COUNTIF('Speaker Appearances'!$A$2:$A$668,A96)</f>
        <v>2</v>
      </c>
    </row>
    <row r="97" customFormat="false" ht="15" hidden="false" customHeight="false" outlineLevel="0" collapsed="false">
      <c r="A97" s="6" t="s">
        <v>101</v>
      </c>
      <c r="B97" s="6" t="s">
        <v>1400</v>
      </c>
      <c r="C97" s="6" t="s">
        <v>102</v>
      </c>
      <c r="D97" s="6" t="n">
        <f aca="false">COUNTIF('Speaker Appearances'!$A$2:$A$668,A97)</f>
        <v>1</v>
      </c>
    </row>
    <row r="98" customFormat="false" ht="15" hidden="false" customHeight="false" outlineLevel="0" collapsed="false">
      <c r="A98" s="6" t="s">
        <v>1731</v>
      </c>
      <c r="B98" s="6" t="s">
        <v>1732</v>
      </c>
      <c r="C98" s="6" t="s">
        <v>1733</v>
      </c>
      <c r="D98" s="6" t="n">
        <f aca="false">COUNTIF('Speaker Appearances'!$A$2:$A$668,A98)</f>
        <v>1</v>
      </c>
    </row>
    <row r="99" customFormat="false" ht="15" hidden="false" customHeight="false" outlineLevel="0" collapsed="false">
      <c r="A99" s="6" t="s">
        <v>2059</v>
      </c>
      <c r="B99" s="6" t="s">
        <v>2060</v>
      </c>
      <c r="C99" s="6" t="s">
        <v>1574</v>
      </c>
      <c r="D99" s="6" t="n">
        <f aca="false">COUNTIF('Speaker Appearances'!$A$2:$A$668,A99)</f>
        <v>1</v>
      </c>
    </row>
    <row r="100" customFormat="false" ht="15" hidden="false" customHeight="false" outlineLevel="0" collapsed="false">
      <c r="A100" s="6" t="s">
        <v>2213</v>
      </c>
      <c r="B100" s="6" t="s">
        <v>2214</v>
      </c>
      <c r="C100" s="6" t="s">
        <v>2215</v>
      </c>
      <c r="D100" s="6" t="n">
        <f aca="false">COUNTIF('Speaker Appearances'!$A$2:$A$668,A100)</f>
        <v>1</v>
      </c>
    </row>
    <row r="101" customFormat="false" ht="15" hidden="false" customHeight="false" outlineLevel="0" collapsed="false">
      <c r="A101" s="6" t="s">
        <v>2102</v>
      </c>
      <c r="B101" s="6" t="s">
        <v>2103</v>
      </c>
      <c r="C101" s="6" t="s">
        <v>1588</v>
      </c>
      <c r="D101" s="6" t="n">
        <f aca="false">COUNTIF('Speaker Appearances'!$A$2:$A$668,A101)</f>
        <v>1</v>
      </c>
    </row>
    <row r="102" customFormat="false" ht="15" hidden="false" customHeight="false" outlineLevel="0" collapsed="false">
      <c r="A102" s="6" t="s">
        <v>825</v>
      </c>
      <c r="B102" s="6" t="s">
        <v>1412</v>
      </c>
      <c r="C102" s="6" t="s">
        <v>826</v>
      </c>
      <c r="D102" s="6" t="n">
        <f aca="false">COUNTIF('Speaker Appearances'!$A$2:$A$668,A102)</f>
        <v>1</v>
      </c>
    </row>
    <row r="103" customFormat="false" ht="15" hidden="false" customHeight="false" outlineLevel="0" collapsed="false">
      <c r="A103" s="6" t="s">
        <v>1821</v>
      </c>
      <c r="B103" s="6"/>
      <c r="C103" s="6"/>
      <c r="D103" s="6" t="n">
        <f aca="false">COUNTIF('Speaker Appearances'!$A$2:$A$668,A103)</f>
        <v>1</v>
      </c>
    </row>
    <row r="104" customFormat="false" ht="15" hidden="false" customHeight="false" outlineLevel="0" collapsed="false">
      <c r="A104" s="6" t="s">
        <v>1822</v>
      </c>
      <c r="B104" s="6" t="s">
        <v>1542</v>
      </c>
      <c r="C104" s="6" t="s">
        <v>2228</v>
      </c>
      <c r="D104" s="6" t="n">
        <f aca="false">COUNTIF('Speaker Appearances'!$A$2:$A$668,A104)</f>
        <v>2</v>
      </c>
    </row>
    <row r="105" customFormat="false" ht="15" hidden="false" customHeight="false" outlineLevel="0" collapsed="false">
      <c r="A105" s="6" t="s">
        <v>1489</v>
      </c>
      <c r="B105" s="6" t="s">
        <v>1490</v>
      </c>
      <c r="C105" s="6" t="s">
        <v>1491</v>
      </c>
      <c r="D105" s="6" t="n">
        <f aca="false">COUNTIF('Speaker Appearances'!$A$2:$A$668,A105)</f>
        <v>1</v>
      </c>
    </row>
    <row r="106" customFormat="false" ht="15" hidden="false" customHeight="false" outlineLevel="0" collapsed="false">
      <c r="A106" s="6" t="s">
        <v>1080</v>
      </c>
      <c r="B106" s="6" t="s">
        <v>2149</v>
      </c>
      <c r="C106" s="6" t="s">
        <v>1081</v>
      </c>
      <c r="D106" s="6" t="n">
        <f aca="false">COUNTIF('Speaker Appearances'!$A$2:$A$668,A106)</f>
        <v>1</v>
      </c>
    </row>
    <row r="107" customFormat="false" ht="15" hidden="false" customHeight="false" outlineLevel="0" collapsed="false">
      <c r="A107" s="6" t="s">
        <v>2183</v>
      </c>
      <c r="B107" s="6" t="s">
        <v>2184</v>
      </c>
      <c r="C107" s="6" t="s">
        <v>492</v>
      </c>
      <c r="D107" s="6" t="n">
        <f aca="false">COUNTIF('Speaker Appearances'!$A$2:$A$668,A107)</f>
        <v>1</v>
      </c>
    </row>
    <row r="108" customFormat="false" ht="15" hidden="false" customHeight="false" outlineLevel="0" collapsed="false">
      <c r="A108" s="6" t="s">
        <v>2279</v>
      </c>
      <c r="B108" s="6"/>
      <c r="C108" s="6"/>
      <c r="D108" s="6" t="n">
        <f aca="false">COUNTIF('Speaker Appearances'!$A$2:$A$668,A108)</f>
        <v>1</v>
      </c>
    </row>
    <row r="109" customFormat="false" ht="15" hidden="false" customHeight="false" outlineLevel="0" collapsed="false">
      <c r="A109" s="6" t="s">
        <v>1534</v>
      </c>
      <c r="B109" s="6" t="s">
        <v>1412</v>
      </c>
      <c r="C109" s="6" t="s">
        <v>1535</v>
      </c>
      <c r="D109" s="6" t="n">
        <f aca="false">COUNTIF('Speaker Appearances'!$A$2:$A$668,A109)</f>
        <v>2</v>
      </c>
    </row>
    <row r="110" customFormat="false" ht="15" hidden="false" customHeight="false" outlineLevel="0" collapsed="false">
      <c r="A110" s="6" t="s">
        <v>1409</v>
      </c>
      <c r="B110" s="6" t="s">
        <v>1410</v>
      </c>
      <c r="C110" s="6" t="s">
        <v>1411</v>
      </c>
      <c r="D110" s="6" t="n">
        <f aca="false">COUNTIF('Speaker Appearances'!$A$2:$A$668,A110)</f>
        <v>4</v>
      </c>
    </row>
    <row r="111" customFormat="false" ht="15" hidden="false" customHeight="false" outlineLevel="0" collapsed="false">
      <c r="A111" s="6" t="s">
        <v>1884</v>
      </c>
      <c r="B111" s="6" t="s">
        <v>1885</v>
      </c>
      <c r="C111" s="6" t="s">
        <v>1886</v>
      </c>
      <c r="D111" s="6" t="n">
        <f aca="false">COUNTIF('Speaker Appearances'!$A$2:$A$668,A111)</f>
        <v>2</v>
      </c>
    </row>
    <row r="112" customFormat="false" ht="15" hidden="false" customHeight="false" outlineLevel="0" collapsed="false">
      <c r="A112" s="6" t="s">
        <v>1882</v>
      </c>
      <c r="B112" s="6" t="s">
        <v>1883</v>
      </c>
      <c r="C112" s="6" t="s">
        <v>1662</v>
      </c>
      <c r="D112" s="6" t="n">
        <f aca="false">COUNTIF('Speaker Appearances'!$A$2:$A$668,A112)</f>
        <v>1</v>
      </c>
    </row>
    <row r="113" customFormat="false" ht="23.85" hidden="false" customHeight="false" outlineLevel="0" collapsed="false">
      <c r="A113" s="6" t="s">
        <v>1648</v>
      </c>
      <c r="B113" s="6" t="s">
        <v>1649</v>
      </c>
      <c r="C113" s="6" t="s">
        <v>1650</v>
      </c>
      <c r="D113" s="6" t="n">
        <f aca="false">COUNTIF('Speaker Appearances'!$A$2:$A$668,A113)</f>
        <v>1</v>
      </c>
    </row>
    <row r="114" customFormat="false" ht="15" hidden="false" customHeight="false" outlineLevel="0" collapsed="false">
      <c r="A114" s="6" t="s">
        <v>1988</v>
      </c>
      <c r="B114" s="6" t="s">
        <v>1542</v>
      </c>
      <c r="C114" s="6" t="s">
        <v>1989</v>
      </c>
      <c r="D114" s="6" t="n">
        <f aca="false">COUNTIF('Speaker Appearances'!$A$2:$A$668,A114)</f>
        <v>2</v>
      </c>
    </row>
    <row r="115" customFormat="false" ht="15" hidden="false" customHeight="false" outlineLevel="0" collapsed="false">
      <c r="A115" s="6" t="s">
        <v>1681</v>
      </c>
      <c r="B115" s="6" t="s">
        <v>1682</v>
      </c>
      <c r="C115" s="6" t="s">
        <v>1683</v>
      </c>
      <c r="D115" s="6" t="n">
        <f aca="false">COUNTIF('Speaker Appearances'!$A$2:$A$668,A115)</f>
        <v>2</v>
      </c>
    </row>
    <row r="116" customFormat="false" ht="15" hidden="false" customHeight="false" outlineLevel="0" collapsed="false">
      <c r="A116" s="6" t="s">
        <v>1103</v>
      </c>
      <c r="B116" s="6" t="s">
        <v>2167</v>
      </c>
      <c r="C116" s="6" t="s">
        <v>1104</v>
      </c>
      <c r="D116" s="6" t="n">
        <f aca="false">COUNTIF('Speaker Appearances'!$A$2:$A$668,A116)</f>
        <v>1</v>
      </c>
    </row>
    <row r="117" customFormat="false" ht="15" hidden="false" customHeight="false" outlineLevel="0" collapsed="false">
      <c r="A117" s="6" t="s">
        <v>937</v>
      </c>
      <c r="B117" s="6" t="s">
        <v>2074</v>
      </c>
      <c r="C117" s="6" t="s">
        <v>938</v>
      </c>
      <c r="D117" s="6" t="n">
        <f aca="false">COUNTIF('Speaker Appearances'!$A$2:$A$668,A117)</f>
        <v>1</v>
      </c>
    </row>
    <row r="118" customFormat="false" ht="15" hidden="false" customHeight="false" outlineLevel="0" collapsed="false">
      <c r="A118" s="6" t="s">
        <v>1845</v>
      </c>
      <c r="B118" s="6" t="s">
        <v>1846</v>
      </c>
      <c r="C118" s="6" t="s">
        <v>587</v>
      </c>
      <c r="D118" s="6" t="n">
        <f aca="false">COUNTIF('Speaker Appearances'!$A$2:$A$668,A118)</f>
        <v>1</v>
      </c>
    </row>
    <row r="119" customFormat="false" ht="15" hidden="false" customHeight="false" outlineLevel="0" collapsed="false">
      <c r="A119" s="6" t="s">
        <v>1310</v>
      </c>
      <c r="B119" s="6" t="s">
        <v>2057</v>
      </c>
      <c r="C119" s="6" t="s">
        <v>1450</v>
      </c>
      <c r="D119" s="6" t="n">
        <f aca="false">COUNTIF('Speaker Appearances'!$A$2:$A$668,A119)</f>
        <v>2</v>
      </c>
    </row>
    <row r="120" customFormat="false" ht="15" hidden="false" customHeight="false" outlineLevel="0" collapsed="false">
      <c r="A120" s="6" t="s">
        <v>1942</v>
      </c>
      <c r="B120" s="6"/>
      <c r="C120" s="6"/>
      <c r="D120" s="6" t="n">
        <f aca="false">COUNTIF('Speaker Appearances'!$A$2:$A$668,A120)</f>
        <v>1</v>
      </c>
    </row>
    <row r="121" customFormat="false" ht="15" hidden="false" customHeight="false" outlineLevel="0" collapsed="false">
      <c r="A121" s="6" t="s">
        <v>767</v>
      </c>
      <c r="B121" s="6" t="s">
        <v>1995</v>
      </c>
      <c r="C121" s="6" t="s">
        <v>768</v>
      </c>
      <c r="D121" s="6" t="n">
        <f aca="false">COUNTIF('Speaker Appearances'!$A$2:$A$668,A121)</f>
        <v>1</v>
      </c>
    </row>
    <row r="122" customFormat="false" ht="15" hidden="false" customHeight="false" outlineLevel="0" collapsed="false">
      <c r="A122" s="6" t="s">
        <v>1813</v>
      </c>
      <c r="B122" s="6" t="s">
        <v>1446</v>
      </c>
      <c r="C122" s="6" t="s">
        <v>1814</v>
      </c>
      <c r="D122" s="6" t="n">
        <f aca="false">COUNTIF('Speaker Appearances'!$A$2:$A$668,A122)</f>
        <v>2</v>
      </c>
    </row>
    <row r="123" customFormat="false" ht="15" hidden="false" customHeight="false" outlineLevel="0" collapsed="false">
      <c r="A123" s="6" t="s">
        <v>2277</v>
      </c>
      <c r="B123" s="6"/>
      <c r="C123" s="6"/>
      <c r="D123" s="6" t="n">
        <f aca="false">COUNTIF('Speaker Appearances'!$A$2:$A$668,A123)</f>
        <v>1</v>
      </c>
    </row>
    <row r="124" customFormat="false" ht="15" hidden="false" customHeight="false" outlineLevel="0" collapsed="false">
      <c r="A124" s="6" t="s">
        <v>2316</v>
      </c>
      <c r="B124" s="6" t="s">
        <v>2317</v>
      </c>
      <c r="C124" s="6" t="s">
        <v>1723</v>
      </c>
      <c r="D124" s="6" t="n">
        <f aca="false">COUNTIF('Speaker Appearances'!$A$2:$A$668,A124)</f>
        <v>1</v>
      </c>
    </row>
    <row r="125" customFormat="false" ht="15" hidden="false" customHeight="false" outlineLevel="0" collapsed="false">
      <c r="A125" s="6" t="s">
        <v>1618</v>
      </c>
      <c r="B125" s="6" t="s">
        <v>1619</v>
      </c>
      <c r="C125" s="6" t="s">
        <v>1620</v>
      </c>
      <c r="D125" s="6" t="n">
        <f aca="false">COUNTIF('Speaker Appearances'!$A$2:$A$668,A125)</f>
        <v>1</v>
      </c>
    </row>
    <row r="126" customFormat="false" ht="15" hidden="false" customHeight="false" outlineLevel="0" collapsed="false">
      <c r="A126" s="6" t="s">
        <v>2219</v>
      </c>
      <c r="B126" s="6" t="s">
        <v>1938</v>
      </c>
      <c r="C126" s="6" t="s">
        <v>2220</v>
      </c>
      <c r="D126" s="6" t="n">
        <f aca="false">COUNTIF('Speaker Appearances'!$A$2:$A$668,A126)</f>
        <v>1</v>
      </c>
    </row>
    <row r="127" customFormat="false" ht="15" hidden="false" customHeight="false" outlineLevel="0" collapsed="false">
      <c r="A127" s="6" t="s">
        <v>441</v>
      </c>
      <c r="B127" s="6" t="s">
        <v>1736</v>
      </c>
      <c r="C127" s="6" t="s">
        <v>388</v>
      </c>
      <c r="D127" s="6" t="n">
        <f aca="false">COUNTIF('Speaker Appearances'!$A$2:$A$668,A127)</f>
        <v>1</v>
      </c>
    </row>
    <row r="128" customFormat="false" ht="15" hidden="false" customHeight="false" outlineLevel="0" collapsed="false">
      <c r="A128" s="6" t="s">
        <v>1833</v>
      </c>
      <c r="B128" s="6" t="s">
        <v>1834</v>
      </c>
      <c r="C128" s="6" t="s">
        <v>85</v>
      </c>
      <c r="D128" s="6" t="n">
        <f aca="false">COUNTIF('Speaker Appearances'!$A$2:$A$668,A128)</f>
        <v>1</v>
      </c>
    </row>
    <row r="129" customFormat="false" ht="15" hidden="false" customHeight="false" outlineLevel="0" collapsed="false">
      <c r="A129" s="6" t="s">
        <v>1913</v>
      </c>
      <c r="B129" s="6" t="s">
        <v>1914</v>
      </c>
      <c r="C129" s="6" t="s">
        <v>1915</v>
      </c>
      <c r="D129" s="6" t="n">
        <f aca="false">COUNTIF('Speaker Appearances'!$A$2:$A$668,A129)</f>
        <v>2</v>
      </c>
    </row>
    <row r="130" customFormat="false" ht="15" hidden="false" customHeight="false" outlineLevel="0" collapsed="false">
      <c r="A130" s="6" t="s">
        <v>1706</v>
      </c>
      <c r="B130" s="6" t="s">
        <v>1691</v>
      </c>
      <c r="C130" s="6" t="s">
        <v>1707</v>
      </c>
      <c r="D130" s="6" t="n">
        <f aca="false">COUNTIF('Speaker Appearances'!$A$2:$A$668,A130)</f>
        <v>1</v>
      </c>
    </row>
    <row r="131" customFormat="false" ht="15" hidden="false" customHeight="false" outlineLevel="0" collapsed="false">
      <c r="A131" s="6" t="s">
        <v>1948</v>
      </c>
      <c r="B131" s="6"/>
      <c r="C131" s="6"/>
      <c r="D131" s="6" t="n">
        <f aca="false">COUNTIF('Speaker Appearances'!$A$2:$A$668,A131)</f>
        <v>1</v>
      </c>
    </row>
    <row r="132" customFormat="false" ht="15" hidden="false" customHeight="false" outlineLevel="0" collapsed="false">
      <c r="A132" s="6" t="s">
        <v>198</v>
      </c>
      <c r="B132" s="6" t="s">
        <v>1530</v>
      </c>
      <c r="C132" s="6" t="s">
        <v>199</v>
      </c>
      <c r="D132" s="6" t="n">
        <f aca="false">COUNTIF('Speaker Appearances'!$A$2:$A$668,A132)</f>
        <v>2</v>
      </c>
    </row>
    <row r="133" customFormat="false" ht="15" hidden="false" customHeight="false" outlineLevel="0" collapsed="false">
      <c r="A133" s="6" t="s">
        <v>2024</v>
      </c>
      <c r="B133" s="6" t="s">
        <v>2025</v>
      </c>
      <c r="C133" s="6" t="s">
        <v>1447</v>
      </c>
      <c r="D133" s="6" t="n">
        <f aca="false">COUNTIF('Speaker Appearances'!$A$2:$A$668,A133)</f>
        <v>1</v>
      </c>
    </row>
    <row r="134" customFormat="false" ht="15" hidden="false" customHeight="false" outlineLevel="0" collapsed="false">
      <c r="A134" s="6" t="s">
        <v>1032</v>
      </c>
      <c r="B134" s="6" t="s">
        <v>2121</v>
      </c>
      <c r="C134" s="6" t="s">
        <v>1033</v>
      </c>
      <c r="D134" s="6" t="n">
        <f aca="false">COUNTIF('Speaker Appearances'!$A$2:$A$668,A134)</f>
        <v>1</v>
      </c>
    </row>
    <row r="135" customFormat="false" ht="15" hidden="false" customHeight="false" outlineLevel="0" collapsed="false">
      <c r="A135" s="6" t="s">
        <v>2065</v>
      </c>
      <c r="B135" s="6" t="s">
        <v>2066</v>
      </c>
      <c r="C135" s="6" t="s">
        <v>907</v>
      </c>
      <c r="D135" s="6" t="n">
        <f aca="false">COUNTIF('Speaker Appearances'!$A$2:$A$668,A135)</f>
        <v>1</v>
      </c>
    </row>
    <row r="136" customFormat="false" ht="15" hidden="false" customHeight="false" outlineLevel="0" collapsed="false">
      <c r="A136" s="6" t="s">
        <v>1492</v>
      </c>
      <c r="B136" s="6" t="s">
        <v>1493</v>
      </c>
      <c r="C136" s="6" t="s">
        <v>388</v>
      </c>
      <c r="D136" s="6" t="n">
        <f aca="false">COUNTIF('Speaker Appearances'!$A$2:$A$668,A136)</f>
        <v>1</v>
      </c>
    </row>
    <row r="137" customFormat="false" ht="15" hidden="false" customHeight="false" outlineLevel="0" collapsed="false">
      <c r="A137" s="6" t="s">
        <v>2238</v>
      </c>
      <c r="B137" s="6" t="s">
        <v>2239</v>
      </c>
      <c r="C137" s="6" t="s">
        <v>2240</v>
      </c>
      <c r="D137" s="6" t="n">
        <f aca="false">COUNTIF('Speaker Appearances'!$A$2:$A$668,A137)</f>
        <v>1</v>
      </c>
    </row>
    <row r="138" customFormat="false" ht="15" hidden="false" customHeight="false" outlineLevel="0" collapsed="false">
      <c r="A138" s="6" t="s">
        <v>531</v>
      </c>
      <c r="B138" s="6" t="s">
        <v>1847</v>
      </c>
      <c r="C138" s="6" t="s">
        <v>532</v>
      </c>
      <c r="D138" s="6" t="n">
        <f aca="false">COUNTIF('Speaker Appearances'!$A$2:$A$668,A138)</f>
        <v>1</v>
      </c>
    </row>
    <row r="139" customFormat="false" ht="15" hidden="false" customHeight="false" outlineLevel="0" collapsed="false">
      <c r="A139" s="6" t="s">
        <v>1028</v>
      </c>
      <c r="B139" s="6" t="s">
        <v>1899</v>
      </c>
      <c r="C139" s="6" t="s">
        <v>1029</v>
      </c>
      <c r="D139" s="6" t="n">
        <f aca="false">COUNTIF('Speaker Appearances'!$A$2:$A$668,A139)</f>
        <v>2</v>
      </c>
    </row>
    <row r="140" customFormat="false" ht="15" hidden="false" customHeight="false" outlineLevel="0" collapsed="false">
      <c r="A140" s="6" t="s">
        <v>1230</v>
      </c>
      <c r="B140" s="6" t="s">
        <v>2244</v>
      </c>
      <c r="C140" s="6" t="s">
        <v>1231</v>
      </c>
      <c r="D140" s="6" t="n">
        <f aca="false">COUNTIF('Speaker Appearances'!$A$2:$A$668,A140)</f>
        <v>1</v>
      </c>
    </row>
    <row r="141" customFormat="false" ht="15" hidden="false" customHeight="false" outlineLevel="0" collapsed="false">
      <c r="A141" s="6" t="s">
        <v>829</v>
      </c>
      <c r="B141" s="6" t="s">
        <v>2021</v>
      </c>
      <c r="C141" s="6" t="s">
        <v>830</v>
      </c>
      <c r="D141" s="6" t="n">
        <f aca="false">COUNTIF('Speaker Appearances'!$A$2:$A$668,A141)</f>
        <v>1</v>
      </c>
    </row>
    <row r="142" customFormat="false" ht="15" hidden="false" customHeight="false" outlineLevel="0" collapsed="false">
      <c r="A142" s="6" t="s">
        <v>1531</v>
      </c>
      <c r="B142" s="6" t="s">
        <v>1532</v>
      </c>
      <c r="C142" s="6" t="s">
        <v>1533</v>
      </c>
      <c r="D142" s="6" t="n">
        <f aca="false">COUNTIF('Speaker Appearances'!$A$2:$A$668,A142)</f>
        <v>1</v>
      </c>
    </row>
    <row r="143" customFormat="false" ht="15" hidden="false" customHeight="false" outlineLevel="0" collapsed="false">
      <c r="A143" s="6" t="s">
        <v>1514</v>
      </c>
      <c r="B143" s="6" t="s">
        <v>1515</v>
      </c>
      <c r="C143" s="6" t="s">
        <v>1516</v>
      </c>
      <c r="D143" s="6" t="n">
        <f aca="false">COUNTIF('Speaker Appearances'!$A$2:$A$668,A143)</f>
        <v>1</v>
      </c>
    </row>
    <row r="144" customFormat="false" ht="15" hidden="false" customHeight="false" outlineLevel="0" collapsed="false">
      <c r="A144" s="6" t="s">
        <v>1613</v>
      </c>
      <c r="B144" s="6" t="s">
        <v>1614</v>
      </c>
      <c r="C144" s="6" t="s">
        <v>1615</v>
      </c>
      <c r="D144" s="6" t="n">
        <f aca="false">COUNTIF('Speaker Appearances'!$A$2:$A$668,A144)</f>
        <v>1</v>
      </c>
    </row>
    <row r="145" customFormat="false" ht="15" hidden="false" customHeight="false" outlineLevel="0" collapsed="false">
      <c r="A145" s="6" t="s">
        <v>206</v>
      </c>
      <c r="B145" s="6" t="s">
        <v>1412</v>
      </c>
      <c r="C145" s="6" t="s">
        <v>207</v>
      </c>
      <c r="D145" s="6" t="n">
        <f aca="false">COUNTIF('Speaker Appearances'!$A$2:$A$668,A145)</f>
        <v>1</v>
      </c>
    </row>
    <row r="146" customFormat="false" ht="15" hidden="false" customHeight="false" outlineLevel="0" collapsed="false">
      <c r="A146" s="6" t="s">
        <v>1638</v>
      </c>
      <c r="B146" s="6" t="s">
        <v>1639</v>
      </c>
      <c r="C146" s="6" t="s">
        <v>388</v>
      </c>
      <c r="D146" s="6" t="n">
        <f aca="false">COUNTIF('Speaker Appearances'!$A$2:$A$668,A146)</f>
        <v>1</v>
      </c>
    </row>
    <row r="147" customFormat="false" ht="15" hidden="false" customHeight="false" outlineLevel="0" collapsed="false">
      <c r="A147" s="6" t="s">
        <v>2187</v>
      </c>
      <c r="B147" s="6" t="s">
        <v>2188</v>
      </c>
      <c r="C147" s="6" t="s">
        <v>2189</v>
      </c>
      <c r="D147" s="6" t="n">
        <f aca="false">COUNTIF('Speaker Appearances'!$A$2:$A$668,A147)</f>
        <v>1</v>
      </c>
    </row>
    <row r="148" customFormat="false" ht="15" hidden="false" customHeight="false" outlineLevel="0" collapsed="false">
      <c r="A148" s="6" t="s">
        <v>1672</v>
      </c>
      <c r="B148" s="6" t="s">
        <v>1673</v>
      </c>
      <c r="C148" s="6" t="s">
        <v>1674</v>
      </c>
      <c r="D148" s="6" t="n">
        <f aca="false">COUNTIF('Speaker Appearances'!$A$2:$A$668,A148)</f>
        <v>1</v>
      </c>
    </row>
    <row r="149" customFormat="false" ht="15" hidden="false" customHeight="false" outlineLevel="0" collapsed="false">
      <c r="A149" s="6" t="s">
        <v>375</v>
      </c>
      <c r="B149" s="6" t="s">
        <v>1684</v>
      </c>
      <c r="C149" s="6" t="s">
        <v>85</v>
      </c>
      <c r="D149" s="6" t="n">
        <f aca="false">COUNTIF('Speaker Appearances'!$A$2:$A$668,A149)</f>
        <v>2</v>
      </c>
    </row>
    <row r="150" customFormat="false" ht="15" hidden="false" customHeight="false" outlineLevel="0" collapsed="false">
      <c r="A150" s="6" t="s">
        <v>2172</v>
      </c>
      <c r="B150" s="6" t="s">
        <v>2173</v>
      </c>
      <c r="C150" s="6" t="s">
        <v>2174</v>
      </c>
      <c r="D150" s="6" t="n">
        <f aca="false">COUNTIF('Speaker Appearances'!$A$2:$A$668,A150)</f>
        <v>1</v>
      </c>
    </row>
    <row r="151" customFormat="false" ht="15" hidden="false" customHeight="false" outlineLevel="0" collapsed="false">
      <c r="A151" s="6" t="s">
        <v>1916</v>
      </c>
      <c r="B151" s="6" t="s">
        <v>1917</v>
      </c>
      <c r="C151" s="6" t="s">
        <v>1918</v>
      </c>
      <c r="D151" s="6" t="n">
        <f aca="false">COUNTIF('Speaker Appearances'!$A$2:$A$668,A151)</f>
        <v>1</v>
      </c>
    </row>
    <row r="152" customFormat="false" ht="15" hidden="false" customHeight="false" outlineLevel="0" collapsed="false">
      <c r="A152" s="6" t="s">
        <v>1967</v>
      </c>
      <c r="B152" s="6"/>
      <c r="C152" s="6"/>
      <c r="D152" s="6" t="n">
        <f aca="false">COUNTIF('Speaker Appearances'!$A$2:$A$668,A152)</f>
        <v>1</v>
      </c>
    </row>
    <row r="153" customFormat="false" ht="15" hidden="false" customHeight="false" outlineLevel="0" collapsed="false">
      <c r="A153" s="6" t="s">
        <v>1566</v>
      </c>
      <c r="B153" s="6" t="s">
        <v>1567</v>
      </c>
      <c r="C153" s="6" t="s">
        <v>1568</v>
      </c>
      <c r="D153" s="6" t="n">
        <f aca="false">COUNTIF('Speaker Appearances'!$A$2:$A$668,A153)</f>
        <v>2</v>
      </c>
    </row>
    <row r="154" customFormat="false" ht="15" hidden="false" customHeight="false" outlineLevel="0" collapsed="false">
      <c r="A154" s="6" t="s">
        <v>2069</v>
      </c>
      <c r="B154" s="6"/>
      <c r="C154" s="6"/>
      <c r="D154" s="6" t="n">
        <f aca="false">COUNTIF('Speaker Appearances'!$A$2:$A$668,A154)</f>
        <v>1</v>
      </c>
    </row>
    <row r="155" customFormat="false" ht="15" hidden="false" customHeight="false" outlineLevel="0" collapsed="false">
      <c r="A155" s="6" t="s">
        <v>1792</v>
      </c>
      <c r="B155" s="6" t="s">
        <v>1793</v>
      </c>
      <c r="C155" s="6" t="s">
        <v>1794</v>
      </c>
      <c r="D155" s="6" t="n">
        <f aca="false">COUNTIF('Speaker Appearances'!$A$2:$A$668,A155)</f>
        <v>1</v>
      </c>
    </row>
    <row r="156" customFormat="false" ht="15" hidden="false" customHeight="false" outlineLevel="0" collapsed="false">
      <c r="A156" s="6" t="s">
        <v>2289</v>
      </c>
      <c r="B156" s="6" t="s">
        <v>2290</v>
      </c>
      <c r="C156" s="6" t="s">
        <v>2291</v>
      </c>
      <c r="D156" s="6" t="n">
        <f aca="false">COUNTIF('Speaker Appearances'!$A$2:$A$668,A156)</f>
        <v>2</v>
      </c>
    </row>
    <row r="157" customFormat="false" ht="15" hidden="false" customHeight="false" outlineLevel="0" collapsed="false">
      <c r="A157" s="6" t="s">
        <v>2012</v>
      </c>
      <c r="B157" s="6" t="s">
        <v>1446</v>
      </c>
      <c r="C157" s="6" t="s">
        <v>2013</v>
      </c>
      <c r="D157" s="6" t="n">
        <f aca="false">COUNTIF('Speaker Appearances'!$A$2:$A$668,A157)</f>
        <v>1</v>
      </c>
    </row>
    <row r="158" customFormat="false" ht="15" hidden="false" customHeight="false" outlineLevel="0" collapsed="false">
      <c r="A158" s="6" t="s">
        <v>2096</v>
      </c>
      <c r="B158" s="6" t="s">
        <v>2097</v>
      </c>
      <c r="C158" s="6" t="s">
        <v>2098</v>
      </c>
      <c r="D158" s="6" t="n">
        <f aca="false">COUNTIF('Speaker Appearances'!$A$2:$A$668,A158)</f>
        <v>2</v>
      </c>
    </row>
    <row r="159" customFormat="false" ht="15" hidden="false" customHeight="false" outlineLevel="0" collapsed="false">
      <c r="A159" s="6" t="s">
        <v>2328</v>
      </c>
      <c r="B159" s="6" t="s">
        <v>1590</v>
      </c>
      <c r="C159" s="6" t="s">
        <v>2329</v>
      </c>
      <c r="D159" s="6" t="n">
        <f aca="false">COUNTIF('Speaker Appearances'!$A$2:$A$668,A159)</f>
        <v>1</v>
      </c>
    </row>
    <row r="160" customFormat="false" ht="15" hidden="false" customHeight="false" outlineLevel="0" collapsed="false">
      <c r="A160" s="6" t="s">
        <v>1760</v>
      </c>
      <c r="B160" s="6" t="s">
        <v>1761</v>
      </c>
      <c r="C160" s="6" t="s">
        <v>1762</v>
      </c>
      <c r="D160" s="6" t="n">
        <f aca="false">COUNTIF('Speaker Appearances'!$A$2:$A$668,A160)</f>
        <v>1</v>
      </c>
    </row>
    <row r="161" customFormat="false" ht="15" hidden="false" customHeight="false" outlineLevel="0" collapsed="false">
      <c r="A161" s="6" t="s">
        <v>1636</v>
      </c>
      <c r="B161" s="6" t="s">
        <v>1552</v>
      </c>
      <c r="C161" s="6" t="s">
        <v>1637</v>
      </c>
      <c r="D161" s="6" t="n">
        <f aca="false">COUNTIF('Speaker Appearances'!$A$2:$A$668,A161)</f>
        <v>2</v>
      </c>
    </row>
    <row r="162" customFormat="false" ht="15" hidden="false" customHeight="false" outlineLevel="0" collapsed="false">
      <c r="A162" s="6" t="s">
        <v>2073</v>
      </c>
      <c r="B162" s="6"/>
      <c r="C162" s="6"/>
      <c r="D162" s="6" t="n">
        <f aca="false">COUNTIF('Speaker Appearances'!$A$2:$A$668,A162)</f>
        <v>1</v>
      </c>
    </row>
    <row r="163" customFormat="false" ht="15" hidden="false" customHeight="false" outlineLevel="0" collapsed="false">
      <c r="A163" s="6" t="s">
        <v>2082</v>
      </c>
      <c r="B163" s="6" t="s">
        <v>2083</v>
      </c>
      <c r="C163" s="6" t="s">
        <v>2084</v>
      </c>
      <c r="D163" s="6" t="n">
        <f aca="false">COUNTIF('Speaker Appearances'!$A$2:$A$668,A163)</f>
        <v>1</v>
      </c>
    </row>
    <row r="164" customFormat="false" ht="15" hidden="false" customHeight="false" outlineLevel="0" collapsed="false">
      <c r="A164" s="6" t="s">
        <v>241</v>
      </c>
      <c r="B164" s="6" t="s">
        <v>1551</v>
      </c>
      <c r="C164" s="6" t="s">
        <v>242</v>
      </c>
      <c r="D164" s="6" t="n">
        <f aca="false">COUNTIF('Speaker Appearances'!$A$2:$A$668,A164)</f>
        <v>2</v>
      </c>
    </row>
    <row r="165" customFormat="false" ht="15" hidden="false" customHeight="false" outlineLevel="0" collapsed="false">
      <c r="A165" s="6" t="s">
        <v>2041</v>
      </c>
      <c r="B165" s="6" t="s">
        <v>2042</v>
      </c>
      <c r="C165" s="6" t="s">
        <v>2043</v>
      </c>
      <c r="D165" s="6" t="n">
        <f aca="false">COUNTIF('Speaker Appearances'!$A$2:$A$668,A165)</f>
        <v>1</v>
      </c>
    </row>
    <row r="166" customFormat="false" ht="15" hidden="false" customHeight="false" outlineLevel="0" collapsed="false">
      <c r="A166" s="6" t="s">
        <v>1603</v>
      </c>
      <c r="B166" s="6" t="s">
        <v>1604</v>
      </c>
      <c r="C166" s="6" t="s">
        <v>1605</v>
      </c>
      <c r="D166" s="6" t="n">
        <f aca="false">COUNTIF('Speaker Appearances'!$A$2:$A$668,A166)</f>
        <v>1</v>
      </c>
    </row>
    <row r="167" customFormat="false" ht="15" hidden="false" customHeight="false" outlineLevel="0" collapsed="false">
      <c r="A167" s="6" t="s">
        <v>1646</v>
      </c>
      <c r="B167" s="6" t="s">
        <v>1647</v>
      </c>
      <c r="C167" s="6" t="s">
        <v>388</v>
      </c>
      <c r="D167" s="6" t="n">
        <f aca="false">COUNTIF('Speaker Appearances'!$A$2:$A$668,A167)</f>
        <v>1</v>
      </c>
    </row>
    <row r="168" customFormat="false" ht="15" hidden="false" customHeight="false" outlineLevel="0" collapsed="false">
      <c r="A168" s="6" t="s">
        <v>698</v>
      </c>
      <c r="B168" s="6" t="s">
        <v>1590</v>
      </c>
      <c r="C168" s="6" t="s">
        <v>699</v>
      </c>
      <c r="D168" s="6" t="n">
        <f aca="false">COUNTIF('Speaker Appearances'!$A$2:$A$668,A168)</f>
        <v>7</v>
      </c>
    </row>
    <row r="169" customFormat="false" ht="15" hidden="false" customHeight="false" outlineLevel="0" collapsed="false">
      <c r="A169" s="6" t="s">
        <v>2308</v>
      </c>
      <c r="B169" s="6" t="s">
        <v>2309</v>
      </c>
      <c r="C169" s="6" t="s">
        <v>2310</v>
      </c>
      <c r="D169" s="6" t="n">
        <f aca="false">COUNTIF('Speaker Appearances'!$A$2:$A$668,A169)</f>
        <v>1</v>
      </c>
    </row>
    <row r="170" customFormat="false" ht="15" hidden="false" customHeight="false" outlineLevel="0" collapsed="false">
      <c r="A170" s="6" t="s">
        <v>1040</v>
      </c>
      <c r="B170" s="6" t="s">
        <v>2127</v>
      </c>
      <c r="C170" s="6" t="s">
        <v>1041</v>
      </c>
      <c r="D170" s="6" t="n">
        <f aca="false">COUNTIF('Speaker Appearances'!$A$2:$A$668,A170)</f>
        <v>1</v>
      </c>
    </row>
    <row r="171" customFormat="false" ht="15" hidden="false" customHeight="false" outlineLevel="0" collapsed="false">
      <c r="A171" s="6" t="s">
        <v>1788</v>
      </c>
      <c r="B171" s="6" t="s">
        <v>1644</v>
      </c>
      <c r="C171" s="6" t="s">
        <v>1605</v>
      </c>
      <c r="D171" s="6" t="n">
        <f aca="false">COUNTIF('Speaker Appearances'!$A$2:$A$668,A171)</f>
        <v>1</v>
      </c>
    </row>
    <row r="172" customFormat="false" ht="15" hidden="false" customHeight="false" outlineLevel="0" collapsed="false">
      <c r="A172" s="6" t="s">
        <v>1501</v>
      </c>
      <c r="B172" s="6" t="s">
        <v>1502</v>
      </c>
      <c r="C172" s="6" t="s">
        <v>1503</v>
      </c>
      <c r="D172" s="6" t="n">
        <f aca="false">COUNTIF('Speaker Appearances'!$A$2:$A$668,A172)</f>
        <v>1</v>
      </c>
    </row>
    <row r="173" customFormat="false" ht="15" hidden="false" customHeight="false" outlineLevel="0" collapsed="false">
      <c r="A173" s="6" t="s">
        <v>1011</v>
      </c>
      <c r="B173" s="6" t="s">
        <v>2111</v>
      </c>
      <c r="C173" s="6" t="s">
        <v>587</v>
      </c>
      <c r="D173" s="6" t="n">
        <f aca="false">COUNTIF('Speaker Appearances'!$A$2:$A$668,A173)</f>
        <v>2</v>
      </c>
    </row>
    <row r="174" customFormat="false" ht="15" hidden="false" customHeight="false" outlineLevel="0" collapsed="false">
      <c r="A174" s="6" t="s">
        <v>1379</v>
      </c>
      <c r="B174" s="6" t="s">
        <v>1380</v>
      </c>
      <c r="C174" s="6" t="s">
        <v>1381</v>
      </c>
      <c r="D174" s="6" t="n">
        <f aca="false">COUNTIF('Speaker Appearances'!$A$2:$A$668,A174)</f>
        <v>8</v>
      </c>
    </row>
    <row r="175" customFormat="false" ht="15" hidden="false" customHeight="false" outlineLevel="0" collapsed="false">
      <c r="A175" s="6" t="s">
        <v>1763</v>
      </c>
      <c r="B175" s="6" t="s">
        <v>1764</v>
      </c>
      <c r="C175" s="6" t="s">
        <v>1765</v>
      </c>
      <c r="D175" s="6" t="n">
        <f aca="false">COUNTIF('Speaker Appearances'!$A$2:$A$668,A175)</f>
        <v>1</v>
      </c>
    </row>
    <row r="176" customFormat="false" ht="15" hidden="false" customHeight="false" outlineLevel="0" collapsed="false">
      <c r="A176" s="6" t="s">
        <v>1742</v>
      </c>
      <c r="B176" s="6" t="s">
        <v>1743</v>
      </c>
      <c r="C176" s="6" t="s">
        <v>1683</v>
      </c>
      <c r="D176" s="6" t="n">
        <f aca="false">COUNTIF('Speaker Appearances'!$A$2:$A$668,A176)</f>
        <v>1</v>
      </c>
    </row>
    <row r="177" customFormat="false" ht="15" hidden="false" customHeight="false" outlineLevel="0" collapsed="false">
      <c r="A177" s="6" t="s">
        <v>210</v>
      </c>
      <c r="B177" s="6"/>
      <c r="C177" s="6" t="s">
        <v>211</v>
      </c>
      <c r="D177" s="6" t="n">
        <f aca="false">COUNTIF('Speaker Appearances'!$A$2:$A$668,A177)</f>
        <v>8</v>
      </c>
    </row>
    <row r="178" customFormat="false" ht="15" hidden="false" customHeight="false" outlineLevel="0" collapsed="false">
      <c r="A178" s="6" t="s">
        <v>354</v>
      </c>
      <c r="B178" s="6" t="s">
        <v>1500</v>
      </c>
      <c r="C178" s="6" t="s">
        <v>355</v>
      </c>
      <c r="D178" s="6" t="n">
        <f aca="false">COUNTIF('Speaker Appearances'!$A$2:$A$668,A178)</f>
        <v>1</v>
      </c>
    </row>
    <row r="179" customFormat="false" ht="15" hidden="false" customHeight="false" outlineLevel="0" collapsed="false">
      <c r="A179" s="6" t="s">
        <v>62</v>
      </c>
      <c r="B179" s="6" t="s">
        <v>1374</v>
      </c>
      <c r="C179" s="6" t="s">
        <v>63</v>
      </c>
      <c r="D179" s="6" t="n">
        <f aca="false">COUNTIF('Speaker Appearances'!$A$2:$A$668,A179)</f>
        <v>1</v>
      </c>
    </row>
    <row r="180" customFormat="false" ht="15" hidden="false" customHeight="false" outlineLevel="0" collapsed="false">
      <c r="A180" s="6" t="s">
        <v>1557</v>
      </c>
      <c r="B180" s="6" t="s">
        <v>1558</v>
      </c>
      <c r="C180" s="6" t="s">
        <v>1559</v>
      </c>
      <c r="D180" s="6" t="n">
        <f aca="false">COUNTIF('Speaker Appearances'!$A$2:$A$668,A180)</f>
        <v>1</v>
      </c>
    </row>
    <row r="181" customFormat="false" ht="15" hidden="false" customHeight="false" outlineLevel="0" collapsed="false">
      <c r="A181" s="6" t="s">
        <v>2147</v>
      </c>
      <c r="B181" s="6" t="s">
        <v>2148</v>
      </c>
      <c r="C181" s="6" t="s">
        <v>1906</v>
      </c>
      <c r="D181" s="6" t="n">
        <f aca="false">COUNTIF('Speaker Appearances'!$A$2:$A$668,A181)</f>
        <v>1</v>
      </c>
    </row>
    <row r="182" customFormat="false" ht="15" hidden="false" customHeight="false" outlineLevel="0" collapsed="false">
      <c r="A182" s="6" t="s">
        <v>1863</v>
      </c>
      <c r="B182" s="6" t="s">
        <v>1864</v>
      </c>
      <c r="C182" s="6" t="s">
        <v>133</v>
      </c>
      <c r="D182" s="6" t="n">
        <f aca="false">COUNTIF('Speaker Appearances'!$A$2:$A$668,A182)</f>
        <v>1</v>
      </c>
    </row>
    <row r="183" customFormat="false" ht="15" hidden="false" customHeight="false" outlineLevel="0" collapsed="false">
      <c r="A183" s="6" t="s">
        <v>2177</v>
      </c>
      <c r="B183" s="6" t="s">
        <v>2178</v>
      </c>
      <c r="C183" s="6" t="s">
        <v>2179</v>
      </c>
      <c r="D183" s="6" t="n">
        <f aca="false">COUNTIF('Speaker Appearances'!$A$2:$A$668,A183)</f>
        <v>1</v>
      </c>
    </row>
    <row r="184" customFormat="false" ht="15" hidden="false" customHeight="false" outlineLevel="0" collapsed="false">
      <c r="A184" s="6" t="s">
        <v>1752</v>
      </c>
      <c r="B184" s="6" t="s">
        <v>1442</v>
      </c>
      <c r="C184" s="6" t="s">
        <v>1753</v>
      </c>
      <c r="D184" s="6" t="n">
        <f aca="false">COUNTIF('Speaker Appearances'!$A$2:$A$668,A184)</f>
        <v>2</v>
      </c>
    </row>
    <row r="185" customFormat="false" ht="15" hidden="false" customHeight="false" outlineLevel="0" collapsed="false">
      <c r="A185" s="6" t="s">
        <v>1471</v>
      </c>
      <c r="B185" s="6" t="s">
        <v>1472</v>
      </c>
      <c r="C185" s="6" t="s">
        <v>1473</v>
      </c>
      <c r="D185" s="6" t="n">
        <f aca="false">COUNTIF('Speaker Appearances'!$A$2:$A$668,A185)</f>
        <v>1</v>
      </c>
    </row>
    <row r="186" customFormat="false" ht="15" hidden="false" customHeight="false" outlineLevel="0" collapsed="false">
      <c r="A186" s="6" t="s">
        <v>1580</v>
      </c>
      <c r="B186" s="6" t="s">
        <v>1581</v>
      </c>
      <c r="C186" s="6" t="s">
        <v>275</v>
      </c>
      <c r="D186" s="6" t="n">
        <f aca="false">COUNTIF('Speaker Appearances'!$A$2:$A$668,A186)</f>
        <v>1</v>
      </c>
    </row>
    <row r="187" customFormat="false" ht="15" hidden="false" customHeight="false" outlineLevel="0" collapsed="false">
      <c r="A187" s="6" t="s">
        <v>2266</v>
      </c>
      <c r="B187" s="6" t="s">
        <v>2267</v>
      </c>
      <c r="C187" s="6" t="s">
        <v>2268</v>
      </c>
      <c r="D187" s="6" t="n">
        <f aca="false">COUNTIF('Speaker Appearances'!$A$2:$A$668,A187)</f>
        <v>1</v>
      </c>
    </row>
    <row r="188" customFormat="false" ht="15" hidden="false" customHeight="false" outlineLevel="0" collapsed="false">
      <c r="A188" s="6" t="s">
        <v>2138</v>
      </c>
      <c r="B188" s="6" t="s">
        <v>2139</v>
      </c>
      <c r="C188" s="6" t="s">
        <v>2140</v>
      </c>
      <c r="D188" s="6" t="n">
        <f aca="false">COUNTIF('Speaker Appearances'!$A$2:$A$668,A188)</f>
        <v>1</v>
      </c>
    </row>
    <row r="189" customFormat="false" ht="15" hidden="false" customHeight="false" outlineLevel="0" collapsed="false">
      <c r="A189" s="6" t="s">
        <v>2223</v>
      </c>
      <c r="B189" s="6" t="s">
        <v>2224</v>
      </c>
      <c r="C189" s="6" t="s">
        <v>2225</v>
      </c>
      <c r="D189" s="6" t="n">
        <f aca="false">COUNTIF('Speaker Appearances'!$A$2:$A$668,A189)</f>
        <v>2</v>
      </c>
    </row>
    <row r="190" customFormat="false" ht="23.85" hidden="false" customHeight="false" outlineLevel="0" collapsed="false">
      <c r="A190" s="6" t="s">
        <v>1911</v>
      </c>
      <c r="B190" s="6" t="s">
        <v>1912</v>
      </c>
      <c r="C190" s="6" t="s">
        <v>79</v>
      </c>
      <c r="D190" s="6" t="n">
        <f aca="false">COUNTIF('Speaker Appearances'!$A$2:$A$668,A190)</f>
        <v>1</v>
      </c>
    </row>
    <row r="191" customFormat="false" ht="15" hidden="false" customHeight="false" outlineLevel="0" collapsed="false">
      <c r="A191" s="6" t="s">
        <v>929</v>
      </c>
      <c r="B191" s="6" t="s">
        <v>1412</v>
      </c>
      <c r="C191" s="6" t="s">
        <v>930</v>
      </c>
      <c r="D191" s="6" t="n">
        <f aca="false">COUNTIF('Speaker Appearances'!$A$2:$A$668,A191)</f>
        <v>1</v>
      </c>
    </row>
    <row r="192" customFormat="false" ht="15" hidden="false" customHeight="false" outlineLevel="0" collapsed="false">
      <c r="A192" s="6" t="s">
        <v>1816</v>
      </c>
      <c r="B192" s="6" t="s">
        <v>1817</v>
      </c>
      <c r="C192" s="6" t="s">
        <v>1791</v>
      </c>
      <c r="D192" s="6" t="n">
        <f aca="false">COUNTIF('Speaker Appearances'!$A$2:$A$668,A192)</f>
        <v>1</v>
      </c>
    </row>
    <row r="193" customFormat="false" ht="15" hidden="false" customHeight="false" outlineLevel="0" collapsed="false">
      <c r="A193" s="6" t="s">
        <v>1954</v>
      </c>
      <c r="B193" s="6"/>
      <c r="C193" s="6"/>
      <c r="D193" s="6" t="n">
        <f aca="false">COUNTIF('Speaker Appearances'!$A$2:$A$668,A193)</f>
        <v>1</v>
      </c>
    </row>
    <row r="194" customFormat="false" ht="15" hidden="false" customHeight="false" outlineLevel="0" collapsed="false">
      <c r="A194" s="6" t="s">
        <v>2050</v>
      </c>
      <c r="B194" s="6" t="s">
        <v>2051</v>
      </c>
      <c r="C194" s="6" t="s">
        <v>2052</v>
      </c>
      <c r="D194" s="6" t="n">
        <f aca="false">COUNTIF('Speaker Appearances'!$A$2:$A$668,A194)</f>
        <v>2</v>
      </c>
    </row>
    <row r="195" customFormat="false" ht="15" hidden="false" customHeight="false" outlineLevel="0" collapsed="false">
      <c r="A195" s="6" t="s">
        <v>1860</v>
      </c>
      <c r="B195" s="6" t="s">
        <v>1861</v>
      </c>
      <c r="C195" s="6" t="s">
        <v>1862</v>
      </c>
      <c r="D195" s="6" t="n">
        <f aca="false">COUNTIF('Speaker Appearances'!$A$2:$A$668,A195)</f>
        <v>1</v>
      </c>
    </row>
    <row r="196" customFormat="false" ht="15" hidden="false" customHeight="false" outlineLevel="0" collapsed="false">
      <c r="A196" s="6" t="s">
        <v>350</v>
      </c>
      <c r="B196" s="6" t="s">
        <v>1675</v>
      </c>
      <c r="C196" s="6" t="s">
        <v>351</v>
      </c>
      <c r="D196" s="6" t="n">
        <f aca="false">COUNTIF('Speaker Appearances'!$A$2:$A$668,A196)</f>
        <v>1</v>
      </c>
    </row>
    <row r="197" customFormat="false" ht="15" hidden="false" customHeight="false" outlineLevel="0" collapsed="false">
      <c r="A197" s="6" t="s">
        <v>1824</v>
      </c>
      <c r="B197" s="6"/>
      <c r="C197" s="6"/>
      <c r="D197" s="6" t="n">
        <f aca="false">COUNTIF('Speaker Appearances'!$A$2:$A$668,A197)</f>
        <v>1</v>
      </c>
    </row>
    <row r="198" customFormat="false" ht="15" hidden="false" customHeight="false" outlineLevel="0" collapsed="false">
      <c r="A198" s="6" t="s">
        <v>2311</v>
      </c>
      <c r="B198" s="6" t="s">
        <v>1412</v>
      </c>
      <c r="C198" s="6" t="s">
        <v>2312</v>
      </c>
      <c r="D198" s="6" t="n">
        <f aca="false">COUNTIF('Speaker Appearances'!$A$2:$A$668,A198)</f>
        <v>1</v>
      </c>
    </row>
    <row r="199" customFormat="false" ht="15" hidden="false" customHeight="false" outlineLevel="0" collapsed="false">
      <c r="A199" s="6" t="s">
        <v>2061</v>
      </c>
      <c r="B199" s="6" t="s">
        <v>1798</v>
      </c>
      <c r="C199" s="6" t="s">
        <v>2062</v>
      </c>
      <c r="D199" s="6" t="n">
        <f aca="false">COUNTIF('Speaker Appearances'!$A$2:$A$668,A199)</f>
        <v>1</v>
      </c>
    </row>
    <row r="200" customFormat="false" ht="15" hidden="false" customHeight="false" outlineLevel="0" collapsed="false">
      <c r="A200" s="6" t="s">
        <v>1962</v>
      </c>
      <c r="B200" s="6"/>
      <c r="C200" s="6"/>
      <c r="D200" s="6" t="n">
        <f aca="false">COUNTIF('Speaker Appearances'!$A$2:$A$668,A200)</f>
        <v>1</v>
      </c>
    </row>
    <row r="201" customFormat="false" ht="15" hidden="false" customHeight="false" outlineLevel="0" collapsed="false">
      <c r="A201" s="6" t="s">
        <v>412</v>
      </c>
      <c r="B201" s="6" t="s">
        <v>1714</v>
      </c>
      <c r="C201" s="6" t="s">
        <v>413</v>
      </c>
      <c r="D201" s="6" t="n">
        <f aca="false">COUNTIF('Speaker Appearances'!$A$2:$A$668,A201)</f>
        <v>1</v>
      </c>
    </row>
    <row r="202" customFormat="false" ht="15" hidden="false" customHeight="false" outlineLevel="0" collapsed="false">
      <c r="A202" s="6" t="s">
        <v>1536</v>
      </c>
      <c r="B202" s="6" t="s">
        <v>1442</v>
      </c>
      <c r="C202" s="6" t="s">
        <v>1537</v>
      </c>
      <c r="D202" s="6" t="n">
        <f aca="false">COUNTIF('Speaker Appearances'!$A$2:$A$668,A202)</f>
        <v>1</v>
      </c>
    </row>
    <row r="203" customFormat="false" ht="15" hidden="false" customHeight="false" outlineLevel="0" collapsed="false">
      <c r="A203" s="6" t="s">
        <v>2208</v>
      </c>
      <c r="B203" s="6" t="s">
        <v>2209</v>
      </c>
      <c r="C203" s="6" t="s">
        <v>2162</v>
      </c>
      <c r="D203" s="6" t="n">
        <f aca="false">COUNTIF('Speaker Appearances'!$A$2:$A$668,A203)</f>
        <v>1</v>
      </c>
    </row>
    <row r="204" customFormat="false" ht="15" hidden="false" customHeight="false" outlineLevel="0" collapsed="false">
      <c r="A204" s="6" t="s">
        <v>2258</v>
      </c>
      <c r="B204" s="6" t="s">
        <v>2135</v>
      </c>
      <c r="C204" s="6" t="s">
        <v>2259</v>
      </c>
      <c r="D204" s="6" t="n">
        <f aca="false">COUNTIF('Speaker Appearances'!$A$2:$A$668,A204)</f>
        <v>1</v>
      </c>
    </row>
    <row r="205" customFormat="false" ht="15" hidden="false" customHeight="false" outlineLevel="0" collapsed="false">
      <c r="A205" s="6" t="s">
        <v>1851</v>
      </c>
      <c r="B205" s="6" t="s">
        <v>1852</v>
      </c>
      <c r="C205" s="6" t="s">
        <v>1853</v>
      </c>
      <c r="D205" s="6" t="n">
        <f aca="false">COUNTIF('Speaker Appearances'!$A$2:$A$668,A205)</f>
        <v>1</v>
      </c>
    </row>
    <row r="206" customFormat="false" ht="15" hidden="false" customHeight="false" outlineLevel="0" collapsed="false">
      <c r="A206" s="6" t="s">
        <v>1747</v>
      </c>
      <c r="B206" s="6" t="s">
        <v>1748</v>
      </c>
      <c r="C206" s="6" t="s">
        <v>1749</v>
      </c>
      <c r="D206" s="6" t="n">
        <f aca="false">COUNTIF('Speaker Appearances'!$A$2:$A$668,A206)</f>
        <v>1</v>
      </c>
    </row>
    <row r="207" customFormat="false" ht="15" hidden="false" customHeight="false" outlineLevel="0" collapsed="false">
      <c r="A207" s="6" t="s">
        <v>1782</v>
      </c>
      <c r="B207" s="6" t="s">
        <v>1783</v>
      </c>
      <c r="C207" s="6" t="s">
        <v>1784</v>
      </c>
      <c r="D207" s="6" t="n">
        <f aca="false">COUNTIF('Speaker Appearances'!$A$2:$A$668,A207)</f>
        <v>1</v>
      </c>
    </row>
    <row r="208" customFormat="false" ht="15" hidden="false" customHeight="false" outlineLevel="0" collapsed="false">
      <c r="A208" s="6" t="s">
        <v>1397</v>
      </c>
      <c r="B208" s="6" t="s">
        <v>1398</v>
      </c>
      <c r="C208" s="6" t="s">
        <v>1399</v>
      </c>
      <c r="D208" s="6" t="n">
        <f aca="false">COUNTIF('Speaker Appearances'!$A$2:$A$668,A208)</f>
        <v>8</v>
      </c>
    </row>
    <row r="209" customFormat="false" ht="15" hidden="false" customHeight="false" outlineLevel="0" collapsed="false">
      <c r="A209" s="6" t="s">
        <v>1413</v>
      </c>
      <c r="B209" s="6" t="s">
        <v>1414</v>
      </c>
      <c r="C209" s="6" t="s">
        <v>1415</v>
      </c>
      <c r="D209" s="6" t="n">
        <f aca="false">COUNTIF('Speaker Appearances'!$A$2:$A$668,A209)</f>
        <v>1</v>
      </c>
    </row>
    <row r="210" customFormat="false" ht="15" hidden="false" customHeight="false" outlineLevel="0" collapsed="false">
      <c r="A210" s="6" t="s">
        <v>1272</v>
      </c>
      <c r="B210" s="6" t="s">
        <v>2265</v>
      </c>
      <c r="C210" s="6" t="s">
        <v>1273</v>
      </c>
      <c r="D210" s="6" t="n">
        <f aca="false">COUNTIF('Speaker Appearances'!$A$2:$A$668,A210)</f>
        <v>1</v>
      </c>
    </row>
    <row r="211" customFormat="false" ht="15" hidden="false" customHeight="false" outlineLevel="0" collapsed="false">
      <c r="A211" s="6" t="s">
        <v>1651</v>
      </c>
      <c r="B211" s="6" t="s">
        <v>1652</v>
      </c>
      <c r="C211" s="6" t="s">
        <v>1653</v>
      </c>
      <c r="D211" s="6" t="n">
        <f aca="false">COUNTIF('Speaker Appearances'!$A$2:$A$668,A211)</f>
        <v>2</v>
      </c>
    </row>
    <row r="212" customFormat="false" ht="15" hidden="false" customHeight="false" outlineLevel="0" collapsed="false">
      <c r="A212" s="6" t="s">
        <v>1843</v>
      </c>
      <c r="B212" s="6" t="s">
        <v>1844</v>
      </c>
      <c r="C212" s="6" t="s">
        <v>587</v>
      </c>
      <c r="D212" s="6" t="n">
        <f aca="false">COUNTIF('Speaker Appearances'!$A$2:$A$668,A212)</f>
        <v>3</v>
      </c>
    </row>
    <row r="213" customFormat="false" ht="15" hidden="false" customHeight="false" outlineLevel="0" collapsed="false">
      <c r="A213" s="6" t="s">
        <v>1945</v>
      </c>
      <c r="B213" s="6"/>
      <c r="C213" s="6"/>
      <c r="D213" s="6" t="n">
        <f aca="false">COUNTIF('Speaker Appearances'!$A$2:$A$668,A213)</f>
        <v>1</v>
      </c>
    </row>
    <row r="214" customFormat="false" ht="15" hidden="false" customHeight="false" outlineLevel="0" collapsed="false">
      <c r="A214" s="6" t="s">
        <v>1991</v>
      </c>
      <c r="B214" s="6" t="s">
        <v>1442</v>
      </c>
      <c r="C214" s="6" t="s">
        <v>1992</v>
      </c>
      <c r="D214" s="6" t="n">
        <f aca="false">COUNTIF('Speaker Appearances'!$A$2:$A$668,A214)</f>
        <v>2</v>
      </c>
    </row>
    <row r="215" customFormat="false" ht="15" hidden="false" customHeight="false" outlineLevel="0" collapsed="false">
      <c r="A215" s="6" t="s">
        <v>499</v>
      </c>
      <c r="B215" s="6" t="s">
        <v>1820</v>
      </c>
      <c r="C215" s="6" t="s">
        <v>500</v>
      </c>
      <c r="D215" s="6" t="n">
        <f aca="false">COUNTIF('Speaker Appearances'!$A$2:$A$668,A215)</f>
        <v>1</v>
      </c>
    </row>
    <row r="216" customFormat="false" ht="15" hidden="false" customHeight="false" outlineLevel="0" collapsed="false">
      <c r="A216" s="6" t="s">
        <v>283</v>
      </c>
      <c r="B216" s="6" t="s">
        <v>1586</v>
      </c>
      <c r="C216" s="6" t="s">
        <v>284</v>
      </c>
      <c r="D216" s="6" t="n">
        <f aca="false">COUNTIF('Speaker Appearances'!$A$2:$A$668,A216)</f>
        <v>1</v>
      </c>
    </row>
    <row r="217" customFormat="false" ht="15" hidden="false" customHeight="false" outlineLevel="0" collapsed="false">
      <c r="A217" s="6" t="s">
        <v>475</v>
      </c>
      <c r="B217" s="6" t="s">
        <v>1807</v>
      </c>
      <c r="C217" s="6" t="s">
        <v>476</v>
      </c>
      <c r="D217" s="6" t="n">
        <f aca="false">COUNTIF('Speaker Appearances'!$A$2:$A$668,A217)</f>
        <v>1</v>
      </c>
    </row>
    <row r="218" customFormat="false" ht="15" hidden="false" customHeight="false" outlineLevel="0" collapsed="false">
      <c r="A218" s="6" t="s">
        <v>2221</v>
      </c>
      <c r="B218" s="6" t="s">
        <v>1552</v>
      </c>
      <c r="C218" s="6" t="s">
        <v>2222</v>
      </c>
      <c r="D218" s="6" t="n">
        <f aca="false">COUNTIF('Speaker Appearances'!$A$2:$A$668,A218)</f>
        <v>1</v>
      </c>
    </row>
    <row r="219" customFormat="false" ht="15" hidden="false" customHeight="false" outlineLevel="0" collapsed="false">
      <c r="A219" s="6" t="s">
        <v>1587</v>
      </c>
      <c r="B219" s="6" t="s">
        <v>1515</v>
      </c>
      <c r="C219" s="6" t="s">
        <v>1588</v>
      </c>
      <c r="D219" s="6" t="n">
        <f aca="false">COUNTIF('Speaker Appearances'!$A$2:$A$668,A219)</f>
        <v>1</v>
      </c>
    </row>
    <row r="220" customFormat="false" ht="15" hidden="false" customHeight="false" outlineLevel="0" collapsed="false">
      <c r="A220" s="6" t="s">
        <v>1519</v>
      </c>
      <c r="B220" s="6" t="s">
        <v>1520</v>
      </c>
      <c r="C220" s="6" t="s">
        <v>1521</v>
      </c>
      <c r="D220" s="6" t="n">
        <f aca="false">COUNTIF('Speaker Appearances'!$A$2:$A$668,A220)</f>
        <v>1</v>
      </c>
    </row>
    <row r="221" customFormat="false" ht="15" hidden="false" customHeight="false" outlineLevel="0" collapsed="false">
      <c r="A221" s="6" t="s">
        <v>1698</v>
      </c>
      <c r="B221" s="6" t="s">
        <v>1699</v>
      </c>
      <c r="C221" s="6" t="s">
        <v>1700</v>
      </c>
      <c r="D221" s="6" t="n">
        <f aca="false">COUNTIF('Speaker Appearances'!$A$2:$A$668,A221)</f>
        <v>1</v>
      </c>
    </row>
    <row r="222" customFormat="false" ht="15" hidden="false" customHeight="false" outlineLevel="0" collapsed="false">
      <c r="A222" s="6" t="s">
        <v>1686</v>
      </c>
      <c r="B222" s="6" t="s">
        <v>1687</v>
      </c>
      <c r="C222" s="6" t="s">
        <v>1688</v>
      </c>
      <c r="D222" s="6" t="n">
        <f aca="false">COUNTIF('Speaker Appearances'!$A$2:$A$668,A222)</f>
        <v>4</v>
      </c>
    </row>
    <row r="223" customFormat="false" ht="15" hidden="false" customHeight="false" outlineLevel="0" collapsed="false">
      <c r="A223" s="6" t="s">
        <v>2181</v>
      </c>
      <c r="B223" s="6" t="s">
        <v>2182</v>
      </c>
      <c r="C223" s="6" t="s">
        <v>1705</v>
      </c>
      <c r="D223" s="6" t="n">
        <f aca="false">COUNTIF('Speaker Appearances'!$A$2:$A$668,A223)</f>
        <v>1</v>
      </c>
    </row>
    <row r="224" customFormat="false" ht="15" hidden="false" customHeight="false" outlineLevel="0" collapsed="false">
      <c r="A224" s="6" t="s">
        <v>744</v>
      </c>
      <c r="B224" s="6" t="s">
        <v>1985</v>
      </c>
      <c r="C224" s="6" t="s">
        <v>745</v>
      </c>
      <c r="D224" s="6" t="n">
        <f aca="false">COUNTIF('Speaker Appearances'!$A$2:$A$668,A224)</f>
        <v>2</v>
      </c>
    </row>
    <row r="225" customFormat="false" ht="15" hidden="false" customHeight="false" outlineLevel="0" collapsed="false">
      <c r="A225" s="6" t="s">
        <v>1578</v>
      </c>
      <c r="B225" s="6" t="s">
        <v>1579</v>
      </c>
      <c r="C225" s="6" t="s">
        <v>275</v>
      </c>
      <c r="D225" s="6" t="n">
        <f aca="false">COUNTIF('Speaker Appearances'!$A$2:$A$668,A225)</f>
        <v>1</v>
      </c>
    </row>
    <row r="226" customFormat="false" ht="15" hidden="false" customHeight="false" outlineLevel="0" collapsed="false">
      <c r="A226" s="6" t="s">
        <v>2275</v>
      </c>
      <c r="B226" s="6"/>
      <c r="C226" s="6"/>
      <c r="D226" s="6" t="n">
        <f aca="false">COUNTIF('Speaker Appearances'!$A$2:$A$668,A226)</f>
        <v>1</v>
      </c>
    </row>
    <row r="227" customFormat="false" ht="15" hidden="false" customHeight="false" outlineLevel="0" collapsed="false">
      <c r="A227" s="6" t="s">
        <v>1941</v>
      </c>
      <c r="B227" s="6"/>
      <c r="C227" s="6"/>
      <c r="D227" s="6" t="n">
        <f aca="false">COUNTIF('Speaker Appearances'!$A$2:$A$668,A227)</f>
        <v>1</v>
      </c>
    </row>
    <row r="228" customFormat="false" ht="15" hidden="false" customHeight="false" outlineLevel="0" collapsed="false">
      <c r="A228" s="6" t="s">
        <v>1528</v>
      </c>
      <c r="B228" s="6" t="s">
        <v>1515</v>
      </c>
      <c r="C228" s="6" t="s">
        <v>1529</v>
      </c>
      <c r="D228" s="6" t="n">
        <f aca="false">COUNTIF('Speaker Appearances'!$A$2:$A$668,A228)</f>
        <v>1</v>
      </c>
    </row>
    <row r="229" customFormat="false" ht="15" hidden="false" customHeight="false" outlineLevel="0" collapsed="false">
      <c r="A229" s="6" t="s">
        <v>2038</v>
      </c>
      <c r="B229" s="6" t="s">
        <v>1412</v>
      </c>
      <c r="C229" s="6" t="s">
        <v>2039</v>
      </c>
      <c r="D229" s="6" t="n">
        <f aca="false">COUNTIF('Speaker Appearances'!$A$2:$A$668,A229)</f>
        <v>1</v>
      </c>
    </row>
    <row r="230" customFormat="false" ht="15" hidden="false" customHeight="false" outlineLevel="0" collapsed="false">
      <c r="A230" s="6" t="s">
        <v>1482</v>
      </c>
      <c r="B230" s="6" t="s">
        <v>1483</v>
      </c>
      <c r="C230" s="6" t="s">
        <v>79</v>
      </c>
      <c r="D230" s="6" t="n">
        <f aca="false">COUNTIF('Speaker Appearances'!$A$2:$A$668,A230)</f>
        <v>1</v>
      </c>
    </row>
    <row r="231" customFormat="false" ht="15" hidden="false" customHeight="false" outlineLevel="0" collapsed="false">
      <c r="A231" s="6" t="s">
        <v>1808</v>
      </c>
      <c r="B231" s="6" t="s">
        <v>1809</v>
      </c>
      <c r="C231" s="6" t="s">
        <v>1705</v>
      </c>
      <c r="D231" s="6" t="n">
        <f aca="false">COUNTIF('Speaker Appearances'!$A$2:$A$668,A231)</f>
        <v>1</v>
      </c>
    </row>
    <row r="232" customFormat="false" ht="15" hidden="false" customHeight="false" outlineLevel="0" collapsed="false">
      <c r="A232" s="6" t="s">
        <v>1704</v>
      </c>
      <c r="B232" s="6" t="s">
        <v>1691</v>
      </c>
      <c r="C232" s="6" t="s">
        <v>1705</v>
      </c>
      <c r="D232" s="6" t="n">
        <f aca="false">COUNTIF('Speaker Appearances'!$A$2:$A$668,A232)</f>
        <v>2</v>
      </c>
    </row>
    <row r="233" customFormat="false" ht="15" hidden="false" customHeight="false" outlineLevel="0" collapsed="false">
      <c r="A233" s="6" t="s">
        <v>1986</v>
      </c>
      <c r="B233" s="6" t="s">
        <v>1987</v>
      </c>
      <c r="C233" s="6" t="s">
        <v>368</v>
      </c>
      <c r="D233" s="6" t="n">
        <f aca="false">COUNTIF('Speaker Appearances'!$A$2:$A$668,A233)</f>
        <v>2</v>
      </c>
    </row>
    <row r="234" customFormat="false" ht="15" hidden="false" customHeight="false" outlineLevel="0" collapsed="false">
      <c r="A234" s="6" t="s">
        <v>1654</v>
      </c>
      <c r="B234" s="6" t="s">
        <v>1655</v>
      </c>
      <c r="C234" s="6" t="s">
        <v>587</v>
      </c>
      <c r="D234" s="6" t="n">
        <f aca="false">COUNTIF('Speaker Appearances'!$A$2:$A$668,A234)</f>
        <v>1</v>
      </c>
    </row>
    <row r="235" customFormat="false" ht="15" hidden="false" customHeight="false" outlineLevel="0" collapsed="false">
      <c r="A235" s="6" t="s">
        <v>1480</v>
      </c>
      <c r="B235" s="6" t="s">
        <v>1481</v>
      </c>
      <c r="C235" s="6" t="s">
        <v>587</v>
      </c>
      <c r="D235" s="6" t="n">
        <f aca="false">COUNTIF('Speaker Appearances'!$A$2:$A$668,A235)</f>
        <v>1</v>
      </c>
    </row>
    <row r="236" customFormat="false" ht="15" hidden="false" customHeight="false" outlineLevel="0" collapsed="false">
      <c r="A236" s="6" t="s">
        <v>2251</v>
      </c>
      <c r="B236" s="6" t="s">
        <v>2252</v>
      </c>
      <c r="C236" s="6" t="s">
        <v>2253</v>
      </c>
      <c r="D236" s="6" t="n">
        <f aca="false">COUNTIF('Speaker Appearances'!$A$2:$A$668,A236)</f>
        <v>1</v>
      </c>
    </row>
    <row r="237" customFormat="false" ht="15" hidden="false" customHeight="false" outlineLevel="0" collapsed="false">
      <c r="A237" s="6" t="s">
        <v>2117</v>
      </c>
      <c r="B237" s="6" t="s">
        <v>2118</v>
      </c>
      <c r="C237" s="6" t="s">
        <v>1859</v>
      </c>
      <c r="D237" s="6" t="n">
        <f aca="false">COUNTIF('Speaker Appearances'!$A$2:$A$668,A237)</f>
        <v>1</v>
      </c>
    </row>
    <row r="238" customFormat="false" ht="15" hidden="false" customHeight="false" outlineLevel="0" collapsed="false">
      <c r="A238" s="6" t="s">
        <v>1002</v>
      </c>
      <c r="B238" s="6" t="s">
        <v>2105</v>
      </c>
      <c r="C238" s="6" t="s">
        <v>1003</v>
      </c>
      <c r="D238" s="6" t="n">
        <f aca="false">COUNTIF('Speaker Appearances'!$A$2:$A$668,A238)</f>
        <v>1</v>
      </c>
    </row>
    <row r="239" customFormat="false" ht="23.85" hidden="false" customHeight="false" outlineLevel="0" collapsed="false">
      <c r="A239" s="6" t="s">
        <v>2305</v>
      </c>
      <c r="B239" s="6" t="s">
        <v>2306</v>
      </c>
      <c r="C239" s="6" t="s">
        <v>2307</v>
      </c>
      <c r="D239" s="6" t="n">
        <f aca="false">COUNTIF('Speaker Appearances'!$A$2:$A$668,A239)</f>
        <v>1</v>
      </c>
    </row>
    <row r="240" customFormat="false" ht="15" hidden="false" customHeight="false" outlineLevel="0" collapsed="false">
      <c r="A240" s="6" t="s">
        <v>1998</v>
      </c>
      <c r="B240" s="6" t="s">
        <v>1999</v>
      </c>
      <c r="C240" s="6" t="s">
        <v>1550</v>
      </c>
      <c r="D240" s="6" t="n">
        <f aca="false">COUNTIF('Speaker Appearances'!$A$2:$A$668,A240)</f>
        <v>1</v>
      </c>
    </row>
    <row r="241" customFormat="false" ht="15" hidden="false" customHeight="false" outlineLevel="0" collapsed="false">
      <c r="A241" s="6" t="s">
        <v>1608</v>
      </c>
      <c r="B241" s="6" t="s">
        <v>1446</v>
      </c>
      <c r="C241" s="6" t="s">
        <v>1609</v>
      </c>
      <c r="D241" s="6" t="n">
        <f aca="false">COUNTIF('Speaker Appearances'!$A$2:$A$668,A241)</f>
        <v>2</v>
      </c>
    </row>
    <row r="242" customFormat="false" ht="15" hidden="false" customHeight="false" outlineLevel="0" collapsed="false">
      <c r="A242" s="6" t="s">
        <v>1950</v>
      </c>
      <c r="B242" s="6"/>
      <c r="C242" s="6"/>
      <c r="D242" s="6" t="n">
        <f aca="false">COUNTIF('Speaker Appearances'!$A$2:$A$668,A242)</f>
        <v>1</v>
      </c>
    </row>
    <row r="243" customFormat="false" ht="15" hidden="false" customHeight="false" outlineLevel="0" collapsed="false">
      <c r="A243" s="6" t="s">
        <v>1643</v>
      </c>
      <c r="B243" s="6" t="s">
        <v>1644</v>
      </c>
      <c r="C243" s="6" t="s">
        <v>1645</v>
      </c>
      <c r="D243" s="6" t="n">
        <f aca="false">COUNTIF('Speaker Appearances'!$A$2:$A$668,A243)</f>
        <v>1</v>
      </c>
    </row>
    <row r="244" customFormat="false" ht="15" hidden="false" customHeight="false" outlineLevel="0" collapsed="false">
      <c r="A244" s="6" t="s">
        <v>759</v>
      </c>
      <c r="B244" s="6" t="s">
        <v>1993</v>
      </c>
      <c r="C244" s="6" t="s">
        <v>760</v>
      </c>
      <c r="D244" s="6" t="n">
        <f aca="false">COUNTIF('Speaker Appearances'!$A$2:$A$668,A244)</f>
        <v>1</v>
      </c>
    </row>
    <row r="245" customFormat="false" ht="15" hidden="false" customHeight="false" outlineLevel="0" collapsed="false">
      <c r="A245" s="6" t="s">
        <v>2026</v>
      </c>
      <c r="B245" s="6" t="s">
        <v>2027</v>
      </c>
      <c r="C245" s="6" t="s">
        <v>85</v>
      </c>
      <c r="D245" s="6" t="n">
        <f aca="false">COUNTIF('Speaker Appearances'!$A$2:$A$668,A245)</f>
        <v>1</v>
      </c>
    </row>
    <row r="246" customFormat="false" ht="15" hidden="false" customHeight="false" outlineLevel="0" collapsed="false">
      <c r="A246" s="6" t="s">
        <v>1633</v>
      </c>
      <c r="B246" s="6" t="s">
        <v>1634</v>
      </c>
      <c r="C246" s="6" t="s">
        <v>1635</v>
      </c>
      <c r="D246" s="6" t="n">
        <f aca="false">COUNTIF('Speaker Appearances'!$A$2:$A$668,A246)</f>
        <v>2</v>
      </c>
    </row>
    <row r="247" customFormat="false" ht="15" hidden="false" customHeight="false" outlineLevel="0" collapsed="false">
      <c r="A247" s="6" t="s">
        <v>84</v>
      </c>
      <c r="B247" s="6" t="s">
        <v>1388</v>
      </c>
      <c r="C247" s="6" t="s">
        <v>85</v>
      </c>
      <c r="D247" s="6" t="n">
        <f aca="false">COUNTIF('Speaker Appearances'!$A$2:$A$668,A247)</f>
        <v>2</v>
      </c>
    </row>
    <row r="248" customFormat="false" ht="15" hidden="false" customHeight="false" outlineLevel="0" collapsed="false">
      <c r="A248" s="6" t="s">
        <v>1829</v>
      </c>
      <c r="B248" s="6" t="s">
        <v>1830</v>
      </c>
      <c r="C248" s="6" t="s">
        <v>79</v>
      </c>
      <c r="D248" s="6" t="n">
        <f aca="false">COUNTIF('Speaker Appearances'!$A$2:$A$668,A248)</f>
        <v>2</v>
      </c>
    </row>
    <row r="249" customFormat="false" ht="15" hidden="false" customHeight="false" outlineLevel="0" collapsed="false">
      <c r="A249" s="6" t="s">
        <v>2072</v>
      </c>
      <c r="B249" s="6"/>
      <c r="C249" s="6"/>
      <c r="D249" s="6" t="n">
        <f aca="false">COUNTIF('Speaker Appearances'!$A$2:$A$668,A249)</f>
        <v>1</v>
      </c>
    </row>
    <row r="250" customFormat="false" ht="15" hidden="false" customHeight="false" outlineLevel="0" collapsed="false">
      <c r="A250" s="6" t="s">
        <v>804</v>
      </c>
      <c r="B250" s="6" t="s">
        <v>2014</v>
      </c>
      <c r="C250" s="6" t="s">
        <v>805</v>
      </c>
      <c r="D250" s="6" t="n">
        <f aca="false">COUNTIF('Speaker Appearances'!$A$2:$A$668,A250)</f>
        <v>1</v>
      </c>
    </row>
    <row r="251" customFormat="false" ht="15" hidden="false" customHeight="false" outlineLevel="0" collapsed="false">
      <c r="A251" s="6" t="s">
        <v>649</v>
      </c>
      <c r="B251" s="6"/>
      <c r="C251" s="6"/>
      <c r="D251" s="6" t="n">
        <f aca="false">COUNTIF('Speaker Appearances'!$A$2:$A$668,A251)</f>
        <v>1</v>
      </c>
    </row>
    <row r="252" customFormat="false" ht="15" hidden="false" customHeight="false" outlineLevel="0" collapsed="false">
      <c r="A252" s="6" t="s">
        <v>391</v>
      </c>
      <c r="B252" s="6" t="s">
        <v>1552</v>
      </c>
      <c r="C252" s="6" t="s">
        <v>392</v>
      </c>
      <c r="D252" s="6" t="n">
        <f aca="false">COUNTIF('Speaker Appearances'!$A$2:$A$668,A252)</f>
        <v>1</v>
      </c>
    </row>
    <row r="253" customFormat="false" ht="15" hidden="false" customHeight="false" outlineLevel="0" collapsed="false">
      <c r="A253" s="6" t="s">
        <v>1525</v>
      </c>
      <c r="B253" s="6" t="s">
        <v>1526</v>
      </c>
      <c r="C253" s="6" t="s">
        <v>1527</v>
      </c>
      <c r="D253" s="6" t="n">
        <f aca="false">COUNTIF('Speaker Appearances'!$A$2:$A$668,A253)</f>
        <v>2</v>
      </c>
    </row>
    <row r="254" customFormat="false" ht="15" hidden="false" customHeight="false" outlineLevel="0" collapsed="false">
      <c r="A254" s="6" t="s">
        <v>2269</v>
      </c>
      <c r="B254" s="6" t="s">
        <v>2270</v>
      </c>
      <c r="C254" s="6" t="s">
        <v>79</v>
      </c>
      <c r="D254" s="6" t="n">
        <f aca="false">COUNTIF('Speaker Appearances'!$A$2:$A$668,A254)</f>
        <v>1</v>
      </c>
    </row>
    <row r="255" customFormat="false" ht="15" hidden="false" customHeight="false" outlineLevel="0" collapsed="false">
      <c r="A255" s="6" t="s">
        <v>1823</v>
      </c>
      <c r="B255" s="6"/>
      <c r="C255" s="6"/>
      <c r="D255" s="6" t="n">
        <f aca="false">COUNTIF('Speaker Appearances'!$A$2:$A$668,A255)</f>
        <v>1</v>
      </c>
    </row>
    <row r="256" customFormat="false" ht="15" hidden="false" customHeight="false" outlineLevel="0" collapsed="false">
      <c r="A256" s="6" t="s">
        <v>2197</v>
      </c>
      <c r="B256" s="6" t="s">
        <v>1412</v>
      </c>
      <c r="C256" s="6" t="s">
        <v>2198</v>
      </c>
      <c r="D256" s="6" t="n">
        <f aca="false">COUNTIF('Speaker Appearances'!$A$2:$A$668,A256)</f>
        <v>2</v>
      </c>
    </row>
    <row r="257" customFormat="false" ht="15" hidden="false" customHeight="false" outlineLevel="0" collapsed="false">
      <c r="A257" s="6" t="s">
        <v>1212</v>
      </c>
      <c r="B257" s="6" t="s">
        <v>2231</v>
      </c>
      <c r="C257" s="6" t="s">
        <v>1213</v>
      </c>
      <c r="D257" s="6" t="n">
        <f aca="false">COUNTIF('Speaker Appearances'!$A$2:$A$668,A257)</f>
        <v>1</v>
      </c>
    </row>
    <row r="258" customFormat="false" ht="15" hidden="false" customHeight="false" outlineLevel="0" collapsed="false">
      <c r="A258" s="6" t="s">
        <v>1134</v>
      </c>
      <c r="B258" s="6" t="s">
        <v>1675</v>
      </c>
      <c r="C258" s="6" t="s">
        <v>1135</v>
      </c>
      <c r="D258" s="6" t="n">
        <f aca="false">COUNTIF('Speaker Appearances'!$A$2:$A$668,A258)</f>
        <v>1</v>
      </c>
    </row>
    <row r="259" customFormat="false" ht="15" hidden="false" customHeight="false" outlineLevel="0" collapsed="false">
      <c r="A259" s="6" t="s">
        <v>1048</v>
      </c>
      <c r="B259" s="6" t="s">
        <v>2134</v>
      </c>
      <c r="C259" s="6" t="s">
        <v>1049</v>
      </c>
      <c r="D259" s="6" t="n">
        <f aca="false">COUNTIF('Speaker Appearances'!$A$2:$A$668,A259)</f>
        <v>1</v>
      </c>
    </row>
    <row r="260" customFormat="false" ht="15" hidden="false" customHeight="false" outlineLevel="0" collapsed="false">
      <c r="A260" s="6" t="s">
        <v>2071</v>
      </c>
      <c r="B260" s="6"/>
      <c r="C260" s="6"/>
      <c r="D260" s="6" t="n">
        <f aca="false">COUNTIF('Speaker Appearances'!$A$2:$A$668,A260)</f>
        <v>1</v>
      </c>
    </row>
    <row r="261" customFormat="false" ht="15" hidden="false" customHeight="false" outlineLevel="0" collapsed="false">
      <c r="A261" s="6" t="s">
        <v>1757</v>
      </c>
      <c r="B261" s="6" t="s">
        <v>1758</v>
      </c>
      <c r="C261" s="6" t="s">
        <v>1759</v>
      </c>
      <c r="D261" s="6" t="n">
        <f aca="false">COUNTIF('Speaker Appearances'!$A$2:$A$668,A261)</f>
        <v>1</v>
      </c>
    </row>
    <row r="262" customFormat="false" ht="15" hidden="false" customHeight="false" outlineLevel="0" collapsed="false">
      <c r="A262" s="6" t="s">
        <v>487</v>
      </c>
      <c r="B262" s="6" t="s">
        <v>1500</v>
      </c>
      <c r="C262" s="6" t="s">
        <v>488</v>
      </c>
      <c r="D262" s="6" t="n">
        <f aca="false">COUNTIF('Speaker Appearances'!$A$2:$A$668,A262)</f>
        <v>2</v>
      </c>
    </row>
    <row r="263" customFormat="false" ht="15" hidden="false" customHeight="false" outlineLevel="0" collapsed="false">
      <c r="A263" s="6" t="s">
        <v>2203</v>
      </c>
      <c r="B263" s="6" t="s">
        <v>1542</v>
      </c>
      <c r="C263" s="6" t="s">
        <v>2204</v>
      </c>
      <c r="D263" s="6" t="n">
        <f aca="false">COUNTIF('Speaker Appearances'!$A$2:$A$668,A263)</f>
        <v>1</v>
      </c>
    </row>
    <row r="264" customFormat="false" ht="15" hidden="false" customHeight="false" outlineLevel="0" collapsed="false">
      <c r="A264" s="6" t="s">
        <v>740</v>
      </c>
      <c r="B264" s="6" t="s">
        <v>1984</v>
      </c>
      <c r="C264" s="6" t="s">
        <v>741</v>
      </c>
      <c r="D264" s="6" t="n">
        <f aca="false">COUNTIF('Speaker Appearances'!$A$2:$A$668,A264)</f>
        <v>2</v>
      </c>
    </row>
    <row r="265" customFormat="false" ht="15" hidden="false" customHeight="false" outlineLevel="0" collapsed="false">
      <c r="A265" s="6" t="s">
        <v>2280</v>
      </c>
      <c r="B265" s="6" t="s">
        <v>2281</v>
      </c>
      <c r="C265" s="6" t="s">
        <v>587</v>
      </c>
      <c r="D265" s="6" t="n">
        <f aca="false">COUNTIF('Speaker Appearances'!$A$2:$A$668,A265)</f>
        <v>1</v>
      </c>
    </row>
    <row r="266" customFormat="false" ht="15" hidden="false" customHeight="false" outlineLevel="0" collapsed="false">
      <c r="A266" s="6" t="s">
        <v>1982</v>
      </c>
      <c r="B266" s="6" t="s">
        <v>1983</v>
      </c>
      <c r="C266" s="6" t="s">
        <v>737</v>
      </c>
      <c r="D266" s="6" t="n">
        <f aca="false">COUNTIF('Speaker Appearances'!$A$2:$A$668,A266)</f>
        <v>1</v>
      </c>
    </row>
    <row r="267" customFormat="false" ht="15" hidden="false" customHeight="false" outlineLevel="0" collapsed="false">
      <c r="A267" s="6" t="s">
        <v>342</v>
      </c>
      <c r="B267" s="6" t="s">
        <v>1412</v>
      </c>
      <c r="C267" s="6" t="s">
        <v>343</v>
      </c>
      <c r="D267" s="6" t="n">
        <f aca="false">COUNTIF('Speaker Appearances'!$A$2:$A$668,A267)</f>
        <v>1</v>
      </c>
    </row>
    <row r="268" customFormat="false" ht="15" hidden="false" customHeight="false" outlineLevel="0" collapsed="false">
      <c r="A268" s="6" t="s">
        <v>1909</v>
      </c>
      <c r="B268" s="6" t="s">
        <v>1910</v>
      </c>
      <c r="C268" s="6" t="s">
        <v>1637</v>
      </c>
      <c r="D268" s="6" t="n">
        <f aca="false">COUNTIF('Speaker Appearances'!$A$2:$A$668,A268)</f>
        <v>2</v>
      </c>
    </row>
    <row r="269" customFormat="false" ht="15" hidden="false" customHeight="false" outlineLevel="0" collapsed="false">
      <c r="A269" s="6" t="s">
        <v>1426</v>
      </c>
      <c r="B269" s="6" t="s">
        <v>1427</v>
      </c>
      <c r="C269" s="6" t="s">
        <v>1428</v>
      </c>
      <c r="D269" s="6" t="n">
        <f aca="false">COUNTIF('Speaker Appearances'!$A$2:$A$668,A269)</f>
        <v>1</v>
      </c>
    </row>
    <row r="270" customFormat="false" ht="15" hidden="false" customHeight="false" outlineLevel="0" collapsed="false">
      <c r="A270" s="6" t="s">
        <v>2199</v>
      </c>
      <c r="B270" s="6" t="s">
        <v>2200</v>
      </c>
      <c r="C270" s="6" t="s">
        <v>2201</v>
      </c>
      <c r="D270" s="6" t="n">
        <f aca="false">COUNTIF('Speaker Appearances'!$A$2:$A$668,A270)</f>
        <v>2</v>
      </c>
    </row>
    <row r="271" customFormat="false" ht="15" hidden="false" customHeight="false" outlineLevel="0" collapsed="false">
      <c r="A271" s="6" t="s">
        <v>1789</v>
      </c>
      <c r="B271" s="6" t="s">
        <v>1790</v>
      </c>
      <c r="C271" s="6" t="s">
        <v>1791</v>
      </c>
      <c r="D271" s="6" t="n">
        <f aca="false">COUNTIF('Speaker Appearances'!$A$2:$A$668,A271)</f>
        <v>1</v>
      </c>
    </row>
    <row r="272" customFormat="false" ht="15" hidden="false" customHeight="false" outlineLevel="0" collapsed="false">
      <c r="A272" s="6" t="s">
        <v>1668</v>
      </c>
      <c r="B272" s="6" t="s">
        <v>1669</v>
      </c>
      <c r="C272" s="6" t="s">
        <v>1670</v>
      </c>
      <c r="D272" s="6" t="n">
        <f aca="false">COUNTIF('Speaker Appearances'!$A$2:$A$668,A272)</f>
        <v>1</v>
      </c>
    </row>
    <row r="273" customFormat="false" ht="15" hidden="false" customHeight="false" outlineLevel="0" collapsed="false">
      <c r="A273" s="6" t="s">
        <v>1739</v>
      </c>
      <c r="B273" s="6" t="s">
        <v>1740</v>
      </c>
      <c r="C273" s="6" t="s">
        <v>1741</v>
      </c>
      <c r="D273" s="6" t="n">
        <f aca="false">COUNTIF('Speaker Appearances'!$A$2:$A$668,A273)</f>
        <v>1</v>
      </c>
    </row>
    <row r="274" customFormat="false" ht="15" hidden="false" customHeight="false" outlineLevel="0" collapsed="false">
      <c r="A274" s="6" t="s">
        <v>1925</v>
      </c>
      <c r="B274" s="6" t="s">
        <v>1442</v>
      </c>
      <c r="C274" s="6" t="s">
        <v>587</v>
      </c>
      <c r="D274" s="6" t="n">
        <f aca="false">COUNTIF('Speaker Appearances'!$A$2:$A$668,A274)</f>
        <v>3</v>
      </c>
    </row>
    <row r="275" customFormat="false" ht="15" hidden="false" customHeight="false" outlineLevel="0" collapsed="false">
      <c r="A275" s="6" t="s">
        <v>2169</v>
      </c>
      <c r="B275" s="6" t="s">
        <v>2170</v>
      </c>
      <c r="C275" s="6" t="s">
        <v>2171</v>
      </c>
      <c r="D275" s="6" t="n">
        <f aca="false">COUNTIF('Speaker Appearances'!$A$2:$A$668,A275)</f>
        <v>1</v>
      </c>
    </row>
    <row r="276" customFormat="false" ht="15" hidden="false" customHeight="false" outlineLevel="0" collapsed="false">
      <c r="A276" s="6" t="s">
        <v>1658</v>
      </c>
      <c r="B276" s="6" t="s">
        <v>1659</v>
      </c>
      <c r="C276" s="6" t="s">
        <v>368</v>
      </c>
      <c r="D276" s="6" t="n">
        <f aca="false">COUNTIF('Speaker Appearances'!$A$2:$A$668,A276)</f>
        <v>2</v>
      </c>
    </row>
    <row r="277" customFormat="false" ht="15" hidden="false" customHeight="false" outlineLevel="0" collapsed="false">
      <c r="A277" s="6" t="s">
        <v>1582</v>
      </c>
      <c r="B277" s="6" t="s">
        <v>1542</v>
      </c>
      <c r="C277" s="6" t="s">
        <v>79</v>
      </c>
      <c r="D277" s="6" t="n">
        <f aca="false">COUNTIF('Speaker Appearances'!$A$2:$A$668,A277)</f>
        <v>2</v>
      </c>
    </row>
    <row r="278" customFormat="false" ht="15" hidden="false" customHeight="false" outlineLevel="0" collapsed="false">
      <c r="A278" s="6" t="s">
        <v>202</v>
      </c>
      <c r="B278" s="6" t="s">
        <v>1412</v>
      </c>
      <c r="C278" s="6" t="s">
        <v>203</v>
      </c>
      <c r="D278" s="6" t="n">
        <f aca="false">COUNTIF('Speaker Appearances'!$A$2:$A$668,A278)</f>
        <v>1</v>
      </c>
    </row>
    <row r="279" customFormat="false" ht="15" hidden="false" customHeight="false" outlineLevel="0" collapsed="false">
      <c r="A279" s="6" t="s">
        <v>1429</v>
      </c>
      <c r="B279" s="6" t="s">
        <v>1430</v>
      </c>
      <c r="C279" s="6" t="s">
        <v>1429</v>
      </c>
      <c r="D279" s="6" t="n">
        <f aca="false">COUNTIF('Speaker Appearances'!$A$2:$A$668,A279)</f>
        <v>2</v>
      </c>
    </row>
    <row r="280" customFormat="false" ht="15" hidden="false" customHeight="false" outlineLevel="0" collapsed="false">
      <c r="A280" s="6" t="s">
        <v>154</v>
      </c>
      <c r="B280" s="6" t="s">
        <v>1441</v>
      </c>
      <c r="C280" s="6" t="s">
        <v>155</v>
      </c>
      <c r="D280" s="6" t="n">
        <f aca="false">COUNTIF('Speaker Appearances'!$A$2:$A$668,A280)</f>
        <v>1</v>
      </c>
    </row>
    <row r="281" customFormat="false" ht="15" hidden="false" customHeight="false" outlineLevel="0" collapsed="false">
      <c r="A281" s="6" t="s">
        <v>959</v>
      </c>
      <c r="B281" s="6" t="s">
        <v>1470</v>
      </c>
      <c r="C281" s="6" t="s">
        <v>960</v>
      </c>
      <c r="D281" s="6" t="n">
        <f aca="false">COUNTIF('Speaker Appearances'!$A$2:$A$668,A281)</f>
        <v>2</v>
      </c>
    </row>
    <row r="282" customFormat="false" ht="15" hidden="false" customHeight="false" outlineLevel="0" collapsed="false">
      <c r="A282" s="6" t="s">
        <v>941</v>
      </c>
      <c r="B282" s="6" t="s">
        <v>2075</v>
      </c>
      <c r="C282" s="6" t="s">
        <v>942</v>
      </c>
      <c r="D282" s="6" t="n">
        <f aca="false">COUNTIF('Speaker Appearances'!$A$2:$A$668,A282)</f>
        <v>1</v>
      </c>
    </row>
    <row r="283" customFormat="false" ht="15" hidden="false" customHeight="false" outlineLevel="0" collapsed="false">
      <c r="A283" s="6" t="s">
        <v>1776</v>
      </c>
      <c r="B283" s="6" t="s">
        <v>1775</v>
      </c>
      <c r="C283" s="6" t="s">
        <v>1777</v>
      </c>
      <c r="D283" s="6" t="n">
        <f aca="false">COUNTIF('Speaker Appearances'!$A$2:$A$668,A283)</f>
        <v>3</v>
      </c>
    </row>
    <row r="284" customFormat="false" ht="15" hidden="false" customHeight="false" outlineLevel="0" collapsed="false">
      <c r="A284" s="6" t="s">
        <v>1969</v>
      </c>
      <c r="B284" s="6"/>
      <c r="C284" s="6"/>
      <c r="D284" s="6" t="n">
        <f aca="false">COUNTIF('Speaker Appearances'!$A$2:$A$668,A284)</f>
        <v>1</v>
      </c>
    </row>
    <row r="285" customFormat="false" ht="15" hidden="false" customHeight="false" outlineLevel="0" collapsed="false">
      <c r="A285" s="6" t="s">
        <v>1420</v>
      </c>
      <c r="B285" s="6" t="s">
        <v>1421</v>
      </c>
      <c r="C285" s="6" t="s">
        <v>1422</v>
      </c>
      <c r="D285" s="6" t="n">
        <f aca="false">COUNTIF('Speaker Appearances'!$A$2:$A$668,A285)</f>
        <v>1</v>
      </c>
    </row>
    <row r="286" customFormat="false" ht="15" hidden="false" customHeight="false" outlineLevel="0" collapsed="false">
      <c r="A286" s="6" t="s">
        <v>1871</v>
      </c>
      <c r="B286" s="6" t="s">
        <v>1872</v>
      </c>
      <c r="C286" s="6" t="s">
        <v>727</v>
      </c>
      <c r="D286" s="6" t="n">
        <f aca="false">COUNTIF('Speaker Appearances'!$A$2:$A$668,A286)</f>
        <v>2</v>
      </c>
    </row>
    <row r="287" customFormat="false" ht="15" hidden="false" customHeight="false" outlineLevel="0" collapsed="false">
      <c r="A287" s="6" t="s">
        <v>2256</v>
      </c>
      <c r="B287" s="6" t="s">
        <v>2257</v>
      </c>
      <c r="C287" s="6" t="s">
        <v>423</v>
      </c>
      <c r="D287" s="6" t="n">
        <f aca="false">COUNTIF('Speaker Appearances'!$A$2:$A$668,A287)</f>
        <v>1</v>
      </c>
    </row>
    <row r="288" customFormat="false" ht="15" hidden="false" customHeight="false" outlineLevel="0" collapsed="false">
      <c r="A288" s="6" t="s">
        <v>149</v>
      </c>
      <c r="B288" s="6" t="s">
        <v>1440</v>
      </c>
      <c r="C288" s="6" t="s">
        <v>150</v>
      </c>
      <c r="D288" s="6" t="n">
        <f aca="false">COUNTIF('Speaker Appearances'!$A$2:$A$668,A288)</f>
        <v>1</v>
      </c>
    </row>
    <row r="289" customFormat="false" ht="15" hidden="false" customHeight="false" outlineLevel="0" collapsed="false">
      <c r="A289" s="6" t="s">
        <v>2028</v>
      </c>
      <c r="B289" s="6" t="s">
        <v>1412</v>
      </c>
      <c r="C289" s="6" t="s">
        <v>2029</v>
      </c>
      <c r="D289" s="6" t="n">
        <f aca="false">COUNTIF('Speaker Appearances'!$A$2:$A$668,A289)</f>
        <v>2</v>
      </c>
    </row>
    <row r="290" customFormat="false" ht="15" hidden="false" customHeight="false" outlineLevel="0" collapsed="false">
      <c r="A290" s="6" t="s">
        <v>2276</v>
      </c>
      <c r="B290" s="6"/>
      <c r="C290" s="6"/>
      <c r="D290" s="6" t="n">
        <f aca="false">COUNTIF('Speaker Appearances'!$A$2:$A$668,A290)</f>
        <v>1</v>
      </c>
    </row>
    <row r="291" customFormat="false" ht="15" hidden="false" customHeight="false" outlineLevel="0" collapsed="false">
      <c r="A291" s="6" t="s">
        <v>159</v>
      </c>
      <c r="B291" s="6" t="s">
        <v>1442</v>
      </c>
      <c r="C291" s="6" t="s">
        <v>160</v>
      </c>
      <c r="D291" s="6" t="n">
        <f aca="false">COUNTIF('Speaker Appearances'!$A$2:$A$668,A291)</f>
        <v>1</v>
      </c>
    </row>
    <row r="292" customFormat="false" ht="15" hidden="false" customHeight="false" outlineLevel="0" collapsed="false">
      <c r="A292" s="6" t="s">
        <v>132</v>
      </c>
      <c r="B292" s="6" t="s">
        <v>1419</v>
      </c>
      <c r="C292" s="6" t="s">
        <v>133</v>
      </c>
      <c r="D292" s="6" t="n">
        <f aca="false">COUNTIF('Speaker Appearances'!$A$2:$A$668,A292)</f>
        <v>1</v>
      </c>
    </row>
    <row r="293" customFormat="false" ht="15" hidden="false" customHeight="false" outlineLevel="0" collapsed="false">
      <c r="A293" s="6" t="s">
        <v>1610</v>
      </c>
      <c r="B293" s="6" t="s">
        <v>1611</v>
      </c>
      <c r="C293" s="6" t="s">
        <v>1612</v>
      </c>
      <c r="D293" s="6" t="n">
        <f aca="false">COUNTIF('Speaker Appearances'!$A$2:$A$668,A293)</f>
        <v>1</v>
      </c>
    </row>
    <row r="294" customFormat="false" ht="15" hidden="false" customHeight="false" outlineLevel="0" collapsed="false">
      <c r="A294" s="6" t="s">
        <v>1970</v>
      </c>
      <c r="B294" s="6" t="s">
        <v>1971</v>
      </c>
      <c r="C294" s="6" t="s">
        <v>1930</v>
      </c>
      <c r="D294" s="6" t="n">
        <f aca="false">COUNTIF('Speaker Appearances'!$A$2:$A$668,A294)</f>
        <v>2</v>
      </c>
    </row>
    <row r="295" customFormat="false" ht="15" hidden="false" customHeight="false" outlineLevel="0" collapsed="false">
      <c r="A295" s="6" t="s">
        <v>2313</v>
      </c>
      <c r="B295" s="6" t="s">
        <v>2314</v>
      </c>
      <c r="C295" s="6" t="s">
        <v>2315</v>
      </c>
      <c r="D295" s="6" t="n">
        <f aca="false">COUNTIF('Speaker Appearances'!$A$2:$A$668,A295)</f>
        <v>1</v>
      </c>
    </row>
    <row r="296" customFormat="false" ht="15" hidden="false" customHeight="false" outlineLevel="0" collapsed="false">
      <c r="A296" s="6" t="s">
        <v>1443</v>
      </c>
      <c r="B296" s="6" t="s">
        <v>1444</v>
      </c>
      <c r="C296" s="6" t="s">
        <v>587</v>
      </c>
      <c r="D296" s="6" t="n">
        <f aca="false">COUNTIF('Speaker Appearances'!$A$2:$A$668,A296)</f>
        <v>1</v>
      </c>
    </row>
    <row r="297" customFormat="false" ht="15" hidden="false" customHeight="false" outlineLevel="0" collapsed="false">
      <c r="A297" s="6" t="s">
        <v>1690</v>
      </c>
      <c r="B297" s="6" t="s">
        <v>1691</v>
      </c>
      <c r="C297" s="6" t="s">
        <v>1692</v>
      </c>
      <c r="D297" s="6" t="n">
        <f aca="false">COUNTIF('Speaker Appearances'!$A$2:$A$668,A297)</f>
        <v>2</v>
      </c>
    </row>
    <row r="298" customFormat="false" ht="15" hidden="false" customHeight="false" outlineLevel="0" collapsed="false">
      <c r="A298" s="6" t="s">
        <v>1725</v>
      </c>
      <c r="B298" s="6" t="s">
        <v>1726</v>
      </c>
      <c r="C298" s="6" t="s">
        <v>1727</v>
      </c>
      <c r="D298" s="6" t="n">
        <f aca="false">COUNTIF('Speaker Appearances'!$A$2:$A$668,A298)</f>
        <v>1</v>
      </c>
    </row>
    <row r="299" customFormat="false" ht="15" hidden="false" customHeight="false" outlineLevel="0" collapsed="false">
      <c r="A299" s="6" t="s">
        <v>1508</v>
      </c>
      <c r="B299" s="6" t="s">
        <v>1509</v>
      </c>
      <c r="C299" s="6" t="s">
        <v>1510</v>
      </c>
      <c r="D299" s="6" t="n">
        <f aca="false">COUNTIF('Speaker Appearances'!$A$2:$A$668,A299)</f>
        <v>1</v>
      </c>
    </row>
    <row r="300" customFormat="false" ht="15" hidden="false" customHeight="false" outlineLevel="0" collapsed="false">
      <c r="A300" s="6" t="s">
        <v>432</v>
      </c>
      <c r="B300" s="6" t="s">
        <v>1724</v>
      </c>
      <c r="C300" s="6" t="s">
        <v>433</v>
      </c>
      <c r="D300" s="6" t="n">
        <f aca="false">COUNTIF('Speaker Appearances'!$A$2:$A$668,A300)</f>
        <v>1</v>
      </c>
    </row>
    <row r="301" customFormat="false" ht="15" hidden="false" customHeight="false" outlineLevel="0" collapsed="false">
      <c r="A301" s="6" t="s">
        <v>2216</v>
      </c>
      <c r="B301" s="6" t="s">
        <v>1438</v>
      </c>
      <c r="C301" s="6" t="s">
        <v>2217</v>
      </c>
      <c r="D301" s="6" t="n">
        <f aca="false">COUNTIF('Speaker Appearances'!$A$2:$A$668,A301)</f>
        <v>2</v>
      </c>
    </row>
    <row r="302" customFormat="false" ht="15" hidden="false" customHeight="false" outlineLevel="0" collapsed="false">
      <c r="A302" s="6" t="s">
        <v>2321</v>
      </c>
      <c r="B302" s="6" t="s">
        <v>1421</v>
      </c>
      <c r="C302" s="6" t="s">
        <v>492</v>
      </c>
      <c r="D302" s="6" t="n">
        <f aca="false">COUNTIF('Speaker Appearances'!$A$2:$A$668,A302)</f>
        <v>1</v>
      </c>
    </row>
    <row r="303" customFormat="false" ht="15" hidden="false" customHeight="false" outlineLevel="0" collapsed="false">
      <c r="A303" s="6" t="s">
        <v>1548</v>
      </c>
      <c r="B303" s="6" t="s">
        <v>1549</v>
      </c>
      <c r="C303" s="6" t="s">
        <v>1550</v>
      </c>
      <c r="D303" s="6" t="n">
        <f aca="false">COUNTIF('Speaker Appearances'!$A$2:$A$668,A303)</f>
        <v>1</v>
      </c>
    </row>
    <row r="304" customFormat="false" ht="15" hidden="false" customHeight="false" outlineLevel="0" collapsed="false">
      <c r="A304" s="6" t="s">
        <v>1416</v>
      </c>
      <c r="B304" s="6" t="s">
        <v>1417</v>
      </c>
      <c r="C304" s="6" t="s">
        <v>1418</v>
      </c>
      <c r="D304" s="6" t="n">
        <f aca="false">COUNTIF('Speaker Appearances'!$A$2:$A$668,A304)</f>
        <v>4</v>
      </c>
    </row>
    <row r="305" customFormat="false" ht="15" hidden="false" customHeight="false" outlineLevel="0" collapsed="false">
      <c r="A305" s="6" t="s">
        <v>817</v>
      </c>
      <c r="B305" s="6" t="s">
        <v>2018</v>
      </c>
      <c r="C305" s="6" t="s">
        <v>818</v>
      </c>
      <c r="D305" s="6" t="n">
        <f aca="false">COUNTIF('Speaker Appearances'!$A$2:$A$668,A305)</f>
        <v>1</v>
      </c>
    </row>
    <row r="306" customFormat="false" ht="15" hidden="false" customHeight="false" outlineLevel="0" collapsed="false">
      <c r="A306" s="6" t="s">
        <v>1595</v>
      </c>
      <c r="B306" s="6" t="s">
        <v>1596</v>
      </c>
      <c r="C306" s="6" t="s">
        <v>1597</v>
      </c>
      <c r="D306" s="6" t="n">
        <f aca="false">COUNTIF('Speaker Appearances'!$A$2:$A$668,A306)</f>
        <v>1</v>
      </c>
    </row>
    <row r="307" customFormat="false" ht="15" hidden="false" customHeight="false" outlineLevel="0" collapsed="false">
      <c r="A307" s="6" t="s">
        <v>1640</v>
      </c>
      <c r="B307" s="6" t="s">
        <v>1641</v>
      </c>
      <c r="C307" s="6" t="s">
        <v>1642</v>
      </c>
      <c r="D307" s="6" t="n">
        <f aca="false">COUNTIF('Speaker Appearances'!$A$2:$A$668,A307)</f>
        <v>1</v>
      </c>
    </row>
    <row r="308" customFormat="false" ht="15" hidden="false" customHeight="false" outlineLevel="0" collapsed="false">
      <c r="A308" s="6" t="s">
        <v>491</v>
      </c>
      <c r="B308" s="6" t="s">
        <v>1815</v>
      </c>
      <c r="C308" s="6" t="s">
        <v>492</v>
      </c>
      <c r="D308" s="6" t="n">
        <f aca="false">COUNTIF('Speaker Appearances'!$A$2:$A$668,A308)</f>
        <v>2</v>
      </c>
    </row>
    <row r="309" customFormat="false" ht="15" hidden="false" customHeight="false" outlineLevel="0" collapsed="false">
      <c r="A309" s="6" t="s">
        <v>1952</v>
      </c>
      <c r="B309" s="6"/>
      <c r="C309" s="6"/>
      <c r="D309" s="6" t="n">
        <f aca="false">COUNTIF('Speaker Appearances'!$A$2:$A$668,A309)</f>
        <v>1</v>
      </c>
    </row>
    <row r="310" customFormat="false" ht="15" hidden="false" customHeight="false" outlineLevel="0" collapsed="false">
      <c r="A310" s="6" t="s">
        <v>2015</v>
      </c>
      <c r="B310" s="6" t="s">
        <v>2016</v>
      </c>
      <c r="C310" s="6" t="s">
        <v>2017</v>
      </c>
      <c r="D310" s="6" t="n">
        <f aca="false">COUNTIF('Speaker Appearances'!$A$2:$A$668,A310)</f>
        <v>1</v>
      </c>
    </row>
    <row r="311" customFormat="false" ht="15" hidden="false" customHeight="false" outlineLevel="0" collapsed="false">
      <c r="A311" s="6" t="s">
        <v>2175</v>
      </c>
      <c r="B311" s="6" t="s">
        <v>2176</v>
      </c>
      <c r="C311" s="6" t="s">
        <v>418</v>
      </c>
      <c r="D311" s="6" t="n">
        <f aca="false">COUNTIF('Speaker Appearances'!$A$2:$A$668,A311)</f>
        <v>1</v>
      </c>
    </row>
    <row r="312" customFormat="false" ht="15" hidden="false" customHeight="false" outlineLevel="0" collapsed="false">
      <c r="A312" s="6" t="s">
        <v>1907</v>
      </c>
      <c r="B312" s="6" t="s">
        <v>1908</v>
      </c>
      <c r="C312" s="6" t="s">
        <v>275</v>
      </c>
      <c r="D312" s="6" t="n">
        <f aca="false">COUNTIF('Speaker Appearances'!$A$2:$A$668,A312)</f>
        <v>1</v>
      </c>
    </row>
    <row r="313" customFormat="false" ht="15" hidden="false" customHeight="false" outlineLevel="0" collapsed="false">
      <c r="A313" s="6" t="s">
        <v>1827</v>
      </c>
      <c r="B313" s="6" t="s">
        <v>1828</v>
      </c>
      <c r="C313" s="6" t="s">
        <v>508</v>
      </c>
      <c r="D313" s="6" t="n">
        <f aca="false">COUNTIF('Speaker Appearances'!$A$2:$A$668,A313)</f>
        <v>1</v>
      </c>
    </row>
    <row r="314" customFormat="false" ht="15" hidden="false" customHeight="false" outlineLevel="0" collapsed="false">
      <c r="A314" s="6" t="s">
        <v>2030</v>
      </c>
      <c r="B314" s="6" t="s">
        <v>2031</v>
      </c>
      <c r="C314" s="6" t="s">
        <v>2032</v>
      </c>
      <c r="D314" s="6" t="n">
        <f aca="false">COUNTIF('Speaker Appearances'!$A$2:$A$668,A314)</f>
        <v>2</v>
      </c>
    </row>
    <row r="315" customFormat="false" ht="15" hidden="false" customHeight="false" outlineLevel="0" collapsed="false">
      <c r="A315" s="6" t="s">
        <v>1943</v>
      </c>
      <c r="B315" s="6"/>
      <c r="C315" s="6"/>
      <c r="D315" s="6" t="n">
        <f aca="false">COUNTIF('Speaker Appearances'!$A$2:$A$668,A315)</f>
        <v>1</v>
      </c>
    </row>
    <row r="316" customFormat="false" ht="15" hidden="false" customHeight="false" outlineLevel="0" collapsed="false">
      <c r="A316" s="6" t="s">
        <v>1978</v>
      </c>
      <c r="B316" s="6" t="s">
        <v>1979</v>
      </c>
      <c r="C316" s="6" t="s">
        <v>1588</v>
      </c>
      <c r="D316" s="6" t="n">
        <f aca="false">COUNTIF('Speaker Appearances'!$A$2:$A$668,A316)</f>
        <v>2</v>
      </c>
    </row>
    <row r="317" customFormat="false" ht="15" hidden="false" customHeight="false" outlineLevel="0" collapsed="false">
      <c r="A317" s="6" t="s">
        <v>1589</v>
      </c>
      <c r="B317" s="6" t="s">
        <v>1590</v>
      </c>
      <c r="C317" s="6" t="s">
        <v>1591</v>
      </c>
      <c r="D317" s="6" t="n">
        <f aca="false">COUNTIF('Speaker Appearances'!$A$2:$A$668,A317)</f>
        <v>1</v>
      </c>
    </row>
    <row r="318" customFormat="false" ht="15" hidden="false" customHeight="false" outlineLevel="0" collapsed="false">
      <c r="A318" s="6" t="s">
        <v>1285</v>
      </c>
      <c r="B318" s="6" t="s">
        <v>1802</v>
      </c>
      <c r="C318" s="6" t="s">
        <v>1286</v>
      </c>
      <c r="D318" s="6" t="n">
        <f aca="false">COUNTIF('Speaker Appearances'!$A$2:$A$668,A318)</f>
        <v>1</v>
      </c>
    </row>
    <row r="319" customFormat="false" ht="15" hidden="false" customHeight="false" outlineLevel="0" collapsed="false">
      <c r="A319" s="6" t="s">
        <v>1890</v>
      </c>
      <c r="B319" s="6" t="s">
        <v>1891</v>
      </c>
      <c r="C319" s="6" t="s">
        <v>492</v>
      </c>
      <c r="D319" s="6" t="n">
        <f aca="false">COUNTIF('Speaker Appearances'!$A$2:$A$668,A319)</f>
        <v>1</v>
      </c>
    </row>
    <row r="320" customFormat="false" ht="15" hidden="false" customHeight="false" outlineLevel="0" collapsed="false">
      <c r="A320" s="6" t="s">
        <v>1474</v>
      </c>
      <c r="B320" s="6" t="s">
        <v>1475</v>
      </c>
      <c r="C320" s="6" t="s">
        <v>1476</v>
      </c>
      <c r="D320" s="6" t="n">
        <f aca="false">COUNTIF('Speaker Appearances'!$A$2:$A$668,A320)</f>
        <v>1</v>
      </c>
    </row>
    <row r="321" customFormat="false" ht="15" hidden="false" customHeight="false" outlineLevel="0" collapsed="false">
      <c r="A321" s="6" t="s">
        <v>2192</v>
      </c>
      <c r="B321" s="6" t="s">
        <v>1532</v>
      </c>
      <c r="C321" s="6" t="s">
        <v>2193</v>
      </c>
      <c r="D321" s="6" t="n">
        <f aca="false">COUNTIF('Speaker Appearances'!$A$2:$A$668,A321)</f>
        <v>1</v>
      </c>
    </row>
    <row r="322" customFormat="false" ht="15" hidden="false" customHeight="false" outlineLevel="0" collapsed="false">
      <c r="A322" s="6" t="s">
        <v>1951</v>
      </c>
      <c r="B322" s="6"/>
      <c r="C322" s="6"/>
      <c r="D322" s="6" t="n">
        <f aca="false">COUNTIF('Speaker Appearances'!$A$2:$A$668,A322)</f>
        <v>1</v>
      </c>
    </row>
    <row r="323" customFormat="false" ht="15" hidden="false" customHeight="false" outlineLevel="0" collapsed="false">
      <c r="A323" s="6" t="s">
        <v>78</v>
      </c>
      <c r="B323" s="6" t="s">
        <v>1387</v>
      </c>
      <c r="C323" s="6" t="s">
        <v>79</v>
      </c>
      <c r="D323" s="6" t="n">
        <f aca="false">COUNTIF('Speaker Appearances'!$A$2:$A$668,A323)</f>
        <v>1</v>
      </c>
    </row>
    <row r="324" customFormat="false" ht="15" hidden="false" customHeight="false" outlineLevel="0" collapsed="false">
      <c r="A324" s="6" t="s">
        <v>2067</v>
      </c>
      <c r="B324" s="6" t="s">
        <v>2068</v>
      </c>
      <c r="C324" s="6" t="s">
        <v>907</v>
      </c>
      <c r="D324" s="6" t="n">
        <f aca="false">COUNTIF('Speaker Appearances'!$A$2:$A$668,A324)</f>
        <v>1</v>
      </c>
    </row>
    <row r="325" customFormat="false" ht="15" hidden="false" customHeight="false" outlineLevel="0" collapsed="false">
      <c r="A325" s="6" t="s">
        <v>1506</v>
      </c>
      <c r="B325" s="6" t="s">
        <v>1507</v>
      </c>
      <c r="C325" s="6" t="s">
        <v>85</v>
      </c>
      <c r="D325" s="6" t="n">
        <f aca="false">COUNTIF('Speaker Appearances'!$A$2:$A$668,A325)</f>
        <v>1</v>
      </c>
    </row>
    <row r="326" customFormat="false" ht="15" hidden="false" customHeight="false" outlineLevel="0" collapsed="false">
      <c r="A326" s="6" t="s">
        <v>2260</v>
      </c>
      <c r="B326" s="6" t="s">
        <v>1979</v>
      </c>
      <c r="C326" s="6" t="s">
        <v>2198</v>
      </c>
      <c r="D326" s="6" t="n">
        <f aca="false">COUNTIF('Speaker Appearances'!$A$2:$A$668,A326)</f>
        <v>1</v>
      </c>
    </row>
    <row r="327" customFormat="false" ht="15" hidden="false" customHeight="false" outlineLevel="0" collapsed="false">
      <c r="A327" s="6" t="s">
        <v>1486</v>
      </c>
      <c r="B327" s="6" t="s">
        <v>1487</v>
      </c>
      <c r="C327" s="6" t="s">
        <v>1488</v>
      </c>
      <c r="D327" s="6" t="n">
        <f aca="false">COUNTIF('Speaker Appearances'!$A$2:$A$668,A327)</f>
        <v>2</v>
      </c>
    </row>
    <row r="328" customFormat="false" ht="15" hidden="false" customHeight="false" outlineLevel="0" collapsed="false">
      <c r="A328" s="6" t="s">
        <v>2163</v>
      </c>
      <c r="B328" s="6" t="s">
        <v>2164</v>
      </c>
      <c r="C328" s="6" t="s">
        <v>2165</v>
      </c>
      <c r="D328" s="6" t="n">
        <f aca="false">COUNTIF('Speaker Appearances'!$A$2:$A$668,A328)</f>
        <v>1</v>
      </c>
    </row>
    <row r="329" customFormat="false" ht="15" hidden="false" customHeight="false" outlineLevel="0" collapsed="false">
      <c r="A329" s="6" t="s">
        <v>1801</v>
      </c>
      <c r="B329" s="6" t="s">
        <v>1802</v>
      </c>
      <c r="C329" s="6" t="s">
        <v>1803</v>
      </c>
      <c r="D329" s="6" t="n">
        <f aca="false">COUNTIF('Speaker Appearances'!$A$2:$A$668,A329)</f>
        <v>2</v>
      </c>
    </row>
    <row r="330" customFormat="false" ht="15" hidden="false" customHeight="false" outlineLevel="0" collapsed="false">
      <c r="A330" s="6" t="s">
        <v>1768</v>
      </c>
      <c r="B330" s="6" t="s">
        <v>1769</v>
      </c>
      <c r="C330" s="6" t="s">
        <v>1770</v>
      </c>
      <c r="D330" s="6" t="n">
        <f aca="false">COUNTIF('Speaker Appearances'!$A$2:$A$668,A330)</f>
        <v>1</v>
      </c>
    </row>
    <row r="331" customFormat="false" ht="15" hidden="false" customHeight="false" outlineLevel="0" collapsed="false">
      <c r="A331" s="6" t="s">
        <v>1457</v>
      </c>
      <c r="B331" s="6" t="s">
        <v>1458</v>
      </c>
      <c r="C331" s="6" t="s">
        <v>1459</v>
      </c>
      <c r="D331" s="6" t="n">
        <f aca="false">COUNTIF('Speaker Appearances'!$A$2:$A$668,A331)</f>
        <v>1</v>
      </c>
    </row>
    <row r="332" customFormat="false" ht="15" hidden="false" customHeight="false" outlineLevel="0" collapsed="false">
      <c r="A332" s="6" t="s">
        <v>314</v>
      </c>
      <c r="B332" s="6" t="s">
        <v>1627</v>
      </c>
      <c r="C332" s="6" t="s">
        <v>315</v>
      </c>
      <c r="D332" s="6" t="n">
        <f aca="false">COUNTIF('Speaker Appearances'!$A$2:$A$668,A332)</f>
        <v>1</v>
      </c>
    </row>
    <row r="333" customFormat="false" ht="15" hidden="false" customHeight="false" outlineLevel="0" collapsed="false">
      <c r="A333" s="6" t="s">
        <v>1195</v>
      </c>
      <c r="B333" s="6" t="s">
        <v>2227</v>
      </c>
      <c r="C333" s="6" t="s">
        <v>1196</v>
      </c>
      <c r="D333" s="6" t="n">
        <f aca="false">COUNTIF('Speaker Appearances'!$A$2:$A$668,A333)</f>
        <v>2</v>
      </c>
    </row>
    <row r="334" customFormat="false" ht="15" hidden="false" customHeight="false" outlineLevel="0" collapsed="false">
      <c r="A334" s="6" t="s">
        <v>1750</v>
      </c>
      <c r="B334" s="6" t="s">
        <v>1751</v>
      </c>
      <c r="C334" s="6" t="s">
        <v>388</v>
      </c>
      <c r="D334" s="6" t="n">
        <f aca="false">COUNTIF('Speaker Appearances'!$A$2:$A$668,A334)</f>
        <v>1</v>
      </c>
    </row>
    <row r="335" customFormat="false" ht="23.85" hidden="false" customHeight="false" outlineLevel="0" collapsed="false">
      <c r="A335" s="6" t="s">
        <v>2318</v>
      </c>
      <c r="B335" s="6" t="s">
        <v>2319</v>
      </c>
      <c r="C335" s="6" t="s">
        <v>2320</v>
      </c>
      <c r="D335" s="6" t="n">
        <f aca="false">COUNTIF('Speaker Appearances'!$A$2:$A$668,A335)</f>
        <v>1</v>
      </c>
    </row>
    <row r="336" customFormat="false" ht="15" hidden="false" customHeight="false" outlineLevel="0" collapsed="false">
      <c r="A336" s="6" t="s">
        <v>2137</v>
      </c>
      <c r="B336" s="6" t="s">
        <v>1979</v>
      </c>
      <c r="C336" s="6" t="s">
        <v>2029</v>
      </c>
      <c r="D336" s="6" t="n">
        <f aca="false">COUNTIF('Speaker Appearances'!$A$2:$A$668,A336)</f>
        <v>2</v>
      </c>
    </row>
    <row r="337" customFormat="false" ht="15" hidden="false" customHeight="false" outlineLevel="0" collapsed="false">
      <c r="A337" s="6" t="s">
        <v>1497</v>
      </c>
      <c r="B337" s="6" t="s">
        <v>1498</v>
      </c>
      <c r="C337" s="6" t="s">
        <v>1499</v>
      </c>
      <c r="D337" s="6" t="n">
        <f aca="false">COUNTIF('Speaker Appearances'!$A$2:$A$668,A337)</f>
        <v>1</v>
      </c>
    </row>
    <row r="338" customFormat="false" ht="15" hidden="false" customHeight="false" outlineLevel="0" collapsed="false">
      <c r="A338" s="6" t="s">
        <v>1395</v>
      </c>
      <c r="B338" s="6" t="s">
        <v>1396</v>
      </c>
      <c r="C338" s="6" t="s">
        <v>242</v>
      </c>
      <c r="D338" s="6" t="n">
        <f aca="false">COUNTIF('Speaker Appearances'!$A$2:$A$668,A338)</f>
        <v>1</v>
      </c>
    </row>
    <row r="339" customFormat="false" ht="15" hidden="false" customHeight="false" outlineLevel="0" collapsed="false">
      <c r="A339" s="6" t="s">
        <v>1774</v>
      </c>
      <c r="B339" s="6" t="s">
        <v>1775</v>
      </c>
      <c r="C339" s="6" t="s">
        <v>1422</v>
      </c>
      <c r="D339" s="6" t="n">
        <f aca="false">COUNTIF('Speaker Appearances'!$A$2:$A$668,A339)</f>
        <v>1</v>
      </c>
    </row>
    <row r="340" customFormat="false" ht="15" hidden="false" customHeight="false" outlineLevel="0" collapsed="false">
      <c r="A340" s="6" t="s">
        <v>2004</v>
      </c>
      <c r="B340" s="6" t="s">
        <v>2005</v>
      </c>
      <c r="C340" s="6" t="s">
        <v>2006</v>
      </c>
      <c r="D340" s="6" t="n">
        <f aca="false">COUNTIF('Speaker Appearances'!$A$2:$A$668,A340)</f>
        <v>2</v>
      </c>
    </row>
    <row r="341" customFormat="false" ht="15" hidden="false" customHeight="false" outlineLevel="0" collapsed="false">
      <c r="A341" s="6" t="s">
        <v>2278</v>
      </c>
      <c r="B341" s="6"/>
      <c r="C341" s="6"/>
      <c r="D341" s="6" t="n">
        <f aca="false">COUNTIF('Speaker Appearances'!$A$2:$A$668,A341)</f>
        <v>1</v>
      </c>
    </row>
    <row r="342" customFormat="false" ht="15" hidden="false" customHeight="false" outlineLevel="0" collapsed="false">
      <c r="A342" s="6" t="s">
        <v>1835</v>
      </c>
      <c r="B342" s="6" t="s">
        <v>1836</v>
      </c>
      <c r="C342" s="6" t="s">
        <v>1837</v>
      </c>
      <c r="D342" s="6" t="n">
        <f aca="false">COUNTIF('Speaker Appearances'!$A$2:$A$668,A342)</f>
        <v>1</v>
      </c>
    </row>
    <row r="343" customFormat="false" ht="15" hidden="false" customHeight="false" outlineLevel="0" collapsed="false">
      <c r="A343" s="6" t="s">
        <v>346</v>
      </c>
      <c r="B343" s="6" t="s">
        <v>1532</v>
      </c>
      <c r="C343" s="6" t="s">
        <v>347</v>
      </c>
      <c r="D343" s="6" t="n">
        <f aca="false">COUNTIF('Speaker Appearances'!$A$2:$A$668,A343)</f>
        <v>1</v>
      </c>
    </row>
    <row r="344" customFormat="false" ht="15" hidden="false" customHeight="false" outlineLevel="0" collapsed="false">
      <c r="A344" s="6" t="s">
        <v>1957</v>
      </c>
      <c r="B344" s="6"/>
      <c r="C344" s="6"/>
      <c r="D344" s="6" t="n">
        <f aca="false">COUNTIF('Speaker Appearances'!$A$2:$A$668,A344)</f>
        <v>1</v>
      </c>
    </row>
    <row r="345" customFormat="false" ht="15" hidden="false" customHeight="false" outlineLevel="0" collapsed="false">
      <c r="A345" s="6" t="s">
        <v>1268</v>
      </c>
      <c r="B345" s="6" t="s">
        <v>2265</v>
      </c>
      <c r="C345" s="6" t="s">
        <v>1269</v>
      </c>
      <c r="D345" s="6" t="n">
        <f aca="false">COUNTIF('Speaker Appearances'!$A$2:$A$668,A345)</f>
        <v>1</v>
      </c>
    </row>
    <row r="346" customFormat="false" ht="15" hidden="false" customHeight="false" outlineLevel="0" collapsed="false">
      <c r="A346" s="6" t="s">
        <v>2044</v>
      </c>
      <c r="B346" s="6" t="s">
        <v>2045</v>
      </c>
      <c r="C346" s="6" t="s">
        <v>2046</v>
      </c>
      <c r="D346" s="6" t="n">
        <f aca="false">COUNTIF('Speaker Appearances'!$A$2:$A$668,A346)</f>
        <v>1</v>
      </c>
    </row>
    <row r="347" customFormat="false" ht="15" hidden="false" customHeight="false" outlineLevel="0" collapsed="false">
      <c r="A347" s="6" t="s">
        <v>1959</v>
      </c>
      <c r="B347" s="6"/>
      <c r="C347" s="6"/>
      <c r="D347" s="6" t="n">
        <f aca="false">COUNTIF('Speaker Appearances'!$A$2:$A$668,A347)</f>
        <v>1</v>
      </c>
    </row>
    <row r="348" customFormat="false" ht="15" hidden="false" customHeight="false" outlineLevel="0" collapsed="false">
      <c r="A348" s="6" t="s">
        <v>1901</v>
      </c>
      <c r="B348" s="6" t="s">
        <v>1902</v>
      </c>
      <c r="C348" s="6" t="s">
        <v>1903</v>
      </c>
      <c r="D348" s="6" t="n">
        <f aca="false">COUNTIF('Speaker Appearances'!$A$2:$A$668,A348)</f>
        <v>1</v>
      </c>
    </row>
    <row r="349" customFormat="false" ht="15" hidden="false" customHeight="false" outlineLevel="0" collapsed="false">
      <c r="A349" s="6" t="s">
        <v>2245</v>
      </c>
      <c r="B349" s="6" t="s">
        <v>2246</v>
      </c>
      <c r="C349" s="6" t="s">
        <v>2247</v>
      </c>
      <c r="D349" s="6" t="n">
        <f aca="false">COUNTIF('Speaker Appearances'!$A$2:$A$668,A349)</f>
        <v>2</v>
      </c>
    </row>
    <row r="350" customFormat="false" ht="15" hidden="false" customHeight="false" outlineLevel="0" collapsed="false">
      <c r="A350" s="6" t="s">
        <v>2194</v>
      </c>
      <c r="B350" s="6" t="s">
        <v>2195</v>
      </c>
      <c r="C350" s="6" t="s">
        <v>2196</v>
      </c>
      <c r="D350" s="6" t="n">
        <f aca="false">COUNTIF('Speaker Appearances'!$A$2:$A$668,A350)</f>
        <v>2</v>
      </c>
    </row>
    <row r="351" customFormat="false" ht="15" hidden="false" customHeight="false" outlineLevel="0" collapsed="false">
      <c r="A351" s="6" t="s">
        <v>1656</v>
      </c>
      <c r="B351" s="6" t="s">
        <v>1657</v>
      </c>
      <c r="C351" s="6" t="s">
        <v>1516</v>
      </c>
      <c r="D351" s="6" t="n">
        <f aca="false">COUNTIF('Speaker Appearances'!$A$2:$A$668,A351)</f>
        <v>1</v>
      </c>
    </row>
    <row r="352" customFormat="false" ht="15" hidden="false" customHeight="false" outlineLevel="0" collapsed="false">
      <c r="A352" s="6" t="s">
        <v>2298</v>
      </c>
      <c r="B352" s="6" t="s">
        <v>2299</v>
      </c>
      <c r="C352" s="6" t="s">
        <v>2300</v>
      </c>
      <c r="D352" s="6" t="n">
        <f aca="false">COUNTIF('Speaker Appearances'!$A$2:$A$668,A352)</f>
        <v>1</v>
      </c>
    </row>
    <row r="353" customFormat="false" ht="15" hidden="false" customHeight="false" outlineLevel="0" collapsed="false">
      <c r="A353" s="6" t="s">
        <v>711</v>
      </c>
      <c r="B353" s="6" t="s">
        <v>1867</v>
      </c>
      <c r="C353" s="6" t="s">
        <v>712</v>
      </c>
      <c r="D353" s="6" t="n">
        <f aca="false">COUNTIF('Speaker Appearances'!$A$2:$A$668,A353)</f>
        <v>2</v>
      </c>
    </row>
    <row r="354" customFormat="false" ht="23.85" hidden="false" customHeight="false" outlineLevel="0" collapsed="false">
      <c r="A354" s="6" t="s">
        <v>2205</v>
      </c>
      <c r="B354" s="6" t="s">
        <v>2206</v>
      </c>
      <c r="C354" s="6" t="s">
        <v>2207</v>
      </c>
      <c r="D354" s="6" t="n">
        <f aca="false">COUNTIF('Speaker Appearances'!$A$2:$A$668,A354)</f>
        <v>1</v>
      </c>
    </row>
    <row r="355" customFormat="false" ht="15" hidden="false" customHeight="false" outlineLevel="0" collapsed="false">
      <c r="A355" s="6" t="s">
        <v>2261</v>
      </c>
      <c r="B355" s="6" t="s">
        <v>2262</v>
      </c>
      <c r="C355" s="6" t="s">
        <v>388</v>
      </c>
      <c r="D355" s="6" t="n">
        <f aca="false">COUNTIF('Speaker Appearances'!$A$2:$A$668,A355)</f>
        <v>1</v>
      </c>
    </row>
    <row r="356" customFormat="false" ht="15" hidden="false" customHeight="false" outlineLevel="0" collapsed="false">
      <c r="A356" s="6" t="s">
        <v>358</v>
      </c>
      <c r="B356" s="6" t="s">
        <v>1676</v>
      </c>
      <c r="C356" s="6" t="s">
        <v>359</v>
      </c>
      <c r="D356" s="6" t="n">
        <f aca="false">COUNTIF('Speaker Appearances'!$A$2:$A$668,A356)</f>
        <v>1</v>
      </c>
    </row>
    <row r="357" customFormat="false" ht="15" hidden="false" customHeight="false" outlineLevel="0" collapsed="false">
      <c r="A357" s="6" t="s">
        <v>2019</v>
      </c>
      <c r="B357" s="6" t="s">
        <v>2020</v>
      </c>
      <c r="C357" s="6" t="s">
        <v>1692</v>
      </c>
      <c r="D357" s="6" t="n">
        <f aca="false">COUNTIF('Speaker Appearances'!$A$2:$A$668,A357)</f>
        <v>1</v>
      </c>
    </row>
    <row r="358" customFormat="false" ht="15" hidden="false" customHeight="false" outlineLevel="0" collapsed="false">
      <c r="A358" s="6" t="s">
        <v>752</v>
      </c>
      <c r="B358" s="6" t="s">
        <v>1990</v>
      </c>
      <c r="C358" s="6" t="s">
        <v>388</v>
      </c>
      <c r="D358" s="6" t="n">
        <f aca="false">COUNTIF('Speaker Appearances'!$A$2:$A$668,A358)</f>
        <v>1</v>
      </c>
    </row>
    <row r="359" customFormat="false" ht="15" hidden="false" customHeight="false" outlineLevel="0" collapsed="false">
      <c r="A359" s="6" t="s">
        <v>1744</v>
      </c>
      <c r="B359" s="6" t="s">
        <v>1745</v>
      </c>
      <c r="C359" s="6" t="s">
        <v>1746</v>
      </c>
      <c r="D359" s="6" t="n">
        <f aca="false">COUNTIF('Speaker Appearances'!$A$2:$A$668,A359)</f>
        <v>1</v>
      </c>
    </row>
    <row r="360" customFormat="false" ht="15" hidden="false" customHeight="false" outlineLevel="0" collapsed="false">
      <c r="A360" s="6" t="s">
        <v>2085</v>
      </c>
      <c r="B360" s="6" t="s">
        <v>2086</v>
      </c>
      <c r="C360" s="6" t="s">
        <v>1799</v>
      </c>
      <c r="D360" s="6" t="n">
        <f aca="false">COUNTIF('Speaker Appearances'!$A$2:$A$668,A360)</f>
        <v>1</v>
      </c>
    </row>
    <row r="361" customFormat="false" ht="15" hidden="false" customHeight="false" outlineLevel="0" collapsed="false">
      <c r="A361" s="6" t="s">
        <v>1460</v>
      </c>
      <c r="B361" s="6" t="s">
        <v>1461</v>
      </c>
      <c r="C361" s="6" t="s">
        <v>1462</v>
      </c>
      <c r="D361" s="6" t="n">
        <f aca="false">COUNTIF('Speaker Appearances'!$A$2:$A$668,A361)</f>
        <v>1</v>
      </c>
    </row>
    <row r="362" customFormat="false" ht="15" hidden="false" customHeight="false" outlineLevel="0" collapsed="false">
      <c r="A362" s="6" t="s">
        <v>1621</v>
      </c>
      <c r="B362" s="6" t="s">
        <v>1622</v>
      </c>
      <c r="C362" s="6" t="s">
        <v>1623</v>
      </c>
      <c r="D362" s="6" t="n">
        <f aca="false">COUNTIF('Speaker Appearances'!$A$2:$A$668,A362)</f>
        <v>1</v>
      </c>
    </row>
    <row r="363" customFormat="false" ht="15" hidden="false" customHeight="false" outlineLevel="0" collapsed="false">
      <c r="A363" s="6" t="s">
        <v>2157</v>
      </c>
      <c r="B363" s="6" t="s">
        <v>2158</v>
      </c>
      <c r="C363" s="6" t="s">
        <v>2159</v>
      </c>
      <c r="D363" s="6" t="n">
        <f aca="false">COUNTIF('Speaker Appearances'!$A$2:$A$668,A363)</f>
        <v>1</v>
      </c>
    </row>
    <row r="364" customFormat="false" ht="15" hidden="false" customHeight="false" outlineLevel="0" collapsed="false">
      <c r="A364" s="6" t="s">
        <v>1972</v>
      </c>
      <c r="B364" s="6" t="s">
        <v>1446</v>
      </c>
      <c r="C364" s="6" t="s">
        <v>1973</v>
      </c>
      <c r="D364" s="6" t="n">
        <f aca="false">COUNTIF('Speaker Appearances'!$A$2:$A$668,A364)</f>
        <v>3</v>
      </c>
    </row>
    <row r="365" customFormat="false" ht="15" hidden="false" customHeight="false" outlineLevel="0" collapsed="false">
      <c r="A365" s="6" t="s">
        <v>1666</v>
      </c>
      <c r="B365" s="6" t="s">
        <v>1667</v>
      </c>
      <c r="C365" s="6" t="s">
        <v>1473</v>
      </c>
      <c r="D365" s="6" t="n">
        <f aca="false">COUNTIF('Speaker Appearances'!$A$2:$A$668,A365)</f>
        <v>1</v>
      </c>
    </row>
    <row r="366" customFormat="false" ht="15" hidden="false" customHeight="false" outlineLevel="0" collapsed="false">
      <c r="A366" s="6" t="s">
        <v>1631</v>
      </c>
      <c r="B366" s="6" t="s">
        <v>1632</v>
      </c>
      <c r="C366" s="6" t="s">
        <v>805</v>
      </c>
      <c r="D366" s="6" t="n">
        <f aca="false">COUNTIF('Speaker Appearances'!$A$2:$A$668,A366)</f>
        <v>1</v>
      </c>
    </row>
    <row r="367" customFormat="false" ht="15" hidden="false" customHeight="false" outlineLevel="0" collapsed="false">
      <c r="A367" s="6" t="s">
        <v>1841</v>
      </c>
      <c r="B367" s="6" t="s">
        <v>1842</v>
      </c>
      <c r="C367" s="6" t="s">
        <v>1733</v>
      </c>
      <c r="D367" s="6" t="n">
        <f aca="false">COUNTIF('Speaker Appearances'!$A$2:$A$668,A367)</f>
        <v>1</v>
      </c>
    </row>
    <row r="368" customFormat="false" ht="15" hidden="false" customHeight="false" outlineLevel="0" collapsed="false">
      <c r="A368" s="6" t="s">
        <v>1935</v>
      </c>
      <c r="B368" s="6" t="s">
        <v>1442</v>
      </c>
      <c r="C368" s="6" t="s">
        <v>1936</v>
      </c>
      <c r="D368" s="6" t="n">
        <f aca="false">COUNTIF('Speaker Appearances'!$A$2:$A$668,A368)</f>
        <v>2</v>
      </c>
    </row>
    <row r="369" customFormat="false" ht="15" hidden="false" customHeight="false" outlineLevel="0" collapsed="false">
      <c r="A369" s="6" t="s">
        <v>1404</v>
      </c>
      <c r="B369" s="6" t="s">
        <v>1405</v>
      </c>
      <c r="C369" s="6" t="s">
        <v>1406</v>
      </c>
      <c r="D369" s="6" t="n">
        <f aca="false">COUNTIF('Speaker Appearances'!$A$2:$A$668,A369)</f>
        <v>4</v>
      </c>
    </row>
    <row r="370" customFormat="false" ht="15" hidden="false" customHeight="false" outlineLevel="0" collapsed="false">
      <c r="A370" s="6" t="s">
        <v>2076</v>
      </c>
      <c r="B370" s="6" t="s">
        <v>2077</v>
      </c>
      <c r="C370" s="6" t="s">
        <v>2078</v>
      </c>
      <c r="D370" s="6" t="n">
        <f aca="false">COUNTIF('Speaker Appearances'!$A$2:$A$668,A370)</f>
        <v>2</v>
      </c>
    </row>
    <row r="371" customFormat="false" ht="15" hidden="false" customHeight="false" outlineLevel="0" collapsed="false">
      <c r="A371" s="6" t="s">
        <v>2106</v>
      </c>
      <c r="B371" s="6" t="s">
        <v>2107</v>
      </c>
      <c r="C371" s="6" t="s">
        <v>2108</v>
      </c>
      <c r="D371" s="6" t="n">
        <f aca="false">COUNTIF('Speaker Appearances'!$A$2:$A$668,A371)</f>
        <v>2</v>
      </c>
    </row>
    <row r="372" customFormat="false" ht="15" hidden="false" customHeight="false" outlineLevel="0" collapsed="false">
      <c r="A372" s="6" t="s">
        <v>2007</v>
      </c>
      <c r="B372" s="6" t="s">
        <v>2008</v>
      </c>
      <c r="C372" s="6" t="s">
        <v>587</v>
      </c>
      <c r="D372" s="6" t="n">
        <f aca="false">COUNTIF('Speaker Appearances'!$A$2:$A$668,A372)</f>
        <v>1</v>
      </c>
    </row>
    <row r="373" customFormat="false" ht="15" hidden="false" customHeight="false" outlineLevel="0" collapsed="false">
      <c r="A373" s="6" t="s">
        <v>2093</v>
      </c>
      <c r="B373" s="6" t="s">
        <v>2094</v>
      </c>
      <c r="C373" s="6" t="s">
        <v>2095</v>
      </c>
      <c r="D373" s="6" t="n">
        <f aca="false">COUNTIF('Speaker Appearances'!$A$2:$A$668,A373)</f>
        <v>1</v>
      </c>
    </row>
    <row r="374" customFormat="false" ht="15" hidden="false" customHeight="false" outlineLevel="0" collapsed="false">
      <c r="A374" s="6" t="s">
        <v>813</v>
      </c>
      <c r="B374" s="6" t="s">
        <v>1715</v>
      </c>
      <c r="C374" s="6" t="s">
        <v>814</v>
      </c>
      <c r="D374" s="6" t="n">
        <f aca="false">COUNTIF('Speaker Appearances'!$A$2:$A$668,A374)</f>
        <v>1</v>
      </c>
    </row>
    <row r="375" customFormat="false" ht="15" hidden="false" customHeight="false" outlineLevel="0" collapsed="false">
      <c r="A375" s="6" t="s">
        <v>1926</v>
      </c>
      <c r="B375" s="6" t="s">
        <v>1927</v>
      </c>
      <c r="C375" s="6" t="s">
        <v>1928</v>
      </c>
      <c r="D375" s="6" t="n">
        <f aca="false">COUNTIF('Speaker Appearances'!$A$2:$A$668,A375)</f>
        <v>5</v>
      </c>
    </row>
    <row r="376" customFormat="false" ht="15" hidden="false" customHeight="false" outlineLevel="0" collapsed="false">
      <c r="A376" s="6" t="s">
        <v>1728</v>
      </c>
      <c r="B376" s="6" t="s">
        <v>1729</v>
      </c>
      <c r="C376" s="6" t="s">
        <v>1730</v>
      </c>
      <c r="D376" s="6" t="n">
        <f aca="false">COUNTIF('Speaker Appearances'!$A$2:$A$668,A376)</f>
        <v>1</v>
      </c>
    </row>
    <row r="377" customFormat="false" ht="15" hidden="false" customHeight="false" outlineLevel="0" collapsed="false">
      <c r="A377" s="6" t="s">
        <v>785</v>
      </c>
      <c r="B377" s="6" t="s">
        <v>2002</v>
      </c>
      <c r="C377" s="6" t="s">
        <v>786</v>
      </c>
      <c r="D377" s="6" t="n">
        <f aca="false">COUNTIF('Speaker Appearances'!$A$2:$A$668,A377)</f>
        <v>1</v>
      </c>
    </row>
    <row r="378" customFormat="false" ht="15" hidden="false" customHeight="false" outlineLevel="0" collapsed="false">
      <c r="A378" s="6" t="s">
        <v>2115</v>
      </c>
      <c r="B378" s="6" t="s">
        <v>2116</v>
      </c>
      <c r="C378" s="6" t="s">
        <v>1679</v>
      </c>
      <c r="D378" s="6" t="n">
        <f aca="false">COUNTIF('Speaker Appearances'!$A$2:$A$668,A378)</f>
        <v>1</v>
      </c>
    </row>
    <row r="379" customFormat="false" ht="15" hidden="false" customHeight="false" outlineLevel="0" collapsed="false">
      <c r="A379" s="6" t="s">
        <v>1931</v>
      </c>
      <c r="B379" s="6" t="s">
        <v>1442</v>
      </c>
      <c r="C379" s="6" t="s">
        <v>1932</v>
      </c>
      <c r="D379" s="6" t="n">
        <f aca="false">COUNTIF('Speaker Appearances'!$A$2:$A$668,A379)</f>
        <v>1</v>
      </c>
    </row>
    <row r="380" customFormat="false" ht="15" hidden="false" customHeight="false" outlineLevel="0" collapsed="false">
      <c r="A380" s="6" t="s">
        <v>726</v>
      </c>
      <c r="B380" s="6" t="s">
        <v>1977</v>
      </c>
      <c r="C380" s="6" t="s">
        <v>727</v>
      </c>
      <c r="D380" s="6" t="n">
        <f aca="false">COUNTIF('Speaker Appearances'!$A$2:$A$668,A380)</f>
        <v>1</v>
      </c>
    </row>
    <row r="381" customFormat="false" ht="15" hidden="false" customHeight="false" outlineLevel="0" collapsed="false">
      <c r="A381" s="6" t="s">
        <v>2263</v>
      </c>
      <c r="B381" s="6" t="s">
        <v>2264</v>
      </c>
      <c r="C381" s="6" t="s">
        <v>1653</v>
      </c>
      <c r="D381" s="6" t="n">
        <f aca="false">COUNTIF('Speaker Appearances'!$A$2:$A$668,A381)</f>
        <v>1</v>
      </c>
    </row>
    <row r="382" customFormat="false" ht="15" hidden="false" customHeight="false" outlineLevel="0" collapsed="false">
      <c r="A382" s="6" t="s">
        <v>1975</v>
      </c>
      <c r="B382" s="6" t="s">
        <v>1976</v>
      </c>
      <c r="C382" s="6" t="s">
        <v>1930</v>
      </c>
      <c r="D382" s="6" t="n">
        <f aca="false">COUNTIF('Speaker Appearances'!$A$2:$A$668,A382)</f>
        <v>2</v>
      </c>
    </row>
    <row r="383" customFormat="false" ht="15" hidden="false" customHeight="false" outlineLevel="0" collapsed="false">
      <c r="A383" s="6" t="s">
        <v>1716</v>
      </c>
      <c r="B383" s="6" t="s">
        <v>1412</v>
      </c>
      <c r="C383" s="6" t="s">
        <v>1717</v>
      </c>
      <c r="D383" s="6" t="n">
        <f aca="false">COUNTIF('Speaker Appearances'!$A$2:$A$668,A383)</f>
        <v>1</v>
      </c>
    </row>
    <row r="384" customFormat="false" ht="15" hidden="false" customHeight="false" outlineLevel="0" collapsed="false">
      <c r="A384" s="6" t="s">
        <v>1961</v>
      </c>
      <c r="B384" s="6"/>
      <c r="C384" s="6"/>
      <c r="D384" s="6" t="n">
        <f aca="false">COUNTIF('Speaker Appearances'!$A$2:$A$668,A384)</f>
        <v>1</v>
      </c>
    </row>
    <row r="385" customFormat="false" ht="15" hidden="false" customHeight="false" outlineLevel="0" collapsed="false">
      <c r="A385" s="6" t="s">
        <v>1592</v>
      </c>
      <c r="B385" s="6" t="s">
        <v>1593</v>
      </c>
      <c r="C385" s="6" t="s">
        <v>1594</v>
      </c>
      <c r="D385" s="6" t="n">
        <f aca="false">COUNTIF('Speaker Appearances'!$A$2:$A$668,A385)</f>
        <v>1</v>
      </c>
    </row>
    <row r="386" customFormat="false" ht="15" hidden="false" customHeight="false" outlineLevel="0" collapsed="false">
      <c r="A386" s="6" t="s">
        <v>1953</v>
      </c>
      <c r="B386" s="6"/>
      <c r="C386" s="6"/>
      <c r="D386" s="6" t="n">
        <f aca="false">COUNTIF('Speaker Appearances'!$A$2:$A$668,A386)</f>
        <v>1</v>
      </c>
    </row>
    <row r="387" customFormat="false" ht="15" hidden="false" customHeight="false" outlineLevel="0" collapsed="false">
      <c r="A387" s="6" t="s">
        <v>1711</v>
      </c>
      <c r="B387" s="6" t="s">
        <v>1712</v>
      </c>
      <c r="C387" s="6" t="s">
        <v>1713</v>
      </c>
      <c r="D387" s="6" t="n">
        <f aca="false">COUNTIF('Speaker Appearances'!$A$2:$A$668,A387)</f>
        <v>1</v>
      </c>
    </row>
    <row r="388" customFormat="false" ht="15" hidden="false" customHeight="false" outlineLevel="0" collapsed="false">
      <c r="A388" s="6" t="s">
        <v>2063</v>
      </c>
      <c r="B388" s="6" t="s">
        <v>2064</v>
      </c>
      <c r="C388" s="6" t="s">
        <v>2054</v>
      </c>
      <c r="D388" s="6" t="n">
        <f aca="false">COUNTIF('Speaker Appearances'!$A$2:$A$668,A388)</f>
        <v>1</v>
      </c>
    </row>
    <row r="389" customFormat="false" ht="15" hidden="false" customHeight="false" outlineLevel="0" collapsed="false">
      <c r="A389" s="6" t="s">
        <v>1677</v>
      </c>
      <c r="B389" s="6" t="s">
        <v>1678</v>
      </c>
      <c r="C389" s="6" t="s">
        <v>1679</v>
      </c>
      <c r="D389" s="6" t="n">
        <f aca="false">COUNTIF('Speaker Appearances'!$A$2:$A$668,A389)</f>
        <v>1</v>
      </c>
    </row>
    <row r="390" customFormat="false" ht="15" hidden="false" customHeight="false" outlineLevel="0" collapsed="false">
      <c r="A390" s="6" t="s">
        <v>1560</v>
      </c>
      <c r="B390" s="6"/>
      <c r="C390" s="6"/>
      <c r="D390" s="6" t="n">
        <f aca="false">COUNTIF('Speaker Appearances'!$A$2:$A$668,A390)</f>
        <v>1</v>
      </c>
    </row>
    <row r="391" customFormat="false" ht="15" hidden="false" customHeight="false" outlineLevel="0" collapsed="false">
      <c r="A391" s="6" t="s">
        <v>706</v>
      </c>
      <c r="B391" s="6" t="s">
        <v>1974</v>
      </c>
      <c r="C391" s="6" t="s">
        <v>707</v>
      </c>
      <c r="D391" s="6" t="n">
        <f aca="false">COUNTIF('Speaker Appearances'!$A$2:$A$668,A391)</f>
        <v>1</v>
      </c>
    </row>
    <row r="392" customFormat="false" ht="15" hidden="false" customHeight="false" outlineLevel="0" collapsed="false">
      <c r="A392" s="6" t="s">
        <v>2087</v>
      </c>
      <c r="B392" s="6" t="s">
        <v>2088</v>
      </c>
      <c r="C392" s="6" t="s">
        <v>2089</v>
      </c>
      <c r="D392" s="6" t="n">
        <f aca="false">COUNTIF('Speaker Appearances'!$A$2:$A$668,A392)</f>
        <v>1</v>
      </c>
    </row>
    <row r="393" customFormat="false" ht="15" hidden="false" customHeight="false" outlineLevel="0" collapsed="false">
      <c r="A393" s="6" t="s">
        <v>1575</v>
      </c>
      <c r="B393" s="6" t="s">
        <v>1576</v>
      </c>
      <c r="C393" s="6" t="s">
        <v>1577</v>
      </c>
      <c r="D393" s="6" t="n">
        <f aca="false">COUNTIF('Speaker Appearances'!$A$2:$A$668,A393)</f>
        <v>1</v>
      </c>
    </row>
    <row r="394" customFormat="false" ht="15" hidden="false" customHeight="false" outlineLevel="0" collapsed="false">
      <c r="A394" s="6" t="s">
        <v>1708</v>
      </c>
      <c r="B394" s="6" t="s">
        <v>1709</v>
      </c>
      <c r="C394" s="6" t="s">
        <v>1710</v>
      </c>
      <c r="D394" s="6" t="n">
        <f aca="false">COUNTIF('Speaker Appearances'!$A$2:$A$668,A394)</f>
        <v>1</v>
      </c>
    </row>
    <row r="395" customFormat="false" ht="15" hidden="false" customHeight="false" outlineLevel="0" collapsed="false">
      <c r="A395" s="6" t="s">
        <v>1963</v>
      </c>
      <c r="B395" s="6"/>
      <c r="C395" s="6"/>
      <c r="D395" s="6" t="n">
        <f aca="false">COUNTIF('Speaker Appearances'!$A$2:$A$668,A395)</f>
        <v>1</v>
      </c>
    </row>
    <row r="396" customFormat="false" ht="15" hidden="false" customHeight="false" outlineLevel="0" collapsed="false">
      <c r="A396" s="6" t="s">
        <v>1933</v>
      </c>
      <c r="B396" s="6" t="s">
        <v>1412</v>
      </c>
      <c r="C396" s="6" t="s">
        <v>1934</v>
      </c>
      <c r="D396" s="6" t="n">
        <f aca="false">COUNTIF('Speaker Appearances'!$A$2:$A$668,A396)</f>
        <v>2</v>
      </c>
    </row>
    <row r="397" customFormat="false" ht="15" hidden="false" customHeight="false" outlineLevel="0" collapsed="false">
      <c r="A397" s="6" t="s">
        <v>1940</v>
      </c>
      <c r="B397" s="6"/>
      <c r="C397" s="6"/>
      <c r="D397" s="6" t="n">
        <f aca="false">COUNTIF('Speaker Appearances'!$A$2:$A$668,A397)</f>
        <v>1</v>
      </c>
    </row>
    <row r="398" customFormat="false" ht="15" hidden="false" customHeight="false" outlineLevel="0" collapsed="false">
      <c r="A398" s="6" t="s">
        <v>2141</v>
      </c>
      <c r="B398" s="6" t="s">
        <v>2142</v>
      </c>
      <c r="C398" s="6" t="s">
        <v>2143</v>
      </c>
      <c r="D398" s="6" t="n">
        <f aca="false">COUNTIF('Speaker Appearances'!$A$2:$A$668,A398)</f>
        <v>1</v>
      </c>
    </row>
    <row r="399" customFormat="false" ht="15" hidden="false" customHeight="false" outlineLevel="0" collapsed="false">
      <c r="A399" s="6" t="s">
        <v>1364</v>
      </c>
      <c r="B399" s="6" t="s">
        <v>1412</v>
      </c>
      <c r="C399" s="6" t="s">
        <v>1365</v>
      </c>
      <c r="D399" s="6" t="n">
        <f aca="false">COUNTIF('Speaker Appearances'!$A$2:$A$668,A399)</f>
        <v>1</v>
      </c>
    </row>
    <row r="400" customFormat="false" ht="15" hidden="false" customHeight="false" outlineLevel="0" collapsed="false">
      <c r="A400" s="6" t="s">
        <v>660</v>
      </c>
      <c r="B400" s="6"/>
      <c r="C400" s="6"/>
      <c r="D400" s="6" t="n">
        <f aca="false">COUNTIF('Speaker Appearances'!$A$2:$A$668,A400)</f>
        <v>1</v>
      </c>
    </row>
    <row r="401" customFormat="false" ht="15" hidden="false" customHeight="false" outlineLevel="0" collapsed="false">
      <c r="A401" s="6" t="s">
        <v>2274</v>
      </c>
      <c r="B401" s="6"/>
      <c r="C401" s="6"/>
      <c r="D401" s="6" t="n">
        <f aca="false">COUNTIF('Speaker Appearances'!$A$2:$A$668,A401)</f>
        <v>1</v>
      </c>
    </row>
    <row r="402" customFormat="false" ht="15" hidden="false" customHeight="false" outlineLevel="0" collapsed="false">
      <c r="A402" s="6" t="s">
        <v>1484</v>
      </c>
      <c r="B402" s="6" t="s">
        <v>1432</v>
      </c>
      <c r="C402" s="6" t="s">
        <v>1485</v>
      </c>
      <c r="D402" s="6" t="n">
        <f aca="false">COUNTIF('Speaker Appearances'!$A$2:$A$668,A402)</f>
        <v>1</v>
      </c>
    </row>
    <row r="403" customFormat="false" ht="15" hidden="false" customHeight="false" outlineLevel="0" collapsed="false">
      <c r="A403" s="6" t="s">
        <v>1569</v>
      </c>
      <c r="B403" s="6" t="s">
        <v>1570</v>
      </c>
      <c r="C403" s="6" t="s">
        <v>1571</v>
      </c>
      <c r="D403" s="6" t="n">
        <f aca="false">COUNTIF('Speaker Appearances'!$A$2:$A$668,A403)</f>
        <v>1</v>
      </c>
    </row>
    <row r="404" customFormat="false" ht="15" hidden="false" customHeight="false" outlineLevel="0" collapsed="false">
      <c r="A404" s="6" t="s">
        <v>872</v>
      </c>
      <c r="B404" s="6" t="s">
        <v>1500</v>
      </c>
      <c r="C404" s="6" t="s">
        <v>873</v>
      </c>
      <c r="D404" s="6" t="n">
        <f aca="false">COUNTIF('Speaker Appearances'!$A$2:$A$668,A404)</f>
        <v>1</v>
      </c>
    </row>
    <row r="405" customFormat="false" ht="15" hidden="false" customHeight="false" outlineLevel="0" collapsed="false">
      <c r="A405" s="6" t="s">
        <v>2285</v>
      </c>
      <c r="B405" s="6" t="s">
        <v>2134</v>
      </c>
      <c r="C405" s="6" t="s">
        <v>2286</v>
      </c>
      <c r="D405" s="6" t="n">
        <f aca="false">COUNTIF('Speaker Appearances'!$A$2:$A$668,A405)</f>
        <v>1</v>
      </c>
    </row>
    <row r="406" customFormat="false" ht="15" hidden="false" customHeight="false" outlineLevel="0" collapsed="false">
      <c r="A406" s="6" t="s">
        <v>2000</v>
      </c>
      <c r="B406" s="6" t="s">
        <v>1452</v>
      </c>
      <c r="C406" s="6" t="s">
        <v>2001</v>
      </c>
      <c r="D406" s="6" t="n">
        <f aca="false">COUNTIF('Speaker Appearances'!$A$2:$A$668,A406)</f>
        <v>1</v>
      </c>
    </row>
    <row r="407" customFormat="false" ht="15" hidden="false" customHeight="false" outlineLevel="0" collapsed="false">
      <c r="A407" s="6" t="s">
        <v>1616</v>
      </c>
      <c r="B407" s="6" t="s">
        <v>1617</v>
      </c>
      <c r="C407" s="6" t="s">
        <v>79</v>
      </c>
      <c r="D407" s="6" t="n">
        <f aca="false">COUNTIF('Speaker Appearances'!$A$2:$A$668,A407)</f>
        <v>1</v>
      </c>
    </row>
    <row r="408" customFormat="false" ht="15" hidden="false" customHeight="false" outlineLevel="0" collapsed="false">
      <c r="A408" s="6" t="s">
        <v>2122</v>
      </c>
      <c r="B408" s="6" t="s">
        <v>2123</v>
      </c>
      <c r="C408" s="6" t="s">
        <v>1450</v>
      </c>
      <c r="D408" s="6" t="n">
        <f aca="false">COUNTIF('Speaker Appearances'!$A$2:$A$668,A408)</f>
        <v>1</v>
      </c>
    </row>
    <row r="409" customFormat="false" ht="15" hidden="false" customHeight="false" outlineLevel="0" collapsed="false">
      <c r="A409" s="6" t="s">
        <v>1960</v>
      </c>
      <c r="B409" s="6"/>
      <c r="C409" s="6"/>
      <c r="D409" s="6" t="n">
        <f aca="false">COUNTIF('Speaker Appearances'!$A$2:$A$668,A409)</f>
        <v>1</v>
      </c>
    </row>
    <row r="410" customFormat="false" ht="15" hidden="false" customHeight="false" outlineLevel="0" collapsed="false">
      <c r="A410" s="6" t="s">
        <v>1980</v>
      </c>
      <c r="B410" s="6" t="s">
        <v>1981</v>
      </c>
      <c r="C410" s="6" t="s">
        <v>737</v>
      </c>
      <c r="D410" s="6" t="n">
        <f aca="false">COUNTIF('Speaker Appearances'!$A$2:$A$668,A410)</f>
        <v>1</v>
      </c>
    </row>
    <row r="411" customFormat="false" ht="15" hidden="false" customHeight="false" outlineLevel="0" collapsed="false">
      <c r="A411" s="6" t="s">
        <v>910</v>
      </c>
      <c r="B411" s="6" t="s">
        <v>1412</v>
      </c>
      <c r="C411" s="6" t="s">
        <v>911</v>
      </c>
      <c r="D411" s="6" t="n">
        <f aca="false">COUNTIF('Speaker Appearances'!$A$2:$A$668,A411)</f>
        <v>1</v>
      </c>
    </row>
    <row r="412" customFormat="false" ht="15" hidden="false" customHeight="false" outlineLevel="0" collapsed="false">
      <c r="A412" s="6" t="s">
        <v>1389</v>
      </c>
      <c r="B412" s="6" t="s">
        <v>1390</v>
      </c>
      <c r="C412" s="6" t="s">
        <v>1391</v>
      </c>
      <c r="D412" s="6" t="n">
        <f aca="false">COUNTIF('Speaker Appearances'!$A$2:$A$668,A412)</f>
        <v>2</v>
      </c>
    </row>
    <row r="413" customFormat="false" ht="15" hidden="false" customHeight="false" outlineLevel="0" collapsed="false">
      <c r="A413" s="6" t="s">
        <v>2235</v>
      </c>
      <c r="B413" s="6" t="s">
        <v>2236</v>
      </c>
      <c r="C413" s="6" t="s">
        <v>2237</v>
      </c>
      <c r="D413" s="6" t="n">
        <f aca="false">COUNTIF('Speaker Appearances'!$A$2:$A$668,A413)</f>
        <v>1</v>
      </c>
    </row>
    <row r="414" customFormat="false" ht="15" hidden="false" customHeight="false" outlineLevel="0" collapsed="false">
      <c r="A414" s="6" t="s">
        <v>2326</v>
      </c>
      <c r="B414" s="6" t="s">
        <v>2327</v>
      </c>
      <c r="C414" s="6" t="s">
        <v>587</v>
      </c>
      <c r="D414" s="6" t="n">
        <f aca="false">COUNTIF('Speaker Appearances'!$A$2:$A$668,A414)</f>
        <v>1</v>
      </c>
    </row>
    <row r="415" customFormat="false" ht="15" hidden="false" customHeight="false" outlineLevel="0" collapsed="false">
      <c r="A415" s="6" t="s">
        <v>2112</v>
      </c>
      <c r="B415" s="6" t="s">
        <v>2113</v>
      </c>
      <c r="C415" s="6" t="s">
        <v>2114</v>
      </c>
      <c r="D415" s="6" t="n">
        <f aca="false">COUNTIF('Speaker Appearances'!$A$2:$A$668,A415)</f>
        <v>1</v>
      </c>
    </row>
    <row r="416" customFormat="false" ht="15" hidden="false" customHeight="false" outlineLevel="0" collapsed="false">
      <c r="A416" s="6" t="s">
        <v>2144</v>
      </c>
      <c r="B416" s="6" t="s">
        <v>2145</v>
      </c>
      <c r="C416" s="6" t="s">
        <v>2146</v>
      </c>
      <c r="D416" s="6" t="n">
        <f aca="false">COUNTIF('Speaker Appearances'!$A$2:$A$668,A416)</f>
        <v>1</v>
      </c>
    </row>
    <row r="417" customFormat="false" ht="15" hidden="false" customHeight="false" outlineLevel="0" collapsed="false">
      <c r="A417" s="6" t="s">
        <v>1289</v>
      </c>
      <c r="B417" s="6" t="s">
        <v>1500</v>
      </c>
      <c r="C417" s="6" t="s">
        <v>1290</v>
      </c>
      <c r="D417" s="6" t="n">
        <f aca="false">COUNTIF('Speaker Appearances'!$A$2:$A$668,A417)</f>
        <v>1</v>
      </c>
    </row>
    <row r="418" customFormat="false" ht="23.85" hidden="false" customHeight="false" outlineLevel="0" collapsed="false">
      <c r="A418" s="6" t="s">
        <v>1112</v>
      </c>
      <c r="B418" s="6" t="s">
        <v>2168</v>
      </c>
      <c r="C418" s="6" t="s">
        <v>1113</v>
      </c>
      <c r="D418" s="6" t="n">
        <f aca="false">COUNTIF('Speaker Appearances'!$A$2:$A$668,A418)</f>
        <v>1</v>
      </c>
    </row>
    <row r="419" customFormat="false" ht="15" hidden="false" customHeight="false" outlineLevel="0" collapsed="false">
      <c r="A419" s="6" t="s">
        <v>998</v>
      </c>
      <c r="B419" s="6" t="s">
        <v>1412</v>
      </c>
      <c r="C419" s="6" t="s">
        <v>999</v>
      </c>
      <c r="D419" s="6" t="n">
        <f aca="false">COUNTIF('Speaker Appearances'!$A$2:$A$668,A419)</f>
        <v>1</v>
      </c>
    </row>
    <row r="420" customFormat="false" ht="15" hidden="false" customHeight="false" outlineLevel="0" collapsed="false">
      <c r="A420" s="6" t="s">
        <v>1624</v>
      </c>
      <c r="B420" s="6" t="s">
        <v>1625</v>
      </c>
      <c r="C420" s="6" t="s">
        <v>1626</v>
      </c>
      <c r="D420" s="6" t="n">
        <f aca="false">COUNTIF('Speaker Appearances'!$A$2:$A$668,A420)</f>
        <v>2</v>
      </c>
    </row>
    <row r="421" customFormat="false" ht="15" hidden="false" customHeight="false" outlineLevel="0" collapsed="false">
      <c r="A421" s="6" t="s">
        <v>1297</v>
      </c>
      <c r="B421" s="6" t="s">
        <v>1676</v>
      </c>
      <c r="C421" s="6" t="s">
        <v>1298</v>
      </c>
      <c r="D421" s="6" t="n">
        <f aca="false">COUNTIF('Speaker Appearances'!$A$2:$A$668,A421)</f>
        <v>1</v>
      </c>
    </row>
    <row r="422" customFormat="false" ht="15" hidden="false" customHeight="false" outlineLevel="0" collapsed="false">
      <c r="A422" s="6" t="s">
        <v>2155</v>
      </c>
      <c r="B422" s="6" t="s">
        <v>2156</v>
      </c>
      <c r="C422" s="6" t="s">
        <v>492</v>
      </c>
      <c r="D422" s="6" t="n">
        <f aca="false">COUNTIF('Speaker Appearances'!$A$2:$A$668,A422)</f>
        <v>2</v>
      </c>
    </row>
    <row r="423" customFormat="false" ht="15" hidden="false" customHeight="false" outlineLevel="0" collapsed="false">
      <c r="A423" s="6" t="s">
        <v>2058</v>
      </c>
      <c r="B423" s="6" t="s">
        <v>1446</v>
      </c>
      <c r="C423" s="6" t="s">
        <v>805</v>
      </c>
      <c r="D423" s="6" t="n">
        <f aca="false">COUNTIF('Speaker Appearances'!$A$2:$A$668,A423)</f>
        <v>1</v>
      </c>
    </row>
    <row r="424" customFormat="false" ht="15" hidden="false" customHeight="false" outlineLevel="0" collapsed="false">
      <c r="A424" s="6" t="s">
        <v>2022</v>
      </c>
      <c r="B424" s="6" t="s">
        <v>2023</v>
      </c>
      <c r="C424" s="6" t="s">
        <v>79</v>
      </c>
      <c r="D424" s="6" t="n">
        <f aca="false">COUNTIF('Speaker Appearances'!$A$2:$A$668,A424)</f>
        <v>1</v>
      </c>
    </row>
    <row r="425" customFormat="false" ht="15" hidden="false" customHeight="false" outlineLevel="0" collapsed="false">
      <c r="A425" s="6" t="s">
        <v>1831</v>
      </c>
      <c r="B425" s="6" t="s">
        <v>1832</v>
      </c>
      <c r="C425" s="6" t="s">
        <v>492</v>
      </c>
      <c r="D425" s="6" t="n">
        <f aca="false">COUNTIF('Speaker Appearances'!$A$2:$A$668,A425)</f>
        <v>2</v>
      </c>
    </row>
    <row r="426" customFormat="false" ht="15" hidden="false" customHeight="false" outlineLevel="0" collapsed="false">
      <c r="A426" s="6" t="s">
        <v>1179</v>
      </c>
      <c r="B426" s="6" t="s">
        <v>2218</v>
      </c>
      <c r="C426" s="6" t="s">
        <v>1180</v>
      </c>
      <c r="D426" s="6" t="n">
        <f aca="false">COUNTIF('Speaker Appearances'!$A$2:$A$668,A426)</f>
        <v>1</v>
      </c>
    </row>
    <row r="427" customFormat="false" ht="15" hidden="false" customHeight="false" outlineLevel="0" collapsed="false">
      <c r="A427" s="6" t="s">
        <v>1463</v>
      </c>
      <c r="B427" s="6" t="s">
        <v>1464</v>
      </c>
      <c r="C427" s="6" t="s">
        <v>492</v>
      </c>
      <c r="D427" s="6" t="n">
        <f aca="false">COUNTIF('Speaker Appearances'!$A$2:$A$668,A427)</f>
        <v>1</v>
      </c>
    </row>
    <row r="428" customFormat="false" ht="15" hidden="false" customHeight="false" outlineLevel="0" collapsed="false">
      <c r="A428" s="6" t="s">
        <v>417</v>
      </c>
      <c r="B428" s="6" t="s">
        <v>1715</v>
      </c>
      <c r="C428" s="6" t="s">
        <v>418</v>
      </c>
      <c r="D428" s="6" t="n">
        <f aca="false">COUNTIF('Speaker Appearances'!$A$2:$A$668,A428)</f>
        <v>1</v>
      </c>
    </row>
    <row r="429" customFormat="false" ht="15" hidden="false" customHeight="false" outlineLevel="0" collapsed="false">
      <c r="A429" s="6" t="s">
        <v>2099</v>
      </c>
      <c r="B429" s="6" t="s">
        <v>2100</v>
      </c>
      <c r="C429" s="6" t="s">
        <v>2101</v>
      </c>
      <c r="D429" s="6" t="n">
        <f aca="false">COUNTIF('Speaker Appearances'!$A$2:$A$668,A429)</f>
        <v>1</v>
      </c>
    </row>
    <row r="430" customFormat="false" ht="15" hidden="false" customHeight="false" outlineLevel="0" collapsed="false">
      <c r="A430" s="6" t="s">
        <v>123</v>
      </c>
      <c r="B430" s="6" t="s">
        <v>1412</v>
      </c>
      <c r="C430" s="6" t="s">
        <v>124</v>
      </c>
      <c r="D430" s="6" t="n">
        <f aca="false">COUNTIF('Speaker Appearances'!$A$2:$A$668,A430)</f>
        <v>1</v>
      </c>
    </row>
    <row r="431" customFormat="false" ht="15" hidden="false" customHeight="false" outlineLevel="0" collapsed="false">
      <c r="A431" s="6" t="s">
        <v>857</v>
      </c>
      <c r="B431" s="6" t="s">
        <v>2040</v>
      </c>
      <c r="C431" s="6" t="s">
        <v>858</v>
      </c>
      <c r="D431" s="6" t="n">
        <f aca="false">COUNTIF('Speaker Appearances'!$A$2:$A$668,A431)</f>
        <v>1</v>
      </c>
    </row>
    <row r="432" customFormat="false" ht="15" hidden="false" customHeight="false" outlineLevel="0" collapsed="false">
      <c r="A432" s="6" t="s">
        <v>1766</v>
      </c>
      <c r="B432" s="6" t="s">
        <v>1675</v>
      </c>
      <c r="C432" s="6" t="s">
        <v>1767</v>
      </c>
      <c r="D432" s="6" t="n">
        <f aca="false">COUNTIF('Speaker Appearances'!$A$2:$A$668,A432)</f>
        <v>3</v>
      </c>
    </row>
    <row r="433" customFormat="false" ht="15" hidden="false" customHeight="false" outlineLevel="0" collapsed="false">
      <c r="A433" s="6" t="s">
        <v>1554</v>
      </c>
      <c r="B433" s="6" t="s">
        <v>1555</v>
      </c>
      <c r="C433" s="6" t="s">
        <v>1556</v>
      </c>
      <c r="D433" s="6" t="n">
        <f aca="false">COUNTIF('Speaker Appearances'!$A$2:$A$668,A433)</f>
        <v>1</v>
      </c>
    </row>
    <row r="434" customFormat="false" ht="15" hidden="false" customHeight="false" outlineLevel="0" collapsed="false">
      <c r="A434" s="6" t="s">
        <v>1873</v>
      </c>
      <c r="B434" s="6" t="s">
        <v>1874</v>
      </c>
      <c r="C434" s="6" t="s">
        <v>587</v>
      </c>
      <c r="D434" s="6" t="n">
        <f aca="false">COUNTIF('Speaker Appearances'!$A$2:$A$668,A434)</f>
        <v>1</v>
      </c>
    </row>
    <row r="435" customFormat="false" ht="15" hidden="false" customHeight="false" outlineLevel="0" collapsed="false">
      <c r="A435" s="6" t="s">
        <v>1800</v>
      </c>
      <c r="B435" s="6" t="s">
        <v>1798</v>
      </c>
      <c r="C435" s="6" t="s">
        <v>587</v>
      </c>
      <c r="D435" s="6" t="n">
        <f aca="false">COUNTIF('Speaker Appearances'!$A$2:$A$668,A435)</f>
        <v>1</v>
      </c>
    </row>
    <row r="436" customFormat="false" ht="15" hidden="false" customHeight="false" outlineLevel="0" collapsed="false">
      <c r="A436" s="6" t="s">
        <v>422</v>
      </c>
      <c r="B436" s="6" t="s">
        <v>1412</v>
      </c>
      <c r="C436" s="6" t="s">
        <v>423</v>
      </c>
      <c r="D436" s="6" t="n">
        <f aca="false">COUNTIF('Speaker Appearances'!$A$2:$A$668,A436)</f>
        <v>1</v>
      </c>
    </row>
    <row r="437" customFormat="false" ht="15" hidden="false" customHeight="false" outlineLevel="0" collapsed="false">
      <c r="A437" s="6" t="s">
        <v>1465</v>
      </c>
      <c r="B437" s="6" t="s">
        <v>1466</v>
      </c>
      <c r="C437" s="6" t="s">
        <v>1467</v>
      </c>
      <c r="D437" s="6" t="n">
        <f aca="false">COUNTIF('Speaker Appearances'!$A$2:$A$668,A437)</f>
        <v>1</v>
      </c>
    </row>
    <row r="438" customFormat="false" ht="15" hidden="false" customHeight="false" outlineLevel="0" collapsed="false">
      <c r="A438" s="6" t="s">
        <v>1583</v>
      </c>
      <c r="B438" s="6" t="s">
        <v>1584</v>
      </c>
      <c r="C438" s="6" t="s">
        <v>1585</v>
      </c>
      <c r="D438" s="6" t="n">
        <f aca="false">COUNTIF('Speaker Appearances'!$A$2:$A$668,A438)</f>
        <v>1</v>
      </c>
    </row>
    <row r="439" customFormat="false" ht="15" hidden="false" customHeight="false" outlineLevel="0" collapsed="false">
      <c r="A439" s="6" t="s">
        <v>1920</v>
      </c>
      <c r="B439" s="6" t="s">
        <v>1442</v>
      </c>
      <c r="C439" s="6" t="s">
        <v>1921</v>
      </c>
      <c r="D439" s="6" t="n">
        <f aca="false">COUNTIF('Speaker Appearances'!$A$2:$A$668,A439)</f>
        <v>2</v>
      </c>
    </row>
    <row r="440" customFormat="false" ht="15" hidden="false" customHeight="false" outlineLevel="0" collapsed="false">
      <c r="A440" s="6" t="s">
        <v>2131</v>
      </c>
      <c r="B440" s="6" t="s">
        <v>2132</v>
      </c>
      <c r="C440" s="6" t="s">
        <v>2133</v>
      </c>
      <c r="D440" s="6" t="n">
        <f aca="false">COUNTIF('Speaker Appearances'!$A$2:$A$668,A440)</f>
        <v>1</v>
      </c>
    </row>
    <row r="441" customFormat="false" ht="15" hidden="false" customHeight="false" outlineLevel="0" collapsed="false">
      <c r="A441" s="6" t="s">
        <v>367</v>
      </c>
      <c r="B441" s="6" t="s">
        <v>1680</v>
      </c>
      <c r="C441" s="6" t="s">
        <v>368</v>
      </c>
      <c r="D441" s="6" t="n">
        <f aca="false">COUNTIF('Speaker Appearances'!$A$2:$A$668,A441)</f>
        <v>1</v>
      </c>
    </row>
    <row r="442" customFormat="false" ht="15" hidden="false" customHeight="false" outlineLevel="0" collapsed="false">
      <c r="A442" s="6" t="s">
        <v>1965</v>
      </c>
      <c r="B442" s="6"/>
      <c r="C442" s="6"/>
      <c r="D442" s="6" t="n">
        <f aca="false">COUNTIF('Speaker Appearances'!$A$2:$A$668,A442)</f>
        <v>1</v>
      </c>
    </row>
    <row r="443" customFormat="false" ht="23.85" hidden="false" customHeight="false" outlineLevel="0" collapsed="false">
      <c r="A443" s="6" t="s">
        <v>1810</v>
      </c>
      <c r="B443" s="6" t="s">
        <v>1811</v>
      </c>
      <c r="C443" s="6" t="s">
        <v>1812</v>
      </c>
      <c r="D443" s="6" t="n">
        <f aca="false">COUNTIF('Speaker Appearances'!$A$2:$A$668,A443)</f>
        <v>2</v>
      </c>
    </row>
    <row r="444" customFormat="false" ht="15" hidden="false" customHeight="false" outlineLevel="0" collapsed="false">
      <c r="A444" s="6" t="s">
        <v>2055</v>
      </c>
      <c r="B444" s="6" t="s">
        <v>1412</v>
      </c>
      <c r="C444" s="6" t="s">
        <v>1053</v>
      </c>
      <c r="D444" s="6" t="n">
        <f aca="false">COUNTIF('Speaker Appearances'!$A$2:$A$668,A444)</f>
        <v>1</v>
      </c>
    </row>
    <row r="445" customFormat="false" ht="15" hidden="false" customHeight="false" outlineLevel="0" collapsed="false">
      <c r="A445" s="6" t="s">
        <v>1052</v>
      </c>
      <c r="B445" s="6" t="s">
        <v>2135</v>
      </c>
      <c r="C445" s="6" t="s">
        <v>1053</v>
      </c>
      <c r="D445" s="6" t="n">
        <f aca="false">COUNTIF('Speaker Appearances'!$A$2:$A$668,A445)</f>
        <v>1</v>
      </c>
    </row>
    <row r="446" customFormat="false" ht="15" hidden="false" customHeight="false" outlineLevel="0" collapsed="false">
      <c r="A446" s="6" t="s">
        <v>1401</v>
      </c>
      <c r="B446" s="6" t="s">
        <v>1402</v>
      </c>
      <c r="C446" s="6" t="s">
        <v>1403</v>
      </c>
      <c r="D446" s="6" t="n">
        <f aca="false">COUNTIF('Speaker Appearances'!$A$2:$A$668,A446)</f>
        <v>5</v>
      </c>
    </row>
    <row r="447" customFormat="false" ht="15" hidden="false" customHeight="false" outlineLevel="0" collapsed="false">
      <c r="A447" s="6" t="s">
        <v>399</v>
      </c>
      <c r="B447" s="6"/>
      <c r="C447" s="6"/>
      <c r="D447" s="6" t="n">
        <f aca="false">COUNTIF('Speaker Appearances'!$A$2:$A$668,A447)</f>
        <v>1</v>
      </c>
    </row>
    <row r="448" customFormat="false" ht="15" hidden="false" customHeight="false" outlineLevel="0" collapsed="false">
      <c r="A448" s="6" t="s">
        <v>1572</v>
      </c>
      <c r="B448" s="6" t="s">
        <v>1573</v>
      </c>
      <c r="C448" s="6" t="s">
        <v>1574</v>
      </c>
      <c r="D448" s="6" t="n">
        <f aca="false">COUNTIF('Speaker Appearances'!$A$2:$A$668,A448)</f>
        <v>1</v>
      </c>
    </row>
    <row r="449" customFormat="false" ht="15" hidden="false" customHeight="false" outlineLevel="0" collapsed="false">
      <c r="A449" s="6" t="s">
        <v>253</v>
      </c>
      <c r="B449" s="6" t="s">
        <v>1553</v>
      </c>
      <c r="C449" s="6" t="s">
        <v>254</v>
      </c>
      <c r="D449" s="6" t="n">
        <f aca="false">COUNTIF('Speaker Appearances'!$A$2:$A$668,A449)</f>
        <v>1</v>
      </c>
    </row>
    <row r="450" customFormat="false" ht="15" hidden="false" customHeight="false" outlineLevel="0" collapsed="false">
      <c r="A450" s="6" t="s">
        <v>995</v>
      </c>
      <c r="B450" s="6" t="s">
        <v>2104</v>
      </c>
      <c r="C450" s="6" t="s">
        <v>102</v>
      </c>
      <c r="D450" s="6" t="n">
        <f aca="false">COUNTIF('Speaker Appearances'!$A$2:$A$668,A450)</f>
        <v>1</v>
      </c>
    </row>
    <row r="451" customFormat="false" ht="15" hidden="false" customHeight="false" outlineLevel="0" collapsed="false">
      <c r="A451" s="6" t="s">
        <v>1785</v>
      </c>
      <c r="B451" s="6" t="s">
        <v>1786</v>
      </c>
      <c r="C451" s="6" t="s">
        <v>1787</v>
      </c>
      <c r="D451" s="6" t="n">
        <f aca="false">COUNTIF('Speaker Appearances'!$A$2:$A$668,A451)</f>
        <v>2</v>
      </c>
    </row>
    <row r="452" customFormat="false" ht="15" hidden="false" customHeight="false" outlineLevel="0" collapsed="false">
      <c r="A452" s="6" t="s">
        <v>1376</v>
      </c>
      <c r="B452" s="6" t="s">
        <v>1377</v>
      </c>
      <c r="C452" s="6" t="s">
        <v>1378</v>
      </c>
      <c r="D452" s="6" t="n">
        <f aca="false">COUNTIF('Speaker Appearances'!$A$2:$A$668,A452)</f>
        <v>1</v>
      </c>
    </row>
    <row r="453" customFormat="false" ht="15" hidden="false" customHeight="false" outlineLevel="0" collapsed="false">
      <c r="A453" s="6" t="s">
        <v>1966</v>
      </c>
      <c r="B453" s="6"/>
      <c r="C453" s="6"/>
      <c r="D453" s="6" t="n">
        <f aca="false">COUNTIF('Speaker Appearances'!$A$2:$A$668,A453)</f>
        <v>1</v>
      </c>
    </row>
    <row r="454" customFormat="false" ht="15" hidden="false" customHeight="false" outlineLevel="0" collapsed="false">
      <c r="A454" s="6" t="s">
        <v>1875</v>
      </c>
      <c r="B454" s="6" t="s">
        <v>1729</v>
      </c>
      <c r="C454" s="6" t="s">
        <v>1876</v>
      </c>
      <c r="D454" s="6" t="n">
        <f aca="false">COUNTIF('Speaker Appearances'!$A$2:$A$668,A454)</f>
        <v>1</v>
      </c>
    </row>
    <row r="455" customFormat="false" ht="15" hidden="false" customHeight="false" outlineLevel="0" collapsed="false">
      <c r="A455" s="6" t="s">
        <v>1949</v>
      </c>
      <c r="B455" s="6"/>
      <c r="C455" s="6"/>
      <c r="D455" s="6" t="n">
        <f aca="false">COUNTIF('Speaker Appearances'!$A$2:$A$668,A455)</f>
        <v>1</v>
      </c>
    </row>
    <row r="456" customFormat="false" ht="15" hidden="false" customHeight="false" outlineLevel="0" collapsed="false">
      <c r="A456" s="6" t="s">
        <v>2271</v>
      </c>
      <c r="B456" s="6" t="s">
        <v>2272</v>
      </c>
      <c r="C456" s="6" t="s">
        <v>1588</v>
      </c>
      <c r="D456" s="6" t="n">
        <f aca="false">COUNTIF('Speaker Appearances'!$A$2:$A$668,A456)</f>
        <v>1</v>
      </c>
    </row>
    <row r="457" customFormat="false" ht="15" hidden="false" customHeight="false" outlineLevel="0" collapsed="false">
      <c r="A457" s="6" t="s">
        <v>1281</v>
      </c>
      <c r="B457" s="6" t="s">
        <v>2273</v>
      </c>
      <c r="C457" s="6" t="s">
        <v>1282</v>
      </c>
      <c r="D457" s="6" t="n">
        <f aca="false">COUNTIF('Speaker Appearances'!$A$2:$A$668,A457)</f>
        <v>1</v>
      </c>
    </row>
    <row r="458" customFormat="false" ht="15" hidden="false" customHeight="false" outlineLevel="0" collapsed="false">
      <c r="A458" s="6" t="s">
        <v>2053</v>
      </c>
      <c r="B458" s="6" t="s">
        <v>1442</v>
      </c>
      <c r="C458" s="6" t="s">
        <v>2054</v>
      </c>
      <c r="D458" s="6" t="n">
        <f aca="false">COUNTIF('Speaker Appearances'!$A$2:$A$668,A458)</f>
        <v>2</v>
      </c>
    </row>
    <row r="459" customFormat="false" ht="15" hidden="false" customHeight="false" outlineLevel="0" collapsed="false">
      <c r="A459" s="6" t="s">
        <v>1125</v>
      </c>
      <c r="B459" s="6" t="s">
        <v>2180</v>
      </c>
      <c r="C459" s="6" t="s">
        <v>1126</v>
      </c>
      <c r="D459" s="6" t="n">
        <f aca="false">COUNTIF('Speaker Appearances'!$A$2:$A$668,A459)</f>
        <v>1</v>
      </c>
    </row>
    <row r="460" customFormat="false" ht="15" hidden="false" customHeight="false" outlineLevel="0" collapsed="false">
      <c r="A460" s="6" t="s">
        <v>592</v>
      </c>
      <c r="B460" s="6" t="s">
        <v>1442</v>
      </c>
      <c r="C460" s="6" t="s">
        <v>593</v>
      </c>
      <c r="D460" s="6" t="n">
        <f aca="false">COUNTIF('Speaker Appearances'!$A$2:$A$668,A460)</f>
        <v>2</v>
      </c>
    </row>
    <row r="461" customFormat="false" ht="15" hidden="false" customHeight="false" outlineLevel="0" collapsed="false">
      <c r="A461" s="6" t="s">
        <v>540</v>
      </c>
      <c r="B461" s="6" t="s">
        <v>1855</v>
      </c>
      <c r="C461" s="6" t="s">
        <v>541</v>
      </c>
      <c r="D461" s="6" t="n">
        <f aca="false">COUNTIF('Speaker Appearances'!$A$2:$A$668,A461)</f>
        <v>1</v>
      </c>
    </row>
    <row r="462" customFormat="false" ht="15" hidden="false" customHeight="false" outlineLevel="0" collapsed="false">
      <c r="A462" s="6" t="s">
        <v>789</v>
      </c>
      <c r="B462" s="6" t="s">
        <v>2003</v>
      </c>
      <c r="C462" s="6" t="s">
        <v>790</v>
      </c>
      <c r="D462" s="6" t="n">
        <f aca="false">COUNTIF('Speaker Appearances'!$A$2:$A$668,A462)</f>
        <v>1</v>
      </c>
    </row>
    <row r="463" customFormat="false" ht="15" hidden="false" customHeight="false" outlineLevel="0" collapsed="false">
      <c r="A463" s="6" t="s">
        <v>2036</v>
      </c>
      <c r="B463" s="6" t="s">
        <v>2037</v>
      </c>
      <c r="C463" s="6" t="s">
        <v>1192</v>
      </c>
      <c r="D463" s="6" t="n">
        <f aca="false">COUNTIF('Speaker Appearances'!$A$2:$A$668,A463)</f>
        <v>2</v>
      </c>
    </row>
    <row r="464" customFormat="false" ht="15" hidden="false" customHeight="false" outlineLevel="0" collapsed="false">
      <c r="A464" s="6" t="s">
        <v>1171</v>
      </c>
      <c r="B464" s="6" t="s">
        <v>2180</v>
      </c>
      <c r="C464" s="6" t="s">
        <v>1172</v>
      </c>
      <c r="D464" s="6" t="n">
        <f aca="false">COUNTIF('Speaker Appearances'!$A$2:$A$668,A464)</f>
        <v>1</v>
      </c>
    </row>
    <row r="465" customFormat="false" ht="15" hidden="false" customHeight="false" outlineLevel="0" collapsed="false">
      <c r="A465" s="6" t="s">
        <v>1191</v>
      </c>
      <c r="B465" s="6" t="s">
        <v>2226</v>
      </c>
      <c r="C465" s="6" t="s">
        <v>1192</v>
      </c>
      <c r="D465" s="6" t="n">
        <f aca="false">COUNTIF('Speaker Appearances'!$A$2:$A$668,A465)</f>
        <v>2</v>
      </c>
    </row>
    <row r="466" customFormat="false" ht="15" hidden="false" customHeight="false" outlineLevel="0" collapsed="false">
      <c r="A466" s="6" t="s">
        <v>1538</v>
      </c>
      <c r="B466" s="6" t="s">
        <v>1539</v>
      </c>
      <c r="C466" s="6" t="s">
        <v>1540</v>
      </c>
      <c r="D466" s="6" t="n">
        <f aca="false">COUNTIF('Speaker Appearances'!$A$2:$A$668,A466)</f>
        <v>1</v>
      </c>
    </row>
    <row r="467" customFormat="false" ht="15" hidden="false" customHeight="false" outlineLevel="0" collapsed="false">
      <c r="A467" s="6" t="s">
        <v>387</v>
      </c>
      <c r="B467" s="6" t="s">
        <v>1689</v>
      </c>
      <c r="C467" s="6" t="s">
        <v>388</v>
      </c>
      <c r="D467" s="6" t="n">
        <f aca="false">COUNTIF('Speaker Appearances'!$A$2:$A$668,A467)</f>
        <v>1</v>
      </c>
    </row>
    <row r="468" customFormat="false" ht="15" hidden="false" customHeight="false" outlineLevel="0" collapsed="false">
      <c r="A468" s="6" t="s">
        <v>1437</v>
      </c>
      <c r="B468" s="6" t="s">
        <v>1438</v>
      </c>
      <c r="C468" s="6" t="s">
        <v>1439</v>
      </c>
      <c r="D468" s="6" t="n">
        <f aca="false">COUNTIF('Speaker Appearances'!$A$2:$A$668,A468)</f>
        <v>1</v>
      </c>
    </row>
    <row r="469" customFormat="false" ht="15" hidden="false" customHeight="false" outlineLevel="0" collapsed="false">
      <c r="A469" s="6" t="s">
        <v>1737</v>
      </c>
      <c r="B469" s="6" t="s">
        <v>1738</v>
      </c>
      <c r="C469" s="6" t="s">
        <v>1642</v>
      </c>
      <c r="D469" s="6" t="n">
        <f aca="false">COUNTIF('Speaker Appearances'!$A$2:$A$668,A469)</f>
        <v>1</v>
      </c>
    </row>
    <row r="470" customFormat="false" ht="15" hidden="false" customHeight="false" outlineLevel="0" collapsed="false">
      <c r="A470" s="6" t="s">
        <v>1660</v>
      </c>
      <c r="B470" s="6" t="s">
        <v>1661</v>
      </c>
      <c r="C470" s="6" t="s">
        <v>1662</v>
      </c>
      <c r="D470" s="6" t="n">
        <f aca="false">COUNTIF('Speaker Appearances'!$A$2:$A$668,A470)</f>
        <v>2</v>
      </c>
    </row>
    <row r="471" customFormat="false" ht="15" hidden="false" customHeight="false" outlineLevel="0" collapsed="false">
      <c r="A471" s="6" t="s">
        <v>1239</v>
      </c>
      <c r="B471" s="6" t="s">
        <v>2250</v>
      </c>
      <c r="C471" s="6" t="s">
        <v>1240</v>
      </c>
      <c r="D471" s="6" t="n">
        <f aca="false">COUNTIF('Speaker Appearances'!$A$2:$A$668,A471)</f>
        <v>1</v>
      </c>
    </row>
    <row r="472" customFormat="false" ht="15" hidden="false" customHeight="false" outlineLevel="0" collapsed="false">
      <c r="A472" s="6" t="s">
        <v>2047</v>
      </c>
      <c r="B472" s="6" t="s">
        <v>2048</v>
      </c>
      <c r="C472" s="6" t="s">
        <v>2049</v>
      </c>
      <c r="D472" s="6" t="n">
        <f aca="false">COUNTIF('Speaker Appearances'!$A$2:$A$668,A472)</f>
        <v>1</v>
      </c>
    </row>
    <row r="473" customFormat="false" ht="15" hidden="false" customHeight="false" outlineLevel="0" collapsed="false">
      <c r="A473" s="6" t="s">
        <v>2287</v>
      </c>
      <c r="B473" s="6" t="s">
        <v>2288</v>
      </c>
      <c r="C473" s="6" t="s">
        <v>1723</v>
      </c>
      <c r="D473" s="6" t="n">
        <f aca="false">COUNTIF('Speaker Appearances'!$A$2:$A$668,A473)</f>
        <v>1</v>
      </c>
    </row>
    <row r="474" customFormat="false" ht="15" hidden="false" customHeight="false" outlineLevel="0" collapsed="false">
      <c r="A474" s="6" t="s">
        <v>1392</v>
      </c>
      <c r="B474" s="6" t="s">
        <v>1393</v>
      </c>
      <c r="C474" s="6" t="s">
        <v>1394</v>
      </c>
      <c r="D474" s="6" t="n">
        <f aca="false">COUNTIF('Speaker Appearances'!$A$2:$A$668,A474)</f>
        <v>4</v>
      </c>
    </row>
    <row r="475" customFormat="false" ht="15" hidden="false" customHeight="false" outlineLevel="0" collapsed="false">
      <c r="A475" s="6" t="s">
        <v>1504</v>
      </c>
      <c r="B475" s="6" t="s">
        <v>1505</v>
      </c>
      <c r="C475" s="6" t="s">
        <v>79</v>
      </c>
      <c r="D475" s="6" t="n">
        <f aca="false">COUNTIF('Speaker Appearances'!$A$2:$A$668,A475)</f>
        <v>1</v>
      </c>
    </row>
    <row r="476" customFormat="false" ht="15" hidden="false" customHeight="false" outlineLevel="0" collapsed="false">
      <c r="A476" s="6" t="s">
        <v>2232</v>
      </c>
      <c r="B476" s="6" t="s">
        <v>2233</v>
      </c>
      <c r="C476" s="6" t="s">
        <v>2234</v>
      </c>
      <c r="D476" s="6" t="n">
        <f aca="false">COUNTIF('Speaker Appearances'!$A$2:$A$668,A476)</f>
        <v>1</v>
      </c>
    </row>
    <row r="477" customFormat="false" ht="15" hidden="false" customHeight="false" outlineLevel="0" collapsed="false">
      <c r="A477" s="6" t="s">
        <v>1734</v>
      </c>
      <c r="B477" s="6" t="s">
        <v>1735</v>
      </c>
      <c r="C477" s="6" t="s">
        <v>85</v>
      </c>
      <c r="D477" s="6" t="n">
        <f aca="false">COUNTIF('Speaker Appearances'!$A$2:$A$668,A477)</f>
        <v>1</v>
      </c>
    </row>
    <row r="478" customFormat="false" ht="15" hidden="false" customHeight="false" outlineLevel="0" collapsed="false">
      <c r="A478" s="6" t="s">
        <v>1693</v>
      </c>
      <c r="B478" s="6" t="s">
        <v>1694</v>
      </c>
      <c r="C478" s="6" t="s">
        <v>1695</v>
      </c>
      <c r="D478" s="6" t="n">
        <f aca="false">COUNTIF('Speaker Appearances'!$A$2:$A$668,A478)</f>
        <v>2</v>
      </c>
    </row>
    <row r="479" customFormat="false" ht="15" hidden="false" customHeight="false" outlineLevel="0" collapsed="false">
      <c r="A479" s="6" t="s">
        <v>1892</v>
      </c>
      <c r="B479" s="6" t="s">
        <v>1893</v>
      </c>
      <c r="C479" s="6" t="s">
        <v>79</v>
      </c>
      <c r="D479" s="6" t="n">
        <f aca="false">COUNTIF('Speaker Appearances'!$A$2:$A$668,A479)</f>
        <v>1</v>
      </c>
    </row>
    <row r="480" customFormat="false" ht="15" hidden="false" customHeight="false" outlineLevel="0" collapsed="false">
      <c r="A480" s="6" t="s">
        <v>2033</v>
      </c>
      <c r="B480" s="6" t="s">
        <v>2034</v>
      </c>
      <c r="C480" s="6" t="s">
        <v>2035</v>
      </c>
      <c r="D480" s="6" t="n">
        <f aca="false">COUNTIF('Speaker Appearances'!$A$2:$A$668,A480)</f>
        <v>1</v>
      </c>
    </row>
    <row r="481" customFormat="false" ht="15" hidden="false" customHeight="false" outlineLevel="0" collapsed="false">
      <c r="A481" s="6" t="s">
        <v>1795</v>
      </c>
      <c r="B481" s="6" t="s">
        <v>1466</v>
      </c>
      <c r="C481" s="6" t="s">
        <v>1796</v>
      </c>
      <c r="D481" s="6" t="n">
        <f aca="false">COUNTIF('Speaker Appearances'!$A$2:$A$668,A481)</f>
        <v>1</v>
      </c>
    </row>
    <row r="482" customFormat="false" ht="15" hidden="false" customHeight="false" outlineLevel="0" collapsed="false">
      <c r="A482" s="6" t="s">
        <v>1848</v>
      </c>
      <c r="B482" s="6" t="s">
        <v>1849</v>
      </c>
      <c r="C482" s="6" t="s">
        <v>1850</v>
      </c>
      <c r="D482" s="6" t="n">
        <f aca="false">COUNTIF('Speaker Appearances'!$A$2:$A$668,A482)</f>
        <v>1</v>
      </c>
    </row>
    <row r="483" customFormat="false" ht="15" hidden="false" customHeight="false" outlineLevel="0" collapsed="false">
      <c r="A483" s="6" t="s">
        <v>245</v>
      </c>
      <c r="B483" s="6" t="s">
        <v>1552</v>
      </c>
      <c r="C483" s="6" t="s">
        <v>246</v>
      </c>
      <c r="D483" s="6" t="n">
        <f aca="false">COUNTIF('Speaker Appearances'!$A$2:$A$668,A483)</f>
        <v>1</v>
      </c>
    </row>
    <row r="484" customFormat="false" ht="15" hidden="false" customHeight="false" outlineLevel="0" collapsed="false">
      <c r="A484" s="6" t="s">
        <v>1887</v>
      </c>
      <c r="B484" s="6" t="s">
        <v>1888</v>
      </c>
      <c r="C484" s="6" t="s">
        <v>1889</v>
      </c>
      <c r="D484" s="6" t="n">
        <f aca="false">COUNTIF('Speaker Appearances'!$A$2:$A$668,A484)</f>
        <v>1</v>
      </c>
    </row>
    <row r="485" customFormat="false" ht="15" hidden="false" customHeight="false" outlineLevel="0" collapsed="false">
      <c r="A485" s="6" t="s">
        <v>1771</v>
      </c>
      <c r="B485" s="6" t="s">
        <v>1772</v>
      </c>
      <c r="C485" s="6" t="s">
        <v>1773</v>
      </c>
      <c r="D485" s="6" t="n">
        <f aca="false">COUNTIF('Speaker Appearances'!$A$2:$A$668,A485)</f>
        <v>1</v>
      </c>
    </row>
    <row r="486" customFormat="false" ht="15" hidden="false" customHeight="false" outlineLevel="0" collapsed="false">
      <c r="A486" s="6" t="s">
        <v>1937</v>
      </c>
      <c r="B486" s="6" t="s">
        <v>1938</v>
      </c>
      <c r="C486" s="6" t="s">
        <v>1939</v>
      </c>
      <c r="D486" s="6" t="n">
        <f aca="false">COUNTIF('Speaker Appearances'!$A$2:$A$668,A486)</f>
        <v>1</v>
      </c>
    </row>
    <row r="487" customFormat="false" ht="15" hidden="false" customHeight="false" outlineLevel="0" collapsed="false">
      <c r="A487" s="6" t="s">
        <v>1431</v>
      </c>
      <c r="B487" s="6" t="s">
        <v>1432</v>
      </c>
      <c r="C487" s="6" t="s">
        <v>1433</v>
      </c>
      <c r="D487" s="6" t="n">
        <f aca="false">COUNTIF('Speaker Appearances'!$A$2:$A$668,A487)</f>
        <v>1</v>
      </c>
    </row>
    <row r="488" customFormat="false" ht="15" hidden="false" customHeight="false" outlineLevel="0" collapsed="false">
      <c r="A488" s="6" t="s">
        <v>1546</v>
      </c>
      <c r="B488" s="6" t="s">
        <v>1547</v>
      </c>
      <c r="C488" s="6" t="s">
        <v>133</v>
      </c>
      <c r="D488" s="6" t="n">
        <f aca="false">COUNTIF('Speaker Appearances'!$A$2:$A$668,A488)</f>
        <v>3</v>
      </c>
    </row>
    <row r="489" customFormat="false" ht="15" hidden="false" customHeight="false" outlineLevel="0" collapsed="false">
      <c r="A489" s="6" t="s">
        <v>1865</v>
      </c>
      <c r="B489" s="6" t="s">
        <v>1866</v>
      </c>
      <c r="C489" s="6" t="s">
        <v>1588</v>
      </c>
      <c r="D489" s="6" t="n">
        <f aca="false">COUNTIF('Speaker Appearances'!$A$2:$A$668,A489)</f>
        <v>1</v>
      </c>
    </row>
    <row r="490" customFormat="false" ht="15" hidden="false" customHeight="false" outlineLevel="0" collapsed="false">
      <c r="A490" s="6" t="s">
        <v>2119</v>
      </c>
      <c r="B490" s="6" t="s">
        <v>2120</v>
      </c>
      <c r="C490" s="6" t="s">
        <v>999</v>
      </c>
      <c r="D490" s="6" t="n">
        <f aca="false">COUNTIF('Speaker Appearances'!$A$2:$A$668,A490)</f>
        <v>1</v>
      </c>
    </row>
    <row r="491" customFormat="false" ht="15" hidden="false" customHeight="false" outlineLevel="0" collapsed="false">
      <c r="A491" s="6" t="s">
        <v>1203</v>
      </c>
      <c r="B491" s="6" t="s">
        <v>2229</v>
      </c>
      <c r="C491" s="6" t="s">
        <v>1204</v>
      </c>
      <c r="D491" s="6" t="n">
        <f aca="false">COUNTIF('Speaker Appearances'!$A$2:$A$668,A491)</f>
        <v>1</v>
      </c>
    </row>
    <row r="492" customFormat="false" ht="15" hidden="false" customHeight="false" outlineLevel="0" collapsed="false">
      <c r="A492" s="6" t="s">
        <v>118</v>
      </c>
      <c r="B492" s="6" t="s">
        <v>2185</v>
      </c>
      <c r="C492" s="6" t="s">
        <v>2186</v>
      </c>
      <c r="D492" s="6" t="n">
        <f aca="false">COUNTIF('Speaker Appearances'!$A$2:$A$668,A492)</f>
        <v>2</v>
      </c>
    </row>
    <row r="493" customFormat="false" ht="15" hidden="false" customHeight="false" outlineLevel="0" collapsed="false">
      <c r="A493" s="6" t="s">
        <v>1454</v>
      </c>
      <c r="B493" s="6" t="s">
        <v>1455</v>
      </c>
      <c r="C493" s="6" t="s">
        <v>1456</v>
      </c>
      <c r="D493" s="6" t="n">
        <f aca="false">COUNTIF('Speaker Appearances'!$A$2:$A$668,A493)</f>
        <v>1</v>
      </c>
    </row>
    <row r="494" customFormat="false" ht="15" hidden="false" customHeight="false" outlineLevel="0" collapsed="false">
      <c r="A494" s="6" t="s">
        <v>1754</v>
      </c>
      <c r="B494" s="6" t="s">
        <v>1755</v>
      </c>
      <c r="C494" s="6" t="s">
        <v>1756</v>
      </c>
      <c r="D494" s="6" t="n">
        <f aca="false">COUNTIF('Speaker Appearances'!$A$2:$A$668,A494)</f>
        <v>1</v>
      </c>
    </row>
    <row r="495" customFormat="false" ht="15" hidden="false" customHeight="false" outlineLevel="0" collapsed="false">
      <c r="A495" s="6" t="s">
        <v>2322</v>
      </c>
      <c r="B495" s="6" t="s">
        <v>2323</v>
      </c>
      <c r="C495" s="6" t="s">
        <v>388</v>
      </c>
      <c r="D495" s="6" t="n">
        <f aca="false">COUNTIF('Speaker Appearances'!$A$2:$A$668,A495)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2026-10-14T09:08:45Z</dcterms:created>
  <dc:creator>openpyxl</dc:creator>
  <dc:description/>
  <dc:language>en-US</dc:language>
  <cp:lastModifiedBy/>
  <dcterms:modified xsi:type="dcterms:W3CDTF">2026-10-14T09:08:46Z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