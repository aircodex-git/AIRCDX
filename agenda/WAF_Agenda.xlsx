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y 2" sheetId="2" state="visible" r:id="rId4"/>
    <sheet name="Day 3" sheetId="3" state="visible" r:id="rId5"/>
    <sheet name="All Sessions" sheetId="4" state="visible" r:id="rId6"/>
    <sheet name="Speaker Appearances" sheetId="5" state="visible" r:id="rId7"/>
    <sheet name="Speaker Directo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<sst xmlns="http://schemas.openxmlformats.org/spreadsheetml/2006/main" count="7867" uniqueCount="1413">
  <si>
    <t xml:space="preserve">World Aviation Festival – Agenda</t>
  </si>
  <si>
    <t xml:space="preserve">Source</t>
  </si>
  <si>
    <t xml:space="preserve">https://hub.terrapinn.com/a0AN200000t9wgDMAQPA06066985/agenda</t>
  </si>
  <si>
    <t xml:space="preserve">Days included</t>
  </si>
  <si>
    <t xml:space="preserve">Day 2, Day 3</t>
  </si>
  <si>
    <t xml:space="preserve">Note</t>
  </si>
  <si>
    <t xml:space="preserve">Built from agenda text copied from the event hub. The site could not be fetched directly from this environment. Speaker job titles/organisations are split from 'Name, Title, Company' on the site; 'Additional speakers' are names hidden behind '+N more' on the site and are not listed here. Registration numbers are a snapshot at the time of copying.</t>
  </si>
  <si>
    <t xml:space="preserve">Sessions by stream</t>
  </si>
  <si>
    <t xml:space="preserve">Stream / Category</t>
  </si>
  <si>
    <t xml:space="preserve">Day 2</t>
  </si>
  <si>
    <t xml:space="preserve">Day 3</t>
  </si>
  <si>
    <t xml:space="preserve">Total</t>
  </si>
  <si>
    <t xml:space="preserve">AI / ML</t>
  </si>
  <si>
    <t xml:space="preserve">Airline Keynote</t>
  </si>
  <si>
    <t xml:space="preserve">Airport &amp; Airline Collaboration</t>
  </si>
  <si>
    <t xml:space="preserve">Airport - Operations</t>
  </si>
  <si>
    <t xml:space="preserve">Airport - Traveller</t>
  </si>
  <si>
    <t xml:space="preserve">Airport Keynote</t>
  </si>
  <si>
    <t xml:space="preserve">Ancillaries</t>
  </si>
  <si>
    <t xml:space="preserve">Customer Experience</t>
  </si>
  <si>
    <t xml:space="preserve">Digital &amp; IT</t>
  </si>
  <si>
    <t xml:space="preserve">IROPS</t>
  </si>
  <si>
    <t xml:space="preserve">Innovation</t>
  </si>
  <si>
    <t xml:space="preserve">Loyalty</t>
  </si>
  <si>
    <t xml:space="preserve">Networking</t>
  </si>
  <si>
    <t xml:space="preserve">Payments</t>
  </si>
  <si>
    <t xml:space="preserve">Retail</t>
  </si>
  <si>
    <t xml:space="preserve">Roundtable</t>
  </si>
  <si>
    <t xml:space="preserve">Startup Theatre</t>
  </si>
  <si>
    <t xml:space="preserve">Sustainability</t>
  </si>
  <si>
    <t xml:space="preserve">Workshop</t>
  </si>
  <si>
    <t xml:space="preserve">#</t>
  </si>
  <si>
    <t xml:space="preserve">Day</t>
  </si>
  <si>
    <t xml:space="preserve">Start</t>
  </si>
  <si>
    <t xml:space="preserve">End</t>
  </si>
  <si>
    <t xml:space="preserve">Format</t>
  </si>
  <si>
    <t xml:space="preserve">Session Title</t>
  </si>
  <si>
    <t xml:space="preserve">Speakers (Name – Job Title, Company)</t>
  </si>
  <si>
    <t xml:space="preserve">Speaker Names</t>
  </si>
  <si>
    <t xml:space="preserve">Organisations</t>
  </si>
  <si>
    <t xml:space="preserve">Speakers Listed</t>
  </si>
  <si>
    <t xml:space="preserve">Additional Speakers (not shown on site)</t>
  </si>
  <si>
    <t xml:space="preserve">Room / Stage</t>
  </si>
  <si>
    <t xml:space="preserve">Pavilion</t>
  </si>
  <si>
    <t xml:space="preserve">Room (as listed on site)</t>
  </si>
  <si>
    <t xml:space="preserve">Description / Discussion Points</t>
  </si>
  <si>
    <t xml:space="preserve">Registered</t>
  </si>
  <si>
    <t xml:space="preserve">Capacity</t>
  </si>
  <si>
    <t xml:space="preserve">Places Left</t>
  </si>
  <si>
    <t xml:space="preserve">Registration Status</t>
  </si>
  <si>
    <t xml:space="preserve">Aviation Connect: Session 6</t>
  </si>
  <si>
    <t xml:space="preserve">Host, World Aviation Festival</t>
  </si>
  <si>
    <t xml:space="preserve">Host</t>
  </si>
  <si>
    <t xml:space="preserve">World Aviation Festival</t>
  </si>
  <si>
    <t xml:space="preserve">Aviation Connect Zone (Pavilion 2)</t>
  </si>
  <si>
    <t xml:space="preserve">Pavilion 2</t>
  </si>
  <si>
    <t xml:space="preserve">Aviation Connect Zone Pavilion 2</t>
  </si>
  <si>
    <t xml:space="preserve">Welcome</t>
  </si>
  <si>
    <t xml:space="preserve">Official Welcome</t>
  </si>
  <si>
    <t xml:space="preserve">Carlos Oliveira – Chairman, Tap Air Portugal</t>
  </si>
  <si>
    <t xml:space="preserve">Carlos Oliveira</t>
  </si>
  <si>
    <t xml:space="preserve">Tap Air Portugal</t>
  </si>
  <si>
    <t xml:space="preserve">Keynote Stage 1 (Pavilion 1)</t>
  </si>
  <si>
    <t xml:space="preserve">Pavilion 1</t>
  </si>
  <si>
    <t xml:space="preserve">Keynote Theatre (Pavilion 1)</t>
  </si>
  <si>
    <t xml:space="preserve">Official Airport Partner Welcome</t>
  </si>
  <si>
    <t xml:space="preserve">Thierry Ligonnière – Chief Executive Officer, ANA Aeroportos de Portugal</t>
  </si>
  <si>
    <t xml:space="preserve">Thierry Ligonnière</t>
  </si>
  <si>
    <t xml:space="preserve">ANA Aeroportos de Portugal</t>
  </si>
  <si>
    <t xml:space="preserve">Keynote Stage 2 (Pavilion 2)</t>
  </si>
  <si>
    <t xml:space="preserve">Interview</t>
  </si>
  <si>
    <t xml:space="preserve">CEO Interview: Stefan Schulte, CEO, Fraport AG</t>
  </si>
  <si>
    <t xml:space="preserve">Stefan Schulte – Chief Executive Officer, Fraport AG
Ben Thompson – Presenter, BBC</t>
  </si>
  <si>
    <t xml:space="preserve">Stefan Schulte, Ben Thompson</t>
  </si>
  <si>
    <t xml:space="preserve">Fraport AG, BBC</t>
  </si>
  <si>
    <t xml:space="preserve">CEO Interview: Luis Rodrigues, CEO, TAP Air Portugal</t>
  </si>
  <si>
    <t xml:space="preserve">Luís Rodrigues – Chief Executive Officer, Tap Air Portugal
Peter Campbell – Global Transport Correspondent, Financial Times</t>
  </si>
  <si>
    <t xml:space="preserve">Luís Rodrigues, Peter Campbell</t>
  </si>
  <si>
    <t xml:space="preserve">Tap Air Portugal, Financial Times</t>
  </si>
  <si>
    <t xml:space="preserve">CEO Interview: Adrian Neuhauser, CEO, ABRA Group</t>
  </si>
  <si>
    <t xml:space="preserve">Adrian Neuhauser – Chief Executive Officer, Abra Group
Peter Campbell – Global Transport Correspondent, Financial Times</t>
  </si>
  <si>
    <t xml:space="preserve">Adrian Neuhauser, Peter Campbell</t>
  </si>
  <si>
    <t xml:space="preserve">Abra Group, Financial Times</t>
  </si>
  <si>
    <t xml:space="preserve">CEO Interview: Thierry Ligonnière, CEO, ANA - Aeroportos de Portugal</t>
  </si>
  <si>
    <t xml:space="preserve">Thierry Ligonnière – Chief Executive Officer, ANA Aeroportos de Portugal
Ben Thompson – Presenter, BBC</t>
  </si>
  <si>
    <t xml:space="preserve">Thierry Ligonnière, Ben Thompson</t>
  </si>
  <si>
    <t xml:space="preserve">ANA Aeroportos de Portugal, BBC</t>
  </si>
  <si>
    <t xml:space="preserve">CEO Interview: Pierre-Hugues Schmit, CEO, London Gatwick</t>
  </si>
  <si>
    <t xml:space="preserve">Pierre-Hugues Schmit – Chief Executive Officer, London Gatwick Airport
Ben Thompson – Presenter, BBC</t>
  </si>
  <si>
    <t xml:space="preserve">Pierre-Hugues Schmit, Ben Thompson</t>
  </si>
  <si>
    <t xml:space="preserve">London Gatwick Airport, BBC</t>
  </si>
  <si>
    <t xml:space="preserve">CEO Interview: Roberto Alvo, CEO, LATAM</t>
  </si>
  <si>
    <t xml:space="preserve">Roberto Alvo – CEO, Latam Airlines Group
Peter Campbell – Global Transport Correspondent, Financial Times</t>
  </si>
  <si>
    <t xml:space="preserve">Roberto Alvo, Peter Campbell</t>
  </si>
  <si>
    <t xml:space="preserve">Latam Airlines Group, Financial Times</t>
  </si>
  <si>
    <t xml:space="preserve">Panel</t>
  </si>
  <si>
    <t xml:space="preserve">Keynote CEO Panel: Writing the next chapter of aviation history in an age of uncertainty</t>
  </si>
  <si>
    <t xml:space="preserve">Luís Rodrigues – Chief Executive Officer, Tap Air Portugal
Adrian Neuhauser – Chief Executive Officer, Abra Group
Roberto Alvo – CEO, Latam Airlines Group</t>
  </si>
  <si>
    <t xml:space="preserve">Luís Rodrigues, Adrian Neuhauser, Roberto Alvo</t>
  </si>
  <si>
    <t xml:space="preserve">Tap Air Portugal, Abra Group, Latam Airlines Group</t>
  </si>
  <si>
    <t xml:space="preserve">Investing in the right areas for growth: identifying true game changes from the trendy fad
• Navigating geopolitical instability and preparing for unknowns to reduce the impact of disruption
• Long Term Strategy planning by optimising operations and working with industry to solve supply chain constraint
• Working as an industry to improve global challenges including sustainability, workforce challenges and safety</t>
  </si>
  <si>
    <t xml:space="preserve">CEO Interview: Paul Griffiths, CEO, Dubai Airports</t>
  </si>
  <si>
    <t xml:space="preserve">Paul Griffiths – Chief Executive Officer, Dubai Airports Company
Ben Thompson – Presenter, BBC</t>
  </si>
  <si>
    <t xml:space="preserve">Paul Griffiths, Ben Thompson</t>
  </si>
  <si>
    <t xml:space="preserve">Dubai Airports Company, BBC</t>
  </si>
  <si>
    <t xml:space="preserve">Keynote Panel: Growth without compromise – rethinking the airport model for sustainable growth</t>
  </si>
  <si>
    <t xml:space="preserve">Stefan Schulte – Chief Executive Officer, Fraport AG
Warwick Brady – President &amp; CEO, SWISSPORT
Paul Griffiths – Chief Executive Officer, Dubai Airports Company</t>
  </si>
  <si>
    <t xml:space="preserve">Stefan Schulte, Warwick Brady, Paul Griffiths</t>
  </si>
  <si>
    <t xml:space="preserve">Fraport AG, SWISSPORT, Dubai Airports Company</t>
  </si>
  <si>
    <t xml:space="preserve">How can airports manage growth and capacity through both infrastructure development and smarter use of existing assets?
• As traffic rises, how do we maintain operational resilience while protecting the passenger experience?
• How can better coordination across airlines, airports and ground handlers reduce operational complexity?
• As competition between hubs intensifies, how can airports differentiate through efficiency, technology and experience?
• What investments in infrastructure, operations and digital capability will define the most competitive airports over the next 3-5 years?</t>
  </si>
  <si>
    <t xml:space="preserve">Table 01: FLYR Roundtable - Funding the move to Offer &amp; Order: Creating the right time for the right move</t>
  </si>
  <si>
    <t xml:space="preserve">Rodrigo López
Josh Crandall</t>
  </si>
  <si>
    <t xml:space="preserve">Rodrigo López, Josh Crandall</t>
  </si>
  <si>
    <t xml:space="preserve">Roundtable Area (Pavilion 2)</t>
  </si>
  <si>
    <t xml:space="preserve">Roundtable area, Pavilion 2</t>
  </si>
  <si>
    <t xml:space="preserve">Open</t>
  </si>
  <si>
    <t xml:space="preserve">Table 2: ATPCO Roundtable - Airline product catalogs: a foundation for retailing at scale</t>
  </si>
  <si>
    <t xml:space="preserve">Doug Sharpe
Megan Humphries</t>
  </si>
  <si>
    <t xml:space="preserve">Doug Sharpe, Megan Humphries</t>
  </si>
  <si>
    <t xml:space="preserve">Table 3: 15Below - 10 years of deploying AI in aviation: what works, what doesn’t and what we’ve learned</t>
  </si>
  <si>
    <t xml:space="preserve">Ali Tredinnick
Joe Bennett</t>
  </si>
  <si>
    <t xml:space="preserve">Ali Tredinnick, Joe Bennett</t>
  </si>
  <si>
    <t xml:space="preserve">Full</t>
  </si>
  <si>
    <t xml:space="preserve">Table 4: OneReg Roundtable - Continuous confidence: reimagining how aviation compliance works</t>
  </si>
  <si>
    <t xml:space="preserve">Billie Moore
Angel Matsis</t>
  </si>
  <si>
    <t xml:space="preserve">Billie Moore, Angel Matsis</t>
  </si>
  <si>
    <t xml:space="preserve">Table 5: Seatboost Roundtable - The gate-side goldmine: Gamification, dynamic pricing, and monetizing the premium cabin</t>
  </si>
  <si>
    <t xml:space="preserve">Kevin Stamler</t>
  </si>
  <si>
    <t xml:space="preserve">Table 6: Ping Identity Roundtable - Whose agent is it anyway?</t>
  </si>
  <si>
    <t xml:space="preserve">Alexander Laurie
Emanuela Maftieu</t>
  </si>
  <si>
    <t xml:space="preserve">Alexander Laurie, Emanuela Maftieu</t>
  </si>
  <si>
    <t xml:space="preserve">Table 7: ADA Roundtable - Agentic IROPs: Turning flight re-accom into your biggest loyalty moment</t>
  </si>
  <si>
    <t xml:space="preserve">Mike Murchison
Tatiana Deabreu</t>
  </si>
  <si>
    <t xml:space="preserve">Mike Murchison, Tatiana Deabreu</t>
  </si>
  <si>
    <t xml:space="preserve">Table 8: Lufthansa Industry Solutions Roundtable - How airports, airlines and partners can create value through collaboration</t>
  </si>
  <si>
    <t xml:space="preserve">Karina Mehl
Michael Kleinert</t>
  </si>
  <si>
    <t xml:space="preserve">Karina Mehl, Michael Kleinert</t>
  </si>
  <si>
    <t xml:space="preserve">Table 9: Chubb Roundtable - When delays happen, payouts shouldn't wait. Using parametrics to turn flight disruption into passenger loyalty.</t>
  </si>
  <si>
    <t xml:space="preserve">Ruben Rivero</t>
  </si>
  <si>
    <t xml:space="preserve">Table10: Intellicene Roundtable - The connected airport: Turning data into operational intelligence</t>
  </si>
  <si>
    <t xml:space="preserve">Matthew Maychrowitz
Rebecca Rea</t>
  </si>
  <si>
    <t xml:space="preserve">Matthew Maychrowitz, Rebecca Rea</t>
  </si>
  <si>
    <t xml:space="preserve">Table11: Thoughtspot Roundtable - From Insight to Action: How aviation leaders are scaling agentic analytics</t>
  </si>
  <si>
    <t xml:space="preserve">James Davies
Charlotte Ross</t>
  </si>
  <si>
    <t xml:space="preserve">James Davies, Charlotte Ross</t>
  </si>
  <si>
    <t xml:space="preserve">Open (you are registered)</t>
  </si>
  <si>
    <t xml:space="preserve">Table12: Volantio Roundtable - Beyond the AI hype: Can agents finally connect revenue, operations and customer experience?</t>
  </si>
  <si>
    <t xml:space="preserve">Ana Maria Escobar
Azim Barodawala</t>
  </si>
  <si>
    <t xml:space="preserve">Ana Maria Escobar, Azim Barodawala</t>
  </si>
  <si>
    <t xml:space="preserve">Table13: Signifyd Roundtable AI booked the flight. Who owns the risk?</t>
  </si>
  <si>
    <t xml:space="preserve">Nikhita Hyett
Amal Ahmed</t>
  </si>
  <si>
    <t xml:space="preserve">Nikhita Hyett, Amal Ahmed</t>
  </si>
  <si>
    <t xml:space="preserve">Table14: Endava Roundtable - From the basement to the boardroom - Why airline finance has earned a seat at the table</t>
  </si>
  <si>
    <t xml:space="preserve">Henry Harteveldt
Nives Nadoh</t>
  </si>
  <si>
    <t xml:space="preserve">Henry Harteveldt, Nives Nadoh</t>
  </si>
  <si>
    <t xml:space="preserve">Table15: Infosys Roundtable - How AI unlocks value: Building a resilient aviation ecosystem</t>
  </si>
  <si>
    <t xml:space="preserve">Samik Ghatak
RASHI GARG</t>
  </si>
  <si>
    <t xml:space="preserve">Samik Ghatak, RASHI GARG</t>
  </si>
  <si>
    <t xml:space="preserve">Table16: Airplane Roundtable - The cost of discovery: can airlines scale shopping without breaking the economics?</t>
  </si>
  <si>
    <t xml:space="preserve">Javier Esteve
Robert Mulet</t>
  </si>
  <si>
    <t xml:space="preserve">Javier Esteve, Robert Mulet</t>
  </si>
  <si>
    <t xml:space="preserve">Table17: OAG Roundtable - Beyond the AI headlines: what should aviation leaders believe?</t>
  </si>
  <si>
    <t xml:space="preserve">Ben Maynard
Sue Davidson</t>
  </si>
  <si>
    <t xml:space="preserve">Ben Maynard, Sue Davidson</t>
  </si>
  <si>
    <t xml:space="preserve">Table18: Telcotrend Roundtable - Beyond the cost of failure: Spotting the cracks before they widen</t>
  </si>
  <si>
    <t xml:space="preserve">Tamás Nacsák
Gabriella Solti</t>
  </si>
  <si>
    <t xml:space="preserve">Tamás Nacsák, Gabriella Solti</t>
  </si>
  <si>
    <t xml:space="preserve">Table19: PROS Roundtable - Beyond NDC: How AI agents are redefining airline retailing and distribution</t>
  </si>
  <si>
    <t xml:space="preserve">Boyan Manev
MARCELA Pasten</t>
  </si>
  <si>
    <t xml:space="preserve">Boyan Manev, MARCELA Pasten</t>
  </si>
  <si>
    <t xml:space="preserve">Table20: Zingly Roundtable - Case study: AI in production at Pegasus Airlines: Beyond deflection to completed passenger journeys</t>
  </si>
  <si>
    <t xml:space="preserve">Baris Findik
Gaurav Passi</t>
  </si>
  <si>
    <t xml:space="preserve">Baris Findik, Gaurav Passi</t>
  </si>
  <si>
    <t xml:space="preserve">Aviation Connect: Session 3</t>
  </si>
  <si>
    <t xml:space="preserve">Aviation Connect is our dedicated networking hour. Book 15 minute meetings via the Aviation Connect Platform and make the most of your time at WAF. No other sessions, workshops or activities are taking place during this time.</t>
  </si>
  <si>
    <t xml:space="preserve">Chair Remarks</t>
  </si>
  <si>
    <t xml:space="preserve">Chair opening remarks</t>
  </si>
  <si>
    <t xml:space="preserve">Harald Deprosse – Partner, Envolved GmbH</t>
  </si>
  <si>
    <t xml:space="preserve">Harald Deprosse</t>
  </si>
  <si>
    <t xml:space="preserve">Envolved GmbH</t>
  </si>
  <si>
    <t xml:space="preserve">Track 3 (Pavilion 1)</t>
  </si>
  <si>
    <t xml:space="preserve">Fireside Chat</t>
  </si>
  <si>
    <t xml:space="preserve">Fireside Chat: Growth without compromise – can airlines decarbonise while remaining competitive?</t>
  </si>
  <si>
    <t xml:space="preserve">Maria Whittaker – Chief Corporate Responsibility Officer, Abra Group
Patrick Edmond – Chief Commercial Officer, Future Energy Global</t>
  </si>
  <si>
    <t xml:space="preserve">Maria Whittaker, Patrick Edmond</t>
  </si>
  <si>
    <t xml:space="preserve">Abra Group, Future Energy Global</t>
  </si>
  <si>
    <t xml:space="preserve">Track 10 (Pavilion 2)</t>
  </si>
  <si>
    <t xml:space="preserve">Plusgrade Welcome</t>
  </si>
  <si>
    <t xml:space="preserve">Richard Wolfman – SVP Global Business Development, Plusgrade</t>
  </si>
  <si>
    <t xml:space="preserve">Richard Wolfman</t>
  </si>
  <si>
    <t xml:space="preserve">Plusgrade</t>
  </si>
  <si>
    <t xml:space="preserve">Track 3, Pav 1</t>
  </si>
  <si>
    <t xml:space="preserve">Presentation</t>
  </si>
  <si>
    <t xml:space="preserve">Presentation: Building tomorrow’s airline: AI-orchestrated, human-led</t>
  </si>
  <si>
    <t xml:space="preserve">Oliver Schmitt – CEO Digital Hangar Ecosystem &amp; SVP Digital Solutions, Lufthansa Group Digital Hangar GmbH</t>
  </si>
  <si>
    <t xml:space="preserve">Oliver Schmitt</t>
  </si>
  <si>
    <t xml:space="preserve">Lufthansa Group Digital Hangar GmbH</t>
  </si>
  <si>
    <t xml:space="preserve">Track 9 (Pavilion 2)</t>
  </si>
  <si>
    <t xml:space="preserve">Track 9, Pavilion 2</t>
  </si>
  <si>
    <t xml:space="preserve">Talk</t>
  </si>
  <si>
    <t xml:space="preserve">Human connection, effortless digital experiences: premium CX in the age of AI</t>
  </si>
  <si>
    <t xml:space="preserve">Bethan Lynch – VP Customer Experience &amp; Loyalty, Virgin Atlantic
Jerry Angrave – Customer Experience Director, Empathyce</t>
  </si>
  <si>
    <t xml:space="preserve">Bethan Lynch, Jerry Angrave</t>
  </si>
  <si>
    <t xml:space="preserve">Virgin Atlantic, Empathyce</t>
  </si>
  <si>
    <t xml:space="preserve">Track 2 (Pavilion 1)</t>
  </si>
  <si>
    <t xml:space="preserve">AI will transform how consumers plan, shop and make the most of travel. But what does the future look like for premium travellers who expect personalised, memorable experiences and genuine emotional connection?
• In this fireside chat, Virgin Atlantic’s VP Customer Experience &amp; Loyalty, Bethan Lynch, joins Jerry Angrave to share how the airline is embracing innovative use of AI to serve its customers more personally and seamlessly, while upholding its unique culture, built around its people and their unmistakeable warmth and flair. On its journey to become the most loved travel company, Bethan will explain how Virgin Atlantic sees AI as an extension of the human-centred experience. An opportunity to remove friction and make every interaction meaningful and distinctly Virgin, while enabling people to do what only people can do: create trust, build connection and make customers feel genuinely cared for.
• Combining humanity with innovation, also hear how Virgin Atlantic is doubling down on its premium experience across the customer journey, including the rollout of free, high speed Starlink Wi-Fi, new expanded Upper and Premium cabins, investment in award-winning Clubhouses, and a new app integrated with Virgin Atlantic Concierge, powered by OpenAI and built in partnership with Tomoro. Through its brand, people, and the award-winning experience they deliver, Virgin Atlantic is creating emotional connections that last long after the journey ends – building loyalty and enticing customers to choose Virgin Atlantic time and again.</t>
  </si>
  <si>
    <t xml:space="preserve">Fireside Chat: The future outlook for loyalty at Abra Group</t>
  </si>
  <si>
    <t xml:space="preserve">Ralph Piket – Chief Loyalty Officer, Abra Group
Harald Deprosse – Partner, Envolved GmbH</t>
  </si>
  <si>
    <t xml:space="preserve">Ralph Piket, Harald Deprosse</t>
  </si>
  <si>
    <t xml:space="preserve">Abra Group, Envolved GmbH</t>
  </si>
  <si>
    <t xml:space="preserve">Track 3, Pavilion 1</t>
  </si>
  <si>
    <t xml:space="preserve">Presentation: Project ConnectOps: Delivering highly contextualised and realtime information to optimise insights for crew, airport and operational staff</t>
  </si>
  <si>
    <t xml:space="preserve">Rachel Gaud – Ops Digital Transformation Lead, Etihad</t>
  </si>
  <si>
    <t xml:space="preserve">Rachel Gaud</t>
  </si>
  <si>
    <t xml:space="preserve">Etihad</t>
  </si>
  <si>
    <t xml:space="preserve">Track 4 (Pavilion 1)</t>
  </si>
  <si>
    <t xml:space="preserve">Fireside Chat: From mainframe to cloud: Air Canada’s modernisation playbook</t>
  </si>
  <si>
    <t xml:space="preserve">Mel Crocker – CIO, Air Canada
David Peller – General Partner &amp; Founder, If Not You Capital</t>
  </si>
  <si>
    <t xml:space="preserve">Mel Crocker, David Peller</t>
  </si>
  <si>
    <t xml:space="preserve">Air Canada, If Not You Capital</t>
  </si>
  <si>
    <t xml:space="preserve">Track 1 (Pavilion 1)</t>
  </si>
  <si>
    <t xml:space="preserve">Track 1(Pavilion 1)</t>
  </si>
  <si>
    <t xml:space="preserve">Presentation: Becoming a more data driven airport system – collaboration between all stakeholders</t>
  </si>
  <si>
    <t xml:space="preserve">Samuel C. Ehrat – Senior Project Leader, Zurich Airport
Lorenz Wolf – ICT Solution Architect, Zurich Airport</t>
  </si>
  <si>
    <t xml:space="preserve">Samuel C. Ehrat, Lorenz Wolf</t>
  </si>
  <si>
    <t xml:space="preserve">Zurich Airport</t>
  </si>
  <si>
    <t xml:space="preserve">Track 8 (Pavilion 2)</t>
  </si>
  <si>
    <t xml:space="preserve">Presentation: Lisette Looren de Jong-Vonk, Programme Manager Innovation Border Management, Ministry of Justice and Security – The Netherlands</t>
  </si>
  <si>
    <t xml:space="preserve">Lisette Looren de Jong – Programme Manager Innovation Border Management, Ministry of Justice and Security</t>
  </si>
  <si>
    <t xml:space="preserve">Lisette Looren de Jong</t>
  </si>
  <si>
    <t xml:space="preserve">Ministry of Justice and Security</t>
  </si>
  <si>
    <t xml:space="preserve">Presentation: Building the digital airport – using mobile and AI assistance to bridge the digital and physical airport experience</t>
  </si>
  <si>
    <t xml:space="preserve">Jorn Korbi – VP Digital Commercialization, Avinor</t>
  </si>
  <si>
    <t xml:space="preserve">Jorn Korbi</t>
  </si>
  <si>
    <t xml:space="preserve">Avinor</t>
  </si>
  <si>
    <t xml:space="preserve">Track 7 (Pavilion 2)</t>
  </si>
  <si>
    <t xml:space="preserve">Fireside Chat: Legacy to leader: What cultural and digital shift does the industry need for a modern retail transition?</t>
  </si>
  <si>
    <t xml:space="preserve">Julio Rodriguez – Chief Commercial Strategy Officer, IAG
Dennis Cary – Managing Director, Cary Strategic Advisory</t>
  </si>
  <si>
    <t xml:space="preserve">Julio Rodriguez, Dennis Cary</t>
  </si>
  <si>
    <t xml:space="preserve">IAG, Cary Strategic Advisory</t>
  </si>
  <si>
    <t xml:space="preserve">Track 5 (Pavilion 1)</t>
  </si>
  <si>
    <t xml:space="preserve">Presentation: The hardest part of Offer &amp; Order is not Offer &amp; Order</t>
  </si>
  <si>
    <t xml:space="preserve">Ozan Berk Karataş – Senior Program Manager, Airline Retailing &amp; Payments, Turkish Airlines</t>
  </si>
  <si>
    <t xml:space="preserve">Ozan Berk Karataş</t>
  </si>
  <si>
    <t xml:space="preserve">Turkish Airlines</t>
  </si>
  <si>
    <t xml:space="preserve">Track 6 (Pavilion 1)</t>
  </si>
  <si>
    <t xml:space="preserve">Track 6 (Pavillion 1)</t>
  </si>
  <si>
    <t xml:space="preserve">CEO Interview: Joerg Eberhart, CEO, ITA Airways</t>
  </si>
  <si>
    <t xml:space="preserve">Joerg Eberhart – Chief Executive Officer, ITA-Airways
Peter Campbell – Global Transport Correspondent, Financial Times</t>
  </si>
  <si>
    <t xml:space="preserve">Joerg Eberhart, Peter Campbell</t>
  </si>
  <si>
    <t xml:space="preserve">ITA-Airways, Financial Times</t>
  </si>
  <si>
    <t xml:space="preserve">Startup Pitch</t>
  </si>
  <si>
    <t xml:space="preserve">Mission-Critical Legal: Why Departments Need an Operating System, Not Another Assistant</t>
  </si>
  <si>
    <t xml:space="preserve">Katja Nikolaus – CBDO, JUNE GmbH</t>
  </si>
  <si>
    <t xml:space="preserve">Katja Nikolaus</t>
  </si>
  <si>
    <t xml:space="preserve">JUNE GmbH</t>
  </si>
  <si>
    <t xml:space="preserve">Presentation: Airbus' Environmental Blueprint: Pioneering sustainable flight</t>
  </si>
  <si>
    <t xml:space="preserve">Bertrand Lestimé – HO Environment and Sustainability Marketing, Airbus S.A.S</t>
  </si>
  <si>
    <t xml:space="preserve">Bertrand Lestimé</t>
  </si>
  <si>
    <t xml:space="preserve">Airbus S.A.S</t>
  </si>
  <si>
    <t xml:space="preserve">A decade of innovative AI use cases at Lufthansa Group and the agentic AI future</t>
  </si>
  <si>
    <t xml:space="preserve">Dr. Philipp Schade – Head of Business Development &amp; Senior Data Scientist, zeroG</t>
  </si>
  <si>
    <t xml:space="preserve">Dr. Philipp Schade</t>
  </si>
  <si>
    <t xml:space="preserve">zeroG</t>
  </si>
  <si>
    <t xml:space="preserve">Presentation: AI agents and the new front door: How Alaska Airlines is reshaping customer experience</t>
  </si>
  <si>
    <t xml:space="preserve">Andrea Halverson – Director - Contact Center Experience and Innovation, Alaska Airlines
Barry Chester – Head of Airlines, Cresta</t>
  </si>
  <si>
    <t xml:space="preserve">Andrea Halverson, Barry Chester</t>
  </si>
  <si>
    <t xml:space="preserve">Alaska Airlines, Cresta</t>
  </si>
  <si>
    <t xml:space="preserve">Track 2, Pav 1</t>
  </si>
  <si>
    <t xml:space="preserve">Presentation: Leveraging travel fintech to protect revenues and passenger trust during global disruption</t>
  </si>
  <si>
    <t xml:space="preserve">Ella Schreiber – SVP and GM Fintech, Hopper Inc
Karen Romanchuk – Director, Ancillary Revenue, WestJet</t>
  </si>
  <si>
    <t xml:space="preserve">Ella Schreiber, Karen Romanchuk</t>
  </si>
  <si>
    <t xml:space="preserve">Hopper Inc, WestJet</t>
  </si>
  <si>
    <t xml:space="preserve">Presentation: What Offer &amp; Order Looks Like, Live at Riyadh Air</t>
  </si>
  <si>
    <t xml:space="preserve">Sam Chamberlain – Chief Product Officer, FLYR
Tristan Thomas – Global Industry Leader, IBM</t>
  </si>
  <si>
    <t xml:space="preserve">Sam Chamberlain, Tristan Thomas</t>
  </si>
  <si>
    <t xml:space="preserve">FLYR, IBM</t>
  </si>
  <si>
    <t xml:space="preserve">A demo of what was once impossible, and is now live</t>
  </si>
  <si>
    <t xml:space="preserve">Presentation: From transaction to trust – what actually drives airline customer behaviour today</t>
  </si>
  <si>
    <t xml:space="preserve">Peter Smith – SVP Travel, Cover Genius US Trading, LLC</t>
  </si>
  <si>
    <t xml:space="preserve">Peter Smith</t>
  </si>
  <si>
    <t xml:space="preserve">Cover Genius US Trading, LLC</t>
  </si>
  <si>
    <t xml:space="preserve">Transforming operations through connected resource and turnaround solutions</t>
  </si>
  <si>
    <t xml:space="preserve">Thomas Sermon – Global Client Director, ZestIoT Technologies B.V.</t>
  </si>
  <si>
    <t xml:space="preserve">Thomas Sermon</t>
  </si>
  <si>
    <t xml:space="preserve">ZestIoT Technologies B.V.</t>
  </si>
  <si>
    <t xml:space="preserve">Panel: Strategy in a Changing Commercial Landscape – What will define the airline loyalty industry as we move into 2027?</t>
  </si>
  <si>
    <t xml:space="preserve">Nejib Ben-Khedher – Divisional Senior Vice President, Skywards, EMIRATES GROUP
Ralph Piket – Chief Loyalty Officer, Abra Group
Pedro Ribeiro – Loyalty Director, Tap Air Portugal</t>
  </si>
  <si>
    <t xml:space="preserve">Nejib Ben-Khedher, Ralph Piket, Pedro Ribeiro</t>
  </si>
  <si>
    <t xml:space="preserve">EMIRATES GROUP, Abra Group, Tap Air Portugal</t>
  </si>
  <si>
    <t xml:space="preserve">Track 3 (Pavillion 1)</t>
  </si>
  <si>
    <t xml:space="preserve">Process optimisation: How can we make smoother processes, where can I go with new business models, what could be used better
• Moving loyalty closer to the commercial and digital core: aligning with revenue management, sales, and marketing
• How can programs cut through AI buzzwords to examine real use cases and the ROI metrics that actually matter?
• What will define loyalty leadership in the next decade?</t>
  </si>
  <si>
    <t xml:space="preserve">Panel: The airport terminal is changing – how are airports rethinking non-aero revenue with the wider passenger experience in mind?</t>
  </si>
  <si>
    <t xml:space="preserve">Arturs Saveljevs – Board member and CCO, Riga International Airport
Jorn Korbi – VP Digital Commercialization, Avinor
Gintare Norvilaite-Tautevice – Chief Commercial Officer, Lithuanian Airports</t>
  </si>
  <si>
    <t xml:space="preserve">Arturs Saveljevs, Jorn Korbi, Gintare Norvilaite-Tautevice</t>
  </si>
  <si>
    <t xml:space="preserve">Riga International Airport, Avinor, Lithuanian Airports</t>
  </si>
  <si>
    <t xml:space="preserve">As airports digitise more of the journey, how are they rethinking retail, services and the overall passenger experience?
• How do airports balance dwell time, flow and frictionless processing with the need to protect non-aero revenue?
• Lounges and premium services are growing- how are airports working with partners to expand these offerings?
• What new partnership models are emerging between airports, brands and commercial operators?
• Where is the gap between measured performance (OTP, flow) and perceived experience?
• How should we evolve when passenger expectations, capacity constraints and digital journeys are shifting?
• Where are airports seeing the most promising opportunities for future non-aero growth?</t>
  </si>
  <si>
    <t xml:space="preserve">Presentation: Payments that drive the CFO agenda</t>
  </si>
  <si>
    <t xml:space="preserve">Kevin Murphy – Group CEO, CellPoint</t>
  </si>
  <si>
    <t xml:space="preserve">Kevin Murphy</t>
  </si>
  <si>
    <t xml:space="preserve">CellPoint</t>
  </si>
  <si>
    <t xml:space="preserve">Presentation: A Shared Flight Path: Creating Value Through Airline–Airport Collaboration</t>
  </si>
  <si>
    <t xml:space="preserve">Jitender Mohan – EVP &amp; Business Unit Head, Travel &amp; Hospitality, WNS Global Services (UK) Limited
Matthew Robinson – Vice President, Airports, Capgemini</t>
  </si>
  <si>
    <t xml:space="preserve">Jitender Mohan, Matthew Robinson</t>
  </si>
  <si>
    <t xml:space="preserve">WNS Global Services (UK) Limited, Capgemini</t>
  </si>
  <si>
    <t xml:space="preserve">Airlines and airports share a common goal of delivering seamless passenger journeys and operational excellence, yet often operate with different priorities and systems.
• As capacity constraints, operational complexity and passenger expectations intensify, greater collaboration presents an opportunity to unlock shared value.
• This session explores how airlines and airports can move beyond individual optimisation towards connected operations, shared insights and strategic partnerships that enhance passenger experience, improve efficiency and drive sustainable growth.
• Key Takeaways
• Shared Value: Moving beyond individual optimisation to unlock mutual benefits for airlines, airports and passengers.
• Passenger Experience &amp; Operational Excellence: Enabling seamless journeys, improved efficiency and better capacity utilisation through closer collaboration.
• Data-Driven Collaboration: Leveraging shared insights, connected technologies and strategic partnerships to drive smarter decisions and sustainable growth.</t>
  </si>
  <si>
    <t xml:space="preserve">ONE Order, Many Products: Holidays and Ancillaries in a Single Airline Order</t>
  </si>
  <si>
    <t xml:space="preserve">Pete Pohlschmidt – CCO, Altovo</t>
  </si>
  <si>
    <t xml:space="preserve">Pete Pohlschmidt</t>
  </si>
  <si>
    <t xml:space="preserve">Altovo</t>
  </si>
  <si>
    <t xml:space="preserve">Presentation: DPAX: The next generation of passenger disruption management</t>
  </si>
  <si>
    <t xml:space="preserve">Matias Escobar – EVP, Strategy and Innovation, Accommodations Plus International (API)</t>
  </si>
  <si>
    <t xml:space="preserve">Matias Escobar</t>
  </si>
  <si>
    <t xml:space="preserve">Accommodations Plus International (API)</t>
  </si>
  <si>
    <t xml:space="preserve">Fireside Chat: Route to Net Zero: Ambition, Regulation and Reality</t>
  </si>
  <si>
    <t xml:space="preserve">Owain Jones – Chief Corporate Officer, Wizz Air Hungary Ltd
Patrick Edmond – Chief Commercial Officer, Future Energy Global</t>
  </si>
  <si>
    <t xml:space="preserve">Owain Jones, Patrick Edmond</t>
  </si>
  <si>
    <t xml:space="preserve">Wizz Air Hungary Ltd, Future Energy Global</t>
  </si>
  <si>
    <t xml:space="preserve">Cleared for Take-Off: Building Cyber Resilience Across the Aviation Ecosystem</t>
  </si>
  <si>
    <t xml:space="preserve">Daniel Forrester – CEO, Cybernet Secure</t>
  </si>
  <si>
    <t xml:space="preserve">Daniel Forrester</t>
  </si>
  <si>
    <t xml:space="preserve">Cybernet Secure</t>
  </si>
  <si>
    <t xml:space="preserve">Presentation: Founded in data, powered by AI: Real-time answers for airline operations</t>
  </si>
  <si>
    <t xml:space="preserve">Eugenia Martinez – Solutions Engineer, ThoughtSpot</t>
  </si>
  <si>
    <t xml:space="preserve">Eugenia Martinez</t>
  </si>
  <si>
    <t xml:space="preserve">ThoughtSpot</t>
  </si>
  <si>
    <t xml:space="preserve">Panel: How can we enable customers to feel in-control during unavoidable disruption?</t>
  </si>
  <si>
    <t xml:space="preserve">Sheryl Lee – Senior Manager- IRROPS Programs &amp; Strategy, United Airlines
Emre Devrim – Product &amp; Customer Experience Manager, Ajet
Katy Cardwell – Director of Digital Customer Experience, British Airways</t>
  </si>
  <si>
    <t xml:space="preserve">Sheryl Lee, Emre Devrim, Katy Cardwell</t>
  </si>
  <si>
    <t xml:space="preserve">United Airlines, Ajet, British Airways</t>
  </si>
  <si>
    <t xml:space="preserve">How is technology helping airlines to improve the impact and experience of disruption on cutomers?
• Empowering customers with facts, options and choice: is this vision achievable?
• The power of self-service: how have airlines empowered customers to determine their own experience</t>
  </si>
  <si>
    <t xml:space="preserve">CEO Interview: Marcus Schnabel, CEO, SunExpress</t>
  </si>
  <si>
    <t xml:space="preserve">Marcus Schnabel – CEO, SunExpress Airlines
Peter Campbell – Global Transport Correspondent, Financial Times</t>
  </si>
  <si>
    <t xml:space="preserve">Marcus Schnabel, Peter Campbell</t>
  </si>
  <si>
    <t xml:space="preserve">SunExpress Airlines, Financial Times</t>
  </si>
  <si>
    <t xml:space="preserve">Panel: Digital identity in aviation – who builds the trust layer for seamless travel?</t>
  </si>
  <si>
    <t xml:space="preserve">Maurice Jenkins – Chief Innovation Officer, Miami International Airport
Amin Lalani – Product Leader of Airport &amp; Sky Club Digital Products &amp; Experiences, Delta Air Lines
Lisette Looren de Jong – Programme Manager Innovation Border Management, Ministry of Justice and Security</t>
  </si>
  <si>
    <t xml:space="preserve">Maurice Jenkins, Amin Lalani, Lisette Looren de Jong</t>
  </si>
  <si>
    <t xml:space="preserve">Miami International Airport, Delta Air Lines, Ministry of Justice and Security</t>
  </si>
  <si>
    <t xml:space="preserve">What has changed recently that could finally enable broader biometric travel deployment?
• Global interoperability: what role should standards like IATA One ID, ICAO Digital Travel Credentials and digital identity wallets play?
• What data exchange and connectivity infrastructure is needed to link airlines, airports and border agencies?
• Who ultimately owns and operates digital identity infrastructure across the ecosystem - airlines, airports, governments or global bodies?
• Looking ahead to 2030, will passengers realistically be able to travel end-to-end without presenting a traditional passport?</t>
  </si>
  <si>
    <t xml:space="preserve">Presentation: Beyond Legacy: The Uncomfortable Truth About Airline Payments</t>
  </si>
  <si>
    <t xml:space="preserve">Victor Gaarenstroom – Global Travel &amp; Mobility Lead, adyen
Greg Toussaint – Director, Edgar, Dunn &amp; Company</t>
  </si>
  <si>
    <t xml:space="preserve">Victor Gaarenstroom, Greg Toussaint</t>
  </si>
  <si>
    <t xml:space="preserve">adyen, Edgar, Dunn &amp; Company</t>
  </si>
  <si>
    <t xml:space="preserve">Fresh off the press: Adyen and Edgar, Dunn &amp; Company explore evolving traveler expectations and how airlines can break free from legacy payments that hold back innovation, speed and performance, and unlock the next frontier in airline payments.</t>
  </si>
  <si>
    <t xml:space="preserve">Next-gen ancillaries: algorithmic pricing, automation and regulatory shifts</t>
  </si>
  <si>
    <t xml:space="preserve">Julio Rodriguez – Chief Commercial Strategy Officer, IAG
Tiddo Veldhuis – VP Offer Management &amp; Ancillaries, Air France KLM
Juan Pablo Lafosse – CEO, TravelX</t>
  </si>
  <si>
    <t xml:space="preserve">Julio Rodriguez, Tiddo Veldhuis, Juan Pablo Lafosse</t>
  </si>
  <si>
    <t xml:space="preserve">IAG, Air France KLM, TravelX</t>
  </si>
  <si>
    <t xml:space="preserve">How will new baggage regulations impact airlines’ revenue models and pricing strategies?
• Could predictive analytics help to drive the purchase of premium services?
• Can AI help to make prices clearer while still allowing airlines to offer unbundled ancillaries?
• How can airlines integrate high-margin lifestyle ancillaries, such as hotels or experiences, directly into the booking flow?
• How can real-time data orchestration automate instant payouts for flight delays to turn disruption into a service win?</t>
  </si>
  <si>
    <t xml:space="preserve">The human experience, both sides: where AI makes CX and where it breaks it</t>
  </si>
  <si>
    <t xml:space="preserve">Sindhu Shekharan – VP Customer Success, Sutherland Global Services Inc.</t>
  </si>
  <si>
    <t xml:space="preserve">Sindhu Shekharan</t>
  </si>
  <si>
    <t xml:space="preserve">Sutherland Global Services Inc.</t>
  </si>
  <si>
    <t xml:space="preserve">The customer journey. The talk walks through specific moments and shows the result at each one.Abstract: AI's effect on customer experience is not uniform. It depends on the moment. Across industries, the same technology that delights customers at booking frustrates them during disruption. we will maps where AI makes and breaks the human experience across key service moments, using evidence from multiple industries, and translates the findings into the airline journey: booking, disruption, refunds and rebooking.</t>
  </si>
  <si>
    <t xml:space="preserve">Presentation: Autopilot was never unsupervised</t>
  </si>
  <si>
    <t xml:space="preserve">Alexander Laurie – GTM CTO, PING IDENTITY</t>
  </si>
  <si>
    <t xml:space="preserve">Alexander Laurie</t>
  </si>
  <si>
    <t xml:space="preserve">PING IDENTITY</t>
  </si>
  <si>
    <t xml:space="preserve">What happens when AI Agents book the tickets, spend the miles and speak to your customers</t>
  </si>
  <si>
    <t xml:space="preserve">Panel: Airports are full of data – how do we turn this into better real-time decision making?</t>
  </si>
  <si>
    <t xml:space="preserve">Gyorgy Farkas – Head of IT Project and Innovation Management, Budapest Airport
Samuel í Hjøllum Rude – Vice President, Head of Operational Airport Services, Copenhagen Airports
Nishant Rao – Director, Aviation Business Development, Nieuport Aviation</t>
  </si>
  <si>
    <t xml:space="preserve">Gyorgy Farkas, Samuel í Hjøllum Rude, Nishant Rao</t>
  </si>
  <si>
    <t xml:space="preserve">Budapest Airport, Copenhagen Airports, Nieuport Aviation</t>
  </si>
  <si>
    <t xml:space="preserve">Airports are collecting more operational data than ever, but where are operations team still struggling to turn it into action?
• Passenger flow, turnaround visibility and resource allocation are increasingly connected. How do airports bring these datasets together in a useful way?
• How do airports balance airline demand for slots with operational and capacity constraints? How does good data help here?
• AI is moving quickly, but weak data foundations still hold many projects back. What has to be fixed first?
• Looking ahead, what will define an intelligent airport operating model over the next five years?</t>
  </si>
  <si>
    <t xml:space="preserve">Passtination: Powering Loyalty Beyond the Flight</t>
  </si>
  <si>
    <t xml:space="preserve">Safir Jamal – Founder &amp; CEO, Passtination</t>
  </si>
  <si>
    <t xml:space="preserve">Safir Jamal</t>
  </si>
  <si>
    <t xml:space="preserve">Passtination</t>
  </si>
  <si>
    <t xml:space="preserve">Panel: Scaling sustainable aviation fuel – who carries the risk, cost and responsibility?</t>
  </si>
  <si>
    <t xml:space="preserve">Ulrike Ziegler – President of the Board of Directors, Impact on Sustainable Aviation
Maria Whittaker – Chief Corporate Responsibility Officer, Abra Group
Jan Petter Steinland – Director Strategic Analysis &amp; Transformation, Civil Aviation Authority Norway</t>
  </si>
  <si>
    <t xml:space="preserve">Ulrike Ziegler, Maria Whittaker, Jan Petter Steinland</t>
  </si>
  <si>
    <t xml:space="preserve">Impact on Sustainable Aviation, Abra Group, Civil Aviation Authority Norway</t>
  </si>
  <si>
    <t xml:space="preserve">One year into policies like RefuelEU, what has changed and are airlines now facing uneven regional pressures?
• Is SAF still supply-constrained, or are investment risk, production economics and market demand now the biggest barriers to scale?
• Where is collaboration between airlines, fuel producers, airports and governments working, and where is it breaking down?
• As carbon pricing expands and compliance costs rise, how does this change the business case for SAF compared with other decarbonization pathways?
• As geopolitical uncertainty continues, how resilient is the long-term business case for SAF?
• What would a functioning SAF market look like by 2030?</t>
  </si>
  <si>
    <t xml:space="preserve">CEO Panel: Strategy, competition and innovation in a disruptive environment</t>
  </si>
  <si>
    <t xml:space="preserve">Marcus Schnabel – CEO, SunExpress Airlines
Theo Panagiotoulias – Chief Executive Officer, Star Alliance
Sunil John – CEO, PROS</t>
  </si>
  <si>
    <t xml:space="preserve">Marcus Schnabel, Theo Panagiotoulias, Sunil John</t>
  </si>
  <si>
    <t xml:space="preserve">SunExpress Airlines, Star Alliance, PROS</t>
  </si>
  <si>
    <t xml:space="preserve">Investing in AI transformation to support long term goals
• Creating smart business models to compete effectively in a complex global market
• Identifying new opportunities for collaboration &amp; growth
• Creating next-gen products to meet the expectations of next-gen customers</t>
  </si>
  <si>
    <t xml:space="preserve">Panel: Creating safe &amp; effective foundations for AI transformation within the airline</t>
  </si>
  <si>
    <t xml:space="preserve">Ben Dias – Chief AI Scientist, IAG
Dirk Jungnickel – SVP Enterprise Data &amp; Analytics, Emirates Airline
Kevin Lynn – Director – Crew Scheduling Technology, United Airlines</t>
  </si>
  <si>
    <t xml:space="preserve">Ben Dias, Dirk Jungnickel, Kevin Lynn</t>
  </si>
  <si>
    <t xml:space="preserve">IAG, Emirates Airline, United Airlines</t>
  </si>
  <si>
    <t xml:space="preserve">What are the priorities for leaders who are focused on creating a safe &amp; reliable AI frameworks?
• Building safety into the core of AI usage in Aviation: balancing innovation with risk integrity
• How can Airlines best measure the quality and sophistication of their AI maturity?
• Building today with tomorrow’s technology innovation in mind: how can leaders build IT platforms in a fast paced tech space</t>
  </si>
  <si>
    <t xml:space="preserve">Panel: Payments, retailing &amp; offer-order: what changes when retail changes?</t>
  </si>
  <si>
    <t xml:space="preserve">Yago Casasnovas – Head of Payments, Fraud Prevention and Distribution, Air Europa
Shaun Donaghey – Chief Commercial Officer, CellPoint
Dennis Lore – Payments Reconciliations and Credit Risk Accountant Manager, Kenya Airways</t>
  </si>
  <si>
    <t xml:space="preserve">Yago Casasnovas, Shaun Donaghey, Dennis Lore</t>
  </si>
  <si>
    <t xml:space="preserve">Air Europa, CellPoint, Kenya Airways</t>
  </si>
  <si>
    <t xml:space="preserve">In an offer-order world, how must payment authorisation, settlement and refunds evolve to avoid operational complexity?
• As orders replace tickets, what new payment and servicing processes are required across the airline ecosystem?
• How can airlines reduce cost of sale across NDC, aggregators and OTAs without damaging conversion or partner reach?
• How are fintech and travel platforms reshaping ancillary revenue and the checkout experience?
• What is the future of agency payment - VCCs, A2A and new settlement models?
• How are airlines reorganising internally to align commercial, distribution and payments teams around retailing transformation?</t>
  </si>
  <si>
    <t xml:space="preserve">Panel: How do we drive revenue, resilience and measure return on tech investment?</t>
  </si>
  <si>
    <t xml:space="preserve">Mel Crocker – CIO, Air Canada
Dan Bartel – Chief Procurement Officer, American Airlines
Massimo Morin – Global Head, Travel, AWS for Travel and Hospitality, Amazon Web Services, Inc. (SEA54)</t>
  </si>
  <si>
    <t xml:space="preserve">Mel Crocker, Dan Bartel, Massimo Morin</t>
  </si>
  <si>
    <t xml:space="preserve">Air Canada, American Airlines, Amazon Web Services, Inc. (SEA54)</t>
  </si>
  <si>
    <t xml:space="preserve">Where should airlines place their biggest technology bets for 2026–2028 – core systems modernisation, AI, cloud or infrastructure resilience?
• How do airlines modernise legacy systems while continuing to operate at scale without creating parallel complexity?
• When budgets tighten, how do we distinguish between essential investment and “nice to have” innovation?
• Which technology investments are genuinely delivering measurable value across the airline – from automation to AI and core platform upgrades?</t>
  </si>
  <si>
    <t xml:space="preserve">Panel: Supporting the full customer journey with effective customer care: From the importance of human touch to the power of digital</t>
  </si>
  <si>
    <t xml:space="preserve">Marco Barbosa – Directior of Guest Care and Delivery, Etihad
Jason Ward – Chief Customer Officer, Azul Airlines
Renato Ramos – Vice President Corporate Strategy, Star Alliance</t>
  </si>
  <si>
    <t xml:space="preserve">Marco Barbosa, Jason Ward, Renato Ramos</t>
  </si>
  <si>
    <t xml:space="preserve">Etihad, Azul Airlines, Star Alliance</t>
  </si>
  <si>
    <t xml:space="preserve">How can airlines navigate smart multi-channel customer communications to optimise cost and increase customer support
• Supporting insights with relevant data streams for colleagues and tech support to support customers effectively and efficiently
• Shaping the long-term communications strategy: what will the future look like with AI and agentic AI in the mix?</t>
  </si>
  <si>
    <t xml:space="preserve">FlyBuddy: Guiding Passengers, Empowering Airports</t>
  </si>
  <si>
    <t xml:space="preserve">Eoin Mcnamara – Co-Founder &amp; Chief Operating Officer, FlyBuddy
Michael Murphy – Co-Founder &amp; Chief Executive Officer, FlyBuddy</t>
  </si>
  <si>
    <t xml:space="preserve">Eoin Mcnamara, Michael Murphy</t>
  </si>
  <si>
    <t xml:space="preserve">FlyBuddy</t>
  </si>
  <si>
    <t xml:space="preserve">From Information Desk to Personal AI Concierge: Turning Every Passenger Interaction into Experience and Revenue</t>
  </si>
  <si>
    <t xml:space="preserve">Samuel Chekroun – CEO, Hubway</t>
  </si>
  <si>
    <t xml:space="preserve">Samuel Chekroun</t>
  </si>
  <si>
    <t xml:space="preserve">Hubway</t>
  </si>
  <si>
    <t xml:space="preserve">IBS Workshop Transformation into an agentic AI lead loyalty and aviation organisation **REGISTRATION REQUIRED - Airline &amp; Airport access only anyone else will be turned away**</t>
  </si>
  <si>
    <t xml:space="preserve">Christopher Branagan</t>
  </si>
  <si>
    <t xml:space="preserve">Track3, Pavilion 1</t>
  </si>
  <si>
    <t xml:space="preserve">Connecting Airlines is only the beginning (From fragmented airline distribution to intelligent corporate travel management)</t>
  </si>
  <si>
    <t xml:space="preserve">Abdurrahman Ural – CCO, AIRVIATECH</t>
  </si>
  <si>
    <t xml:space="preserve">Abdurrahman Ural</t>
  </si>
  <si>
    <t xml:space="preserve">AIRVIATECH</t>
  </si>
  <si>
    <t xml:space="preserve">Adobe Workshop: Beyond the co-pilot: The next era of customer experience **REGISRATION REQUIRED**</t>
  </si>
  <si>
    <t xml:space="preserve">Gemma Carver
Bettina Pickl</t>
  </si>
  <si>
    <t xml:space="preserve">Gemma Carver, Bettina Pickl</t>
  </si>
  <si>
    <t xml:space="preserve">Track 2 (Pavilion 2)</t>
  </si>
  <si>
    <t xml:space="preserve">Track 2, Pavilion 2</t>
  </si>
  <si>
    <t xml:space="preserve">Operational resilience isn't built in the Ops center. It's built in the roster. **Registration required**</t>
  </si>
  <si>
    <t xml:space="preserve">Lauren Mann
Kevin Ma
Gregory Stephans</t>
  </si>
  <si>
    <t xml:space="preserve">Lauren Mann, Kevin Ma, Gregory Stephans</t>
  </si>
  <si>
    <t xml:space="preserve">OpenAir — Agentic Revolution for Airlines Customer Services</t>
  </si>
  <si>
    <t xml:space="preserve">Jaime Fernandez – CEO, Openair</t>
  </si>
  <si>
    <t xml:space="preserve">Jaime Fernandez</t>
  </si>
  <si>
    <t xml:space="preserve">Openair</t>
  </si>
  <si>
    <t xml:space="preserve">Star Alliance CEOs Panel: From fragmented to frictionless: Rethinking alliance travel</t>
  </si>
  <si>
    <t xml:space="preserve">Theo Panagiotoulias – Chief Executive Officer, Star Alliance
Luís Rodrigues – Chief Executive Officer, Tap Air Portugal
Joerg Eberhart – Chief Executive Officer, ITA-Airways</t>
  </si>
  <si>
    <t xml:space="preserve">Theo Panagiotoulias, Luís Rodrigues, Joerg Eberhart</t>
  </si>
  <si>
    <t xml:space="preserve">Star Alliance, Tap Air Portugal, ITA-Airways</t>
  </si>
  <si>
    <t xml:space="preserve">Your AI assistants are now booking your flights</t>
  </si>
  <si>
    <t xml:space="preserve">Dimitri Ewald – Head of Growth Europe, ALPIC</t>
  </si>
  <si>
    <t xml:space="preserve">Dimitri Ewald</t>
  </si>
  <si>
    <t xml:space="preserve">ALPIC</t>
  </si>
  <si>
    <t xml:space="preserve">Half of what we load is thrown away. Is a 25% waste rate achievable today?</t>
  </si>
  <si>
    <t xml:space="preserve">Manuel Hübschmann – Chief Solution Advisor, Viktio</t>
  </si>
  <si>
    <t xml:space="preserve">Manuel Hübschmann</t>
  </si>
  <si>
    <t xml:space="preserve">Viktio</t>
  </si>
  <si>
    <t xml:space="preserve">Aviation Connect: Session 4</t>
  </si>
  <si>
    <t xml:space="preserve">Aviation Connect Zone, Pavilion 2</t>
  </si>
  <si>
    <t xml:space="preserve">Commercial leaders fireside chat: Paul Verhagen, CCO, SAS</t>
  </si>
  <si>
    <t xml:space="preserve">Paul Verhagen – Executive Vice President and Chief Commercial Officer, SAS
Henry Harteveldt – Travel Industry Analyst, Atmosphere Research Group</t>
  </si>
  <si>
    <t xml:space="preserve">Paul Verhagen, Henry Harteveldt</t>
  </si>
  <si>
    <t xml:space="preserve">SAS, Atmosphere Research Group</t>
  </si>
  <si>
    <t xml:space="preserve">Keynote Stage, Pavilion 1</t>
  </si>
  <si>
    <t xml:space="preserve">Fireside Chat: Building an AI-led airline – from ambition to execution</t>
  </si>
  <si>
    <t xml:space="preserve">Ahmed Naeemi – Chief Information Officer, Gulf Air Group
Guido Woska – Chief Client Officer &amp; Executive Partner, Manyone</t>
  </si>
  <si>
    <t xml:space="preserve">Ahmed Naeemi, Guido Woska</t>
  </si>
  <si>
    <t xml:space="preserve">Gulf Air Group, Manyone</t>
  </si>
  <si>
    <t xml:space="preserve">Fireside chat: Putting the customer first with data driven decision making at Iberia</t>
  </si>
  <si>
    <t xml:space="preserve">Beatriz Guillen – Chief Customer Officer, Iberia
Jerry Angrave – Customer Experience Director, Empathyce</t>
  </si>
  <si>
    <t xml:space="preserve">Beatriz Guillen, Jerry Angrave</t>
  </si>
  <si>
    <t xml:space="preserve">Iberia, Empathyce</t>
  </si>
  <si>
    <t xml:space="preserve">Presentation: Driving efficiency in innovation with AI: finding real value and impact at TUI</t>
  </si>
  <si>
    <t xml:space="preserve">Manjinder Singh – Head of Airline Data Science &amp; Analytics, TUI GROUP</t>
  </si>
  <si>
    <t xml:space="preserve">Manjinder Singh</t>
  </si>
  <si>
    <t xml:space="preserve">TUI GROUP</t>
  </si>
  <si>
    <t xml:space="preserve">Fireside Chat: Bringing the benefits of NDC to corporates: Delivering seamless booking and travel management capabilities for high value travellers</t>
  </si>
  <si>
    <t xml:space="preserve">Paloma Sanz de Andino Jimenéz – NDC Onboarding and Operation Manager, Iberia
Dennis Cary – Managing Director, Cary Strategic Advisory
Rita Ribeiro – Head of General Services, EDP</t>
  </si>
  <si>
    <t xml:space="preserve">Paloma Sanz de Andino Jimenéz, Dennis Cary, Rita Ribeiro</t>
  </si>
  <si>
    <t xml:space="preserve">Iberia, Cary Strategic Advisory, EDP</t>
  </si>
  <si>
    <t xml:space="preserve">Fireside Chat with Cassie Schmid, Chief Strategy Officer, Philadelphia International Airport</t>
  </si>
  <si>
    <t xml:space="preserve">Cassie Schmid – Chief Strategy Officer, Philadelphia International Airport
Peta Wolmarans – Vice President, Ricondo</t>
  </si>
  <si>
    <t xml:space="preserve">Cassie Schmid, Peta Wolmarans</t>
  </si>
  <si>
    <t xml:space="preserve">Philadelphia International Airport, Ricondo</t>
  </si>
  <si>
    <t xml:space="preserve">Fireside Chat: Jan Petter Steinland, Director Strategic Analysis and Transformation, CAA Norway</t>
  </si>
  <si>
    <t xml:space="preserve">Jan Petter Steinland – Director Strategic Analysis &amp; Transformation, Civil Aviation Authority Norway
Patrick Edmond – Chief Commercial Officer, Future Energy Global</t>
  </si>
  <si>
    <t xml:space="preserve">Jan Petter Steinland, Patrick Edmond</t>
  </si>
  <si>
    <t xml:space="preserve">Civil Aviation Authority Norway, Future Energy Global</t>
  </si>
  <si>
    <t xml:space="preserve">Presentation: Airline retailing progress - what do airline employees really think?</t>
  </si>
  <si>
    <t xml:space="preserve">Ann Cederhall – Owner, LeapShift</t>
  </si>
  <si>
    <t xml:space="preserve">Ann Cederhall</t>
  </si>
  <si>
    <t xml:space="preserve">LeapShift</t>
  </si>
  <si>
    <t xml:space="preserve">Track 4, Pav 1</t>
  </si>
  <si>
    <t xml:space="preserve">From Frequent Flyer to Founder: The Story Behind Stand-By Transforming the Boarding Experience</t>
  </si>
  <si>
    <t xml:space="preserve">Cesar Hueso – Founder, Stand-By CHO Systems</t>
  </si>
  <si>
    <t xml:space="preserve">Cesar Hueso</t>
  </si>
  <si>
    <t xml:space="preserve">Stand-By CHO Systems</t>
  </si>
  <si>
    <t xml:space="preserve">Fireside Chat: Airline &amp; airport partnerships – aligning operations, experience and commercial outcomes</t>
  </si>
  <si>
    <t xml:space="preserve">Girish Nair – Chief Operating Officer, Bangalore International Airport
Simon Wilcox – Founder and CEO, Wordsworth Consulting Ltd</t>
  </si>
  <si>
    <t xml:space="preserve">Girish Nair, Simon Wilcox</t>
  </si>
  <si>
    <t xml:space="preserve">Bangalore International Airport, Wordsworth Consulting Ltd</t>
  </si>
  <si>
    <t xml:space="preserve">Fireside Chat: The customer side of airline payments – trust, loyalty and engagement</t>
  </si>
  <si>
    <t xml:space="preserve">Joao Frias – Head of Payments Strategy &amp; Global Fraud, Tap Air Portugal
Louis Wapler – Manager, Edgar, Dunn &amp; Company</t>
  </si>
  <si>
    <t xml:space="preserve">Joao Frias, Louis Wapler</t>
  </si>
  <si>
    <t xml:space="preserve">Tap Air Portugal, Edgar, Dunn &amp; Company</t>
  </si>
  <si>
    <t xml:space="preserve">Fireside Chat: Chasing the golden goose: Optimising revenue whilst protecting loyalty value in a pressurised environment.</t>
  </si>
  <si>
    <t xml:space="preserve">DANIEL BRETT – Manager, Revenue Management - Loyalty Programs &amp; Flight Pass, Air Canada
Harald Deprosse – Partner, Envolved GmbH</t>
  </si>
  <si>
    <t xml:space="preserve">DANIEL BRETT, Harald Deprosse</t>
  </si>
  <si>
    <t xml:space="preserve">Air Canada, Envolved GmbH</t>
  </si>
  <si>
    <t xml:space="preserve">Presentation: Sustainability strategy - delivering carbon neutrality in a competitive low-cost model</t>
  </si>
  <si>
    <t xml:space="preserve">Takuya MATSUO – Executive officer/CMO, Strategy Lead, ZIPAIR Tokyo</t>
  </si>
  <si>
    <t xml:space="preserve">Takuya MATSUO</t>
  </si>
  <si>
    <t xml:space="preserve">ZIPAIR Tokyo</t>
  </si>
  <si>
    <t xml:space="preserve">Presentation: An introduction to beyond: Turkish Technology modern airline retailing platform</t>
  </si>
  <si>
    <t xml:space="preserve">Serdar Gurbuz – CEO, Turkish Technology</t>
  </si>
  <si>
    <t xml:space="preserve">Serdar Gurbuz</t>
  </si>
  <si>
    <t xml:space="preserve">Turkish Technology</t>
  </si>
  <si>
    <t xml:space="preserve">Why 89% of Travel Checkouts Fail – and How Identity Fixes It</t>
  </si>
  <si>
    <t xml:space="preserve">Kameron Bertine – CEO and Cofounder, Movmo</t>
  </si>
  <si>
    <t xml:space="preserve">Kameron Bertine</t>
  </si>
  <si>
    <t xml:space="preserve">Movmo</t>
  </si>
  <si>
    <t xml:space="preserve">Fireside Chat: Inside the OCC: what really works with data and Ai</t>
  </si>
  <si>
    <t xml:space="preserve">Paulo Aguiar – VP of Airline Solutions &amp; Strategy, Amach
Choorah Singh Ark – Managing Director, Ark Advisory</t>
  </si>
  <si>
    <t xml:space="preserve">Paulo Aguiar, Choorah Singh Ark</t>
  </si>
  <si>
    <t xml:space="preserve">Amach, Ark Advisory</t>
  </si>
  <si>
    <t xml:space="preserve">Choorah Singh, who has led operations at Air India and Ryanair, joins Paulo Aguiar from Amach for an honest conversation from inside the Operations Control Centre: what really works with data and AI when the day goes wrong, what doesn’t, and what every airline should fix before buying its next AI tool.</t>
  </si>
  <si>
    <t xml:space="preserve">Fireside Chat: Elevating economy: How TAP Air Portugal is redefining the premium experience to drive growth</t>
  </si>
  <si>
    <t xml:space="preserve">Henri-Charles Ozarovsky – Group Head of Strategy &amp; SVP Strategy, Alliances &amp; Partnerships, Tap Air Portugal</t>
  </si>
  <si>
    <t xml:space="preserve">Henri-Charles Ozarovsky</t>
  </si>
  <si>
    <t xml:space="preserve">Track 2, Pavilion 1</t>
  </si>
  <si>
    <t xml:space="preserve">Presentation: Beyond discoverability: Who owns the offer in the age of AI?</t>
  </si>
  <si>
    <t xml:space="preserve">Schafer Newman – Strategy and Insights Manager, ZS Associates
Massimo Morin – Global Head, Travel, AWS for Travel and Hospitality, Amazon Web Services, Inc. (SEA54)</t>
  </si>
  <si>
    <t xml:space="preserve">Schafer Newman, Massimo Morin</t>
  </si>
  <si>
    <t xml:space="preserve">ZS Associates, Amazon Web Services, Inc. (SEA54)</t>
  </si>
  <si>
    <t xml:space="preserve">Panel: The 'Everyday' Ecosystem – Integrating real-time loyalty into the daily life</t>
  </si>
  <si>
    <t xml:space="preserve">Phillip Dugaw – Director partner strategy, American airlines
Kai Paroma – Manager, Loyalty Partnerships, Finnair
Yilmaz Gorali – Vice President, Airline Retailing - Product Development, Turkish Technology</t>
  </si>
  <si>
    <t xml:space="preserve">Phillip Dugaw, Kai Paroma, Yilmaz Gorali</t>
  </si>
  <si>
    <t xml:space="preserve">American airlines, Finnair, Turkish Technology</t>
  </si>
  <si>
    <t xml:space="preserve">Presentation: Beyond trends and analytics: The rise of connected aviation intelligence</t>
  </si>
  <si>
    <t xml:space="preserve">Cam Price – Senior Data Scientist, Cirium</t>
  </si>
  <si>
    <t xml:space="preserve">Cam Price</t>
  </si>
  <si>
    <t xml:space="preserve">Cirium</t>
  </si>
  <si>
    <t xml:space="preserve">Aviation organizations have more data than ever before, yet critical decisions still depend on analysts manually piecing together information across disconnected systems, teams and datasets. As data volumes grow and AI becomes more widely available, the challenge is no longer accessing information, it's turning it into intelligence.
• This session explores how aviation can move from fragmented data to connected intelligence. Through real-world examples, discover how combining trusted aviation data, AI-powered analytics and connected relationships across organizations, assets, operations and market dynamics can reveal impacts faster, enabling organizations to improve performance and make more confident decisions.</t>
  </si>
  <si>
    <t xml:space="preserve">Presentation: Aeronova: Building the intelligent enterprise for the next generation airline</t>
  </si>
  <si>
    <t xml:space="preserve">Erika Moore – Chief Officer Strategy and Growth, TTH, Coforge U.k. Limited</t>
  </si>
  <si>
    <t xml:space="preserve">Erika Moore</t>
  </si>
  <si>
    <t xml:space="preserve">Coforge U.k. Limited</t>
  </si>
  <si>
    <t xml:space="preserve">Presentation: Train for the Disruption: Building Operational Resilience Before Things Go Wrong</t>
  </si>
  <si>
    <t xml:space="preserve">Enzo Skandella – VP Commercial – Global Aviation, Draxon</t>
  </si>
  <si>
    <t xml:space="preserve">Enzo Skandella</t>
  </si>
  <si>
    <t xml:space="preserve">Draxon</t>
  </si>
  <si>
    <t xml:space="preserve">Fireside Chat: Why flexible payments are becoming a revenue driver for airlines, not just a checkout feature.</t>
  </si>
  <si>
    <t xml:space="preserve">Samer Alhaider – Senior Manager Online Sales, Emirates Airline
Bryony Macdonald – Head of Partner Success, UK, Klarna</t>
  </si>
  <si>
    <t xml:space="preserve">Samer Alhaider, Bryony Macdonald</t>
  </si>
  <si>
    <t xml:space="preserve">Emirates Airline, Klarna</t>
  </si>
  <si>
    <t xml:space="preserve">From Friction to Flow: How TravelDoc Compliance Shapes the Passenger Experience</t>
  </si>
  <si>
    <t xml:space="preserve">Harry Owen – Product Solutions Manager, ICTS Europe Systems</t>
  </si>
  <si>
    <t xml:space="preserve">Harry Owen</t>
  </si>
  <si>
    <t xml:space="preserve">ICTS Europe Systems</t>
  </si>
  <si>
    <t xml:space="preserve">Fireside Chat: Every minute matters: how Ryanair is digitising fuel operations at scale</t>
  </si>
  <si>
    <t xml:space="preserve">Alex Mattos – Co-Founder &amp; Managing Director, i6 Group
Steven Fitzgerald – Director of Sustainability &amp; Finance, Ryanair Holdings PLC</t>
  </si>
  <si>
    <t xml:space="preserve">Alex Mattos, Steven Fitzgerald</t>
  </si>
  <si>
    <t xml:space="preserve">i6 Group, Ryanair Holdings PLC</t>
  </si>
  <si>
    <t xml:space="preserve">Aviation Digitised Every Document Except One: Why Pet Documents Never Made the Transition</t>
  </si>
  <si>
    <t xml:space="preserve">Lauren Anders Brown – CEO &amp; Founder, PadsPass</t>
  </si>
  <si>
    <t xml:space="preserve">Lauren Anders Brown</t>
  </si>
  <si>
    <t xml:space="preserve">PadsPass</t>
  </si>
  <si>
    <t xml:space="preserve">Presentation: When machines shop: The new rules of airline retailing</t>
  </si>
  <si>
    <t xml:space="preserve">Surain Adyanthaya – President, PROS</t>
  </si>
  <si>
    <t xml:space="preserve">Surain Adyanthaya</t>
  </si>
  <si>
    <t xml:space="preserve">PROS</t>
  </si>
  <si>
    <t xml:space="preserve">AI assistants are changing how travelers discover flights and which businesses capture their bookings. PROS research across 80 carriers found that AI referrals drove flight search initiation, a validated proxy for booking, more than seven percentage points above Google Organic. Yet the majority of AI answers naming an airline included no direct link to the carrier.
• What happens when the machine becomes the shopper? This session explores the implications for airline visibility, retailing, and distribution and why being recommended by AI may not be enough to win the customer.</t>
  </si>
  <si>
    <t xml:space="preserve">Presentation: The agentic IROPS: Automating cancellation and passenger recovery at scale</t>
  </si>
  <si>
    <t xml:space="preserve">Alex Desbans – Lead FDE, HappyRobot</t>
  </si>
  <si>
    <t xml:space="preserve">Alex Desbans</t>
  </si>
  <si>
    <t xml:space="preserve">HappyRobot</t>
  </si>
  <si>
    <t xml:space="preserve">Panel: Data platforms, interoperability and AI – are our foundations ready for scale?</t>
  </si>
  <si>
    <t xml:space="preserve">Mustafa Egilmezbilek – CIO, SunExpress Airlines
Ahmed Naeemi – Chief Information Officer, Gulf Air Group
Paulo Aguiar – VP of Airline Solutions &amp; Strategy, Amach</t>
  </si>
  <si>
    <t xml:space="preserve">Mustafa Egilmezbilek, Ahmed Naeemi, Paulo Aguiar</t>
  </si>
  <si>
    <t xml:space="preserve">SunExpress Airlines, Gulf Air Group, Amach</t>
  </si>
  <si>
    <t xml:space="preserve">What does a modern data foundation look like across airline operations, commercial platforms and customer systems?
• How are we using cloud to unify data, scale platforms and support real-time decision making?
• How critical is interoperability between core systems, distribution, operations and partners to unlocking real value?
• Where are airlines still constrained – legacy architecture, integration complexity or fragmented data ownership?
• How do we ensure AI enhances decision-making rather than amplifying poor data or disconnected systems?
• At what point do advanced analytics and AI move from isolated use cases to embedded operational capabilities?</t>
  </si>
  <si>
    <t xml:space="preserve">The Intelligent Cabin: Live Announcement Captioning, Real-Time Translation &amp; a Flight-Aware AI Concierge</t>
  </si>
  <si>
    <t xml:space="preserve">Ali Akbarian – CEO, InovativAI Ltd.</t>
  </si>
  <si>
    <t xml:space="preserve">Ali Akbarian</t>
  </si>
  <si>
    <t xml:space="preserve">InovativAI Ltd.</t>
  </si>
  <si>
    <t xml:space="preserve">How are airlines and their partners are reshaping distribution, retail and the commercial landscape for the modern world</t>
  </si>
  <si>
    <t xml:space="preserve">Maddalena Mirai – VP IAG Group Commercial Strategy, IAG
Ivan Ordas Villamandos – Head of Distribution and Alliances, Frontier Airlines
Rolf Thomke – Head of Digital Distribution Europe, Singapore Airlines Limited</t>
  </si>
  <si>
    <t xml:space="preserve">Maddalena Mirai, Ivan Ordas Villamandos, Rolf Thomke</t>
  </si>
  <si>
    <t xml:space="preserve">IAG, Frontier Airlines, Singapore Airlines Limited</t>
  </si>
  <si>
    <t xml:space="preserve">What role will AI play in offer creation, pricing, merchandising and servicing over the next five years?
• Where are airlines seeing the greatest commercial returns from NDC, dynamic offers and modern retailing?
• Has the industry moved beyond simply implementing NDC to delivering genuine retail transformation?</t>
  </si>
  <si>
    <t xml:space="preserve">Panel: Beyond transactions – loyalty, embedded finance and the future of customer engagement?</t>
  </si>
  <si>
    <t xml:space="preserve">Sean Holdstock – Head of Aviation EMEA, Antom
Joao Frias – Head of Payments Strategy &amp; Global Fraud, Tap Air Portugal
Ian Citulsky – SVP Air and Canada, Flex Pay</t>
  </si>
  <si>
    <t xml:space="preserve">Sean Holdstock, Joao Frias, Ian Citulsky</t>
  </si>
  <si>
    <t xml:space="preserve">Antom, Tap Air Portugal, Flex Pay</t>
  </si>
  <si>
    <t xml:space="preserve">Are airline financial products becoming core to customer strategy?
• How do payment experiences influence loyalty and retention?
• Where do wallets, BNPL and flexible payments genuinely improve customer experience?
• How are airlines balancing monetisation with trust?
• What role does personalisation play in airline commerce?
• Could airlines evolve into broader travel-financial ecosystems?</t>
  </si>
  <si>
    <t xml:space="preserve">Presentation: Scaling insight-driven action with agentic AI</t>
  </si>
  <si>
    <t xml:space="preserve">Danielle Harvey – VP, Travel &amp; Hospitality Strategy, Quantum Metric (UK) Limited</t>
  </si>
  <si>
    <t xml:space="preserve">Danielle Harvey</t>
  </si>
  <si>
    <t xml:space="preserve">Quantum Metric (UK) Limited</t>
  </si>
  <si>
    <t xml:space="preserve">Panel: Building joint operational resilience - how do airports, airlines and handlers move beyond parallel responses?</t>
  </si>
  <si>
    <t xml:space="preserve">Adam Schipper – Global Aviation Lead, Ericsson
Chamith Seneviratne – Manager, Airport Operations, Air Canada
Marc-Philippe Lumpé – Chief Operations Officer, Air Transat</t>
  </si>
  <si>
    <t xml:space="preserve">Adam Schipper, Chamith Seneviratne, Marc-Philippe Lumpé</t>
  </si>
  <si>
    <t xml:space="preserve">Ericsson, Air Canada, Air Transat</t>
  </si>
  <si>
    <t xml:space="preserve">During disruption, where do responsibilities still fracture across airports, airlines and ground handlers?
• What real-time data sharing is needed to move from reactive responses to proactive joint decision-making?
• How can we align incentives when operational KPIs and performance metrics differ?
• Which digital tools are genuinely improving operational coordination across the ecosystem?
• What would a truly integrated and resilient airport operating model look like over the next five years?</t>
  </si>
  <si>
    <t xml:space="preserve">Panel: What is the future for airline ancillary products? Exploring new opportunities, products and services customers value</t>
  </si>
  <si>
    <t xml:space="preserve">Surya Kuchibotla – VP eCommerce, Ancillary and Retailing, OMAN AIR
Sharon Huetson – Head of Proposition, easyJet
Patrick Dowling – VP Partnerships, Airalo</t>
  </si>
  <si>
    <t xml:space="preserve">Surya Kuchibotla, Sharon Huetson, Patrick Dowling</t>
  </si>
  <si>
    <t xml:space="preserve">OMAN AIR, easyJet, Airalo</t>
  </si>
  <si>
    <t xml:space="preserve">There has been a rise in airlines launching full holiday packages: what is the right strategy for airlines wanting to enter this market?
• What trends are our panellists seeing in ancillary products, where are customers truly willing to spend?
• How can airlines encourage further ancillary spend with personalised and smart upgrade offerings?</t>
  </si>
  <si>
    <t xml:space="preserve">Panel: Designing seamless passenger journeys in an increasingly complex airport environment</t>
  </si>
  <si>
    <t xml:space="preserve">Anvar Kasimov – Head of the Strategic Development, Project Management and International Relations Department, Uzbekistan Airports JSC
Cassie Schmid – Chief Strategy Officer, Philadelphia International Airport
Mike Hardaker – Chief Asset and Development Officer, Manchester Airport Group</t>
  </si>
  <si>
    <t xml:space="preserve">Anvar Kasimov, Cassie Schmid, Mike Hardaker</t>
  </si>
  <si>
    <t xml:space="preserve">Uzbekistan Airports JSC, Philadelphia International Airport, Manchester Airport Group</t>
  </si>
  <si>
    <t xml:space="preserve">Where are passengers still experiencing unnecessary friction across the airport journey?
• How can airports deliver additional capacity and improve passenger flow?
• What digital foundations and connected infrastructure need to be in place to enable smarter airport operations and seamless passenger journeys?
• Where are biometrics, digital identity and automation genuinely improving accessibility, confidence and the passenger experience?
• How do airports balance long-term infrastructure investment with ongoing operations, commercial priorities and changing passenger expectations?
• As airports expand and modernise, how do we integrate legacy infrastructure with the next generation of connected airports?</t>
  </si>
  <si>
    <t xml:space="preserve">Presentation: Rethinking sustainability innovation – from pilots to real infrastructure</t>
  </si>
  <si>
    <t xml:space="preserve">Alexandra Halberg Hüneburg-Møller – Senior Innovation Manager, CPH Airport</t>
  </si>
  <si>
    <t xml:space="preserve">Alexandra Halberg Hüneburg-Møller</t>
  </si>
  <si>
    <t xml:space="preserve">CPH Airport</t>
  </si>
  <si>
    <t xml:space="preserve">The Future of Baggage Identification: Identify, Track &amp; Assess Damage from a Photo</t>
  </si>
  <si>
    <t xml:space="preserve">Dilan Toplu – Sales Manager, PixoAnalytics</t>
  </si>
  <si>
    <t xml:space="preserve">Dilan Toplu</t>
  </si>
  <si>
    <t xml:space="preserve">PixoAnalytics</t>
  </si>
  <si>
    <t xml:space="preserve">Commercial Leaders Panel: Shaping smart commercial strategy in the age of AI &amp; heightened competition</t>
  </si>
  <si>
    <t xml:space="preserve">Paul Verhagen – Executive Vice President and Chief Commercial Officer, SAS
Karim Makhlouf – Chief Commercial Officer, Royal Jordanian Airlines
Henri-Charles Ozarovsky – Group Head of Strategy &amp; SVP Strategy, Alliances &amp; Partnerships, Tap Air Portugal</t>
  </si>
  <si>
    <t xml:space="preserve">Paul Verhagen, Karim Makhlouf, Henri-Charles Ozarovsky</t>
  </si>
  <si>
    <t xml:space="preserve">SAS, Royal Jordanian Airlines, Tap Air Portugal</t>
  </si>
  <si>
    <t xml:space="preserve">How are airlines navigating a dynamic and complex pricing environment to drive growth?
• What will the future of customer behaviour with AI mean for visibility, sales and brand recognition?
• What are the new opportunities for ancillary sales? Identifying growth from onboard connectivity to premiumisation?
• How is technology creating new levels of insight for commercial decision making and investment?
• How are we understanding customer behaviour in an age of increasing geopolitical uncertainty?</t>
  </si>
  <si>
    <t xml:space="preserve">Presentation: Dr. Sebastian Stiebel, Business Development Manager Green Hydrogen &amp; Carbon Management, Fraunhofer UMSICHT</t>
  </si>
  <si>
    <t xml:space="preserve">Sebastian Stiessel – Business Development Manager Green Hydrogen &amp; Carbon Management, Fraunhofer UMSICHT</t>
  </si>
  <si>
    <t xml:space="preserve">Sebastian Stiessel</t>
  </si>
  <si>
    <t xml:space="preserve">Fraunhofer UMSICHT</t>
  </si>
  <si>
    <t xml:space="preserve">Panel: Shaping a data driven customer experience strategy with cutting edge customer insights</t>
  </si>
  <si>
    <t xml:space="preserve">Maciej Kowalówczany – Head of Customer Experience Strategy, LOT Polish Airlines
Frank de Boer – Director Data and Technology | Customer Loyalty | Flying Blue, Air France / KLM
Matthew Walker – Head of Marketing, Plan3</t>
  </si>
  <si>
    <t xml:space="preserve">Maciej Kowalówczany, Frank de Boer, Matthew Walker</t>
  </si>
  <si>
    <t xml:space="preserve">LOT Polish Airlines, Air France / KLM, Plan3</t>
  </si>
  <si>
    <t xml:space="preserve">Exploring the benefits of prioritising data-driven decision making
• How are airlines using data &amp; AI to shape smart customer experience strategy?
• Adopting an agile mindset within a structured strategy to test and innovate faster to identify golden opportunities
• Sharing how data insights influence investment decisions and product development</t>
  </si>
  <si>
    <t xml:space="preserve">Panel: Sharing insights into embedding Agentic AI across the Aviation business</t>
  </si>
  <si>
    <t xml:space="preserve">Shiv Nayak – Head of Data and AI Architecture, easyJet
Ihsan Bari – Head of Contracts &amp; Performance, Etihad Airways
Abdulrahman Alkhatabi – Senior Manager Crew Utilization, Saudia</t>
  </si>
  <si>
    <t xml:space="preserve">Shiv Nayak, Ihsan Bari, Abdulrahman Alkhatabi</t>
  </si>
  <si>
    <t xml:space="preserve">easyJet, Etihad Airways, Saudia</t>
  </si>
  <si>
    <t xml:space="preserve">Closing the airline data-to-decision gap: Detecting revenue leakage and prioritizing commercial action</t>
  </si>
  <si>
    <t xml:space="preserve">Thibaut Gardien – CEO &amp; Co-Founder, Xairlerate</t>
  </si>
  <si>
    <t xml:space="preserve">Thibaut Gardien</t>
  </si>
  <si>
    <t xml:space="preserve">Xairlerate</t>
  </si>
  <si>
    <t xml:space="preserve">Panel: Smarter fuelling &amp; operational efficiency – how digital operations can reduce emissions today</t>
  </si>
  <si>
    <t xml:space="preserve">Jonathan Hankin – Head of ESG, Menzies Aviation
Alex Mattos – Co-Founder &amp; Managing Director, i6 Group
David Buckley – Flight Operations Manager - Efficiencies &amp; Sustainability, easyJet</t>
  </si>
  <si>
    <t xml:space="preserve">Jonathan Hankin, Alex Mattos, David Buckley</t>
  </si>
  <si>
    <t xml:space="preserve">Menzies Aviation, i6 Group, easyJet</t>
  </si>
  <si>
    <t xml:space="preserve">Where do disconnected fuelling and turnaround workflows still create delays and fuel waste?
• How can real-time fuel data improve operational efficiency and reporting accuracy?
• What operational gains are airlines seeing from digital fuelling and integrated turnaround systems?
• How do operators balance efficiency, resilience and sustainability targets?
• Which operational technologies are delivering measurable emissions reductions today?
• Why do so many operational sustainability projects fail to scale?</t>
  </si>
  <si>
    <t xml:space="preserve">Diagnosing the Customer Experience: From Metrics to Meaningful Action</t>
  </si>
  <si>
    <t xml:space="preserve">Laura Shrimpling – Founder, Wayfinding CXi</t>
  </si>
  <si>
    <t xml:space="preserve">Laura Shrimpling</t>
  </si>
  <si>
    <t xml:space="preserve">Wayfinding CXi</t>
  </si>
  <si>
    <t xml:space="preserve">Chair closing remarks</t>
  </si>
  <si>
    <t xml:space="preserve">Presentation: Driving Airline Revenue with AI: A Live Case Study</t>
  </si>
  <si>
    <t xml:space="preserve">Yuval Hochberg – VP Product Strategy &amp; Sales, Fetcherr Ltd
Felix Velazquez – Chief Revenue Officer, Vivaaerobus</t>
  </si>
  <si>
    <t xml:space="preserve">Yuval Hochberg, Felix Velazquez</t>
  </si>
  <si>
    <t xml:space="preserve">Fetcherr Ltd, Vivaaerobus</t>
  </si>
  <si>
    <t xml:space="preserve">Data Leaders Panel: Maximising benefits for aviation with smart data strategies and AI investment</t>
  </si>
  <si>
    <t xml:space="preserve">Ben Dias – Chief AI Scientist, IAG
Mustafa Egilmezbilek – CIO, SunExpress Airlines
Ben Maynard – Director AI &amp; Customer Experience, OAG</t>
  </si>
  <si>
    <t xml:space="preserve">Ben Dias, Mustafa Egilmezbilek, Ben Maynard</t>
  </si>
  <si>
    <t xml:space="preserve">IAG, SunExpress Airlines, OAG</t>
  </si>
  <si>
    <t xml:space="preserve">What are the biggest barriers for airlines to truly harness the power of science &amp; AI?
• In our panellists view, will AI dramatically disrupt the aviation industry or are the benefits over-hyped?
• Where will the most impactful benefits from AI and ML come in the aviation business and where are our panellists investing?
• As a quickly evolving technology, how are organisations preparing a solid platform for future innovation: investing in guardrails, safety and strong data foundations
• Evaluating the threat of agentic AI: will AI Agents turn the aviation business model on its head?</t>
  </si>
  <si>
    <t xml:space="preserve">Aviation Connect: Session 7</t>
  </si>
  <si>
    <t xml:space="preserve">Fast &amp; Slow Social: Driving engagement with smart social media strategy</t>
  </si>
  <si>
    <t xml:space="preserve">Michael Corcoran – Co-Founder, Slice Social
Oisin Lunny – Event MC, Journalist, Podcast and Webinar Host, Galaxy of OM, S.L.</t>
  </si>
  <si>
    <t xml:space="preserve">Michael Corcoran, Oisin Lunny</t>
  </si>
  <si>
    <t xml:space="preserve">Slice Social, Galaxy of OM, S.L.</t>
  </si>
  <si>
    <t xml:space="preserve">Keynote Interview with Lars Redeligx, CEO, Düsseldorf Airport</t>
  </si>
  <si>
    <t xml:space="preserve">Lars Redeligx – CEO, Dusseldorf Airport
Luis Felipe De Oliveira – Executive Director and CEO, Exactly Consulting and Services Sarl</t>
  </si>
  <si>
    <t xml:space="preserve">Lars Redeligx, Luis Felipe De Oliveira</t>
  </si>
  <si>
    <t xml:space="preserve">Dusseldorf Airport, Exactly Consulting and Services Sarl</t>
  </si>
  <si>
    <t xml:space="preserve">Fireside Chat with Amy Burr, CEO, SKY VC</t>
  </si>
  <si>
    <t xml:space="preserve">Amy Burr – CEO, SKY VC
Lennart Dobravsky – Managing Director, Research+Attitude</t>
  </si>
  <si>
    <t xml:space="preserve">Amy Burr, Lennart Dobravsky</t>
  </si>
  <si>
    <t xml:space="preserve">SKY VC, Research+Attitude</t>
  </si>
  <si>
    <t xml:space="preserve">Keynote Panel: Defining the airport of the future – technology, partnerships and people</t>
  </si>
  <si>
    <t xml:space="preserve">Lars Redeligx – CEO, Dusseldorf Airport
Olubunmi Kuku – Managing Director/Chief Executive, FEDERAL AIRPORTS AUTHORITY OF NIGERIA
Javlonbek Umarkhodjaev – Chairman of the Management Board, Uzbekistan Airports JSC</t>
  </si>
  <si>
    <t xml:space="preserve">Lars Redeligx, Olubunmi Kuku, Javlonbek Umarkhodjaev</t>
  </si>
  <si>
    <t xml:space="preserve">Dusseldorf Airport, FEDERAL AIRPORTS AUTHORITY OF NIGERIA, Uzbekistan Airports JSC</t>
  </si>
  <si>
    <t xml:space="preserve">How are airports evolving beyond transport infrastructure into mobility, economic and community hubs?
• As automation and digital services expand, how do we preserve the human side of travel?
• What role do airlines, airports and ground handlers each play in shaping the passenger journey?
• How can the industry collaborate more effectively to deliver growth, resilience and sustainability?
• What will distinguish the leading airports of the next decade?</t>
  </si>
  <si>
    <t xml:space="preserve">Investor Panel: Innovation at a crossroads – where are aviation’s next big bets?</t>
  </si>
  <si>
    <t xml:space="preserve">Amy Burr – CEO, SKY VC
Cara Whitehill – Operating Partner, Thayer Investment Partners
Amir Amidi – Managing Partner, Plug and Play Tech Center</t>
  </si>
  <si>
    <t xml:space="preserve">Amy Burr, Cara Whitehill, Amir Amidi</t>
  </si>
  <si>
    <t xml:space="preserve">SKY VC, Thayer Investment Partners, Plug and Play Tech Center</t>
  </si>
  <si>
    <t xml:space="preserve">Aviation Connect: Session 5</t>
  </si>
  <si>
    <t xml:space="preserve">Your chatbot knows everything. Except how to help.</t>
  </si>
  <si>
    <t xml:space="preserve">Tiernan Mines – CEO &amp; Co-Founder, Hello Airport</t>
  </si>
  <si>
    <t xml:space="preserve">Tiernan Mines</t>
  </si>
  <si>
    <t xml:space="preserve">Hello Airport</t>
  </si>
  <si>
    <t xml:space="preserve">Fireside Chat: Executing Offer &amp; Order – balancing innovation with operational reality</t>
  </si>
  <si>
    <t xml:space="preserve">Dan Fischer – Head of Digital Product, Strategy &amp; Design, Virgin Australia
Mark Lenahan – Consultant, Lenahan Consulting Ltd</t>
  </si>
  <si>
    <t xml:space="preserve">Dan Fischer, Mark Lenahan</t>
  </si>
  <si>
    <t xml:space="preserve">Virgin Australia, Lenahan Consulting Ltd</t>
  </si>
  <si>
    <t xml:space="preserve">The Growing Threat of Brand Hijacking to Airline Direct Bookings</t>
  </si>
  <si>
    <t xml:space="preserve">Shlomi Beer – Co-founder &amp; CEO, ImpersonAlly</t>
  </si>
  <si>
    <t xml:space="preserve">Shlomi Beer</t>
  </si>
  <si>
    <t xml:space="preserve">ImpersonAlly</t>
  </si>
  <si>
    <t xml:space="preserve">CEO Interview: Eivind Roald, CEO, Norse Atlantic Airlines</t>
  </si>
  <si>
    <t xml:space="preserve">Eivind Roald – President &amp; CEO, Norse Atlantic Airways
John Strickland – Director, JLS Consulting</t>
  </si>
  <si>
    <t xml:space="preserve">Eivind Roald, John Strickland</t>
  </si>
  <si>
    <t xml:space="preserve">Norse Atlantic Airways, JLS Consulting</t>
  </si>
  <si>
    <t xml:space="preserve">Fireside Chat: Beyond AODP - redesigning the airport’s digital foundation</t>
  </si>
  <si>
    <t xml:space="preserve">Iyad Hindiyeh – CDO, GAL - GMR Group
Maurice Jenkins – Chief Innovation Officer, Miami International Airport</t>
  </si>
  <si>
    <t xml:space="preserve">Iyad Hindiyeh, Maurice Jenkins</t>
  </si>
  <si>
    <t xml:space="preserve">GAL - GMR Group, Miami International Airport</t>
  </si>
  <si>
    <t xml:space="preserve">Presentation: How should an airline’s loyalty program position itself within the airline for maximum impact?</t>
  </si>
  <si>
    <t xml:space="preserve">Tiffany Funk – Head of Flying Blue, VP Loyalty, Air France KLM</t>
  </si>
  <si>
    <t xml:space="preserve">Tiffany Funk</t>
  </si>
  <si>
    <t xml:space="preserve">Air France KLM</t>
  </si>
  <si>
    <t xml:space="preserve">The agentic Airline of the future: Lessons from Air India’s enterprise AI journey</t>
  </si>
  <si>
    <t xml:space="preserve">Murali Karthik – Head of EA, Governance, Data &amp; AI, Agentic COE, Air India</t>
  </si>
  <si>
    <t xml:space="preserve">Murali Karthik</t>
  </si>
  <si>
    <t xml:space="preserve">Air India</t>
  </si>
  <si>
    <t xml:space="preserve">Presentation: Disrupting the status quo: Air Europa’s successful distribution journey</t>
  </si>
  <si>
    <t xml:space="preserve">Yago Casasnovas – Head of Payments, Fraud Prevention and Distribution, Air Europa
Daniel Langhage – Managing Director, Oystin Advisory GmbH</t>
  </si>
  <si>
    <t xml:space="preserve">Yago Casasnovas, Daniel Langhage</t>
  </si>
  <si>
    <t xml:space="preserve">Air Europa, Oystin Advisory GmbH</t>
  </si>
  <si>
    <t xml:space="preserve">Presentation: Gear Up NRT</t>
  </si>
  <si>
    <t xml:space="preserve">Yusuke Izawa – Project Manager, Global Business Department, Narita International Airport Corp.</t>
  </si>
  <si>
    <t xml:space="preserve">Yusuke Izawa</t>
  </si>
  <si>
    <t xml:space="preserve">Narita International Airport Corp.</t>
  </si>
  <si>
    <t xml:space="preserve">Expanding Capacity, Driving Innovation, Overseas Business</t>
  </si>
  <si>
    <t xml:space="preserve">Making better commercial decisions in a world that's never been more complicated</t>
  </si>
  <si>
    <t xml:space="preserve">Alex Matson – COO, telos</t>
  </si>
  <si>
    <t xml:space="preserve">Alex Matson</t>
  </si>
  <si>
    <t xml:space="preserve">telos</t>
  </si>
  <si>
    <t xml:space="preserve">Presentation: Agentic AI and the future of airline competitiveness</t>
  </si>
  <si>
    <t xml:space="preserve">Lars Schwabe – Chief Technology Officer, Lufthansa Industry Solutions</t>
  </si>
  <si>
    <t xml:space="preserve">Lars Schwabe</t>
  </si>
  <si>
    <t xml:space="preserve">Lufthansa Industry Solutions</t>
  </si>
  <si>
    <t xml:space="preserve">Panel: Scaling airport innovation – moving from pilot projects to operational deployment</t>
  </si>
  <si>
    <t xml:space="preserve">Vanesa Calvo – Head of Funding and Innovation Trends, A.E.N.A.
Sanne Cox – Innovation Manager, Royal Schiphol Group
Eric Boromisa – Founder | Managing Partner, Numbers &amp; Letters Advisory</t>
  </si>
  <si>
    <t xml:space="preserve">Vanesa Calvo, Sanne Cox, Eric Boromisa</t>
  </si>
  <si>
    <t xml:space="preserve">A.E.N.A., Royal Schiphol Group, Numbers &amp; Letters Advisory</t>
  </si>
  <si>
    <t xml:space="preserve">Airports are piloting more tools than ever across AI, automation, robotics and digital passenger services. What actually moves beyond the pilot stage?
• Capacity constraints are forcing airports to get more from existing infrastructure. Where is innovation delivering the biggest operational gains?
• Some innovations reduce cost, some improve experience, and some create new revenue. How do airports decide what matters most?
• What internal conditions really determine whether an innovation scale – governance, funding, culture or partner buy-in?
• Looking ahead, where should airports be placing their smartest innovation bets?</t>
  </si>
  <si>
    <t xml:space="preserve">Fireside Chat: From infrastructure to intelligence: How ATPCO is building airline retailing's AI-ready foundation</t>
  </si>
  <si>
    <t xml:space="preserve">Anand Mishra – VP of Technology, ATPCO
Sinead Finn – Founder, affinnity</t>
  </si>
  <si>
    <t xml:space="preserve">Anand Mishra, Sinead Finn</t>
  </si>
  <si>
    <t xml:space="preserve">ATPCO, affinnity</t>
  </si>
  <si>
    <t xml:space="preserve">Airline retailing is being fundamentally reimagined and the companies that will shape its future aren't just building smarter products, they're building smarter foundations. ATPCO Vice President of Technology Anand Mishra will explore how the industry's most trusted neutral data layer is evolving to meet the moment, as agentic AI moves from concept to commercial reality. With nearly two-thirds of adult travelers under 45 already turning to AI for travel recommendations and AI-driven booking accelerating fast, the window to establish trusted, structured data foundations is open, but for how long?
• Anand will pull back the curtain on recent ATPCO's experiments: including those that ask a simple but high-stakes question — can ATPCO's structured data turn general AI into a trusted source for airline retailing? The answer was a resounding yes, and Anand will dive into some of the learnings.
• Attendees will leave with a clear view of where airline retailing's AI transformation is heading over the next 18 to 36 months, why the standards and data layer will be the defining battleground, and how ATPCO is positioning itself, and the industry, to make sure that transformation happens for us, not to us</t>
  </si>
  <si>
    <t xml:space="preserve">FROM FILED FARES TO FLEXIBLE FUTURES OF FARE FILING - MODERNIZE TODAY. BUILD TOMORROW</t>
  </si>
  <si>
    <t xml:space="preserve">Christoph Both – Head of Customer, Business Development &amp; Controlling, Lufthansa Process Management</t>
  </si>
  <si>
    <t xml:space="preserve">Christoph Both</t>
  </si>
  <si>
    <t xml:space="preserve">Lufthansa Process Management</t>
  </si>
  <si>
    <t xml:space="preserve">Presentation: 638 Days to Go: Transforming the LAX Passenger Experience for the 2028 Olympics and Paralympics</t>
  </si>
  <si>
    <t xml:space="preserve">Erin Trapp – Chief Strategy &amp; External Affairs Officer, Los Angeles World Airports</t>
  </si>
  <si>
    <t xml:space="preserve">Erin Trapp</t>
  </si>
  <si>
    <t xml:space="preserve">Los Angeles World Airports</t>
  </si>
  <si>
    <t xml:space="preserve">Presentation: Beyond miles and seats: building the future of travel loyalty</t>
  </si>
  <si>
    <t xml:space="preserve">Ofir Goldman – Director of Global Marketing &amp; Digital, EL AL Israel Airlines
Benny Yonovich – Co-Founder &amp; CEO, Arbitrip</t>
  </si>
  <si>
    <t xml:space="preserve">Ofir Goldman, Benny Yonovich</t>
  </si>
  <si>
    <t xml:space="preserve">EL AL Israel Airlines, Arbitrip</t>
  </si>
  <si>
    <t xml:space="preserve">How can airlines turn hotel bookings into a new engine for growth? EL AL and Arbitrip will share the story behind EL AL Travel, showcasing how their partnership brings hotels into the airline’s core offering. The session will explore how airlines can expand beyond flights, generate incremental revenue from hotels and ancillary services, and strengthen customer loyalty by making the entire travel experience part of their brand.</t>
  </si>
  <si>
    <t xml:space="preserve">Crew Feedback: From Qualitative to Quantitative Data</t>
  </si>
  <si>
    <t xml:space="preserve">Tuur Willio – Junior Commercial Associate, JiGSO</t>
  </si>
  <si>
    <t xml:space="preserve">Tuur Willio</t>
  </si>
  <si>
    <t xml:space="preserve">JiGSO</t>
  </si>
  <si>
    <t xml:space="preserve">Panel: Delivering modern airline retailing – how do we make offer &amp; order work?</t>
  </si>
  <si>
    <t xml:space="preserve">Jörg Ahrens – Head of IT Commercial Systems, Condor Flugdienst GmbH
Bhaskara Guntreddy – Senior Vice President, Product, PROS
Marco Contento – VP Aviation Business Services, IBS Software</t>
  </si>
  <si>
    <t xml:space="preserve">Jörg Ahrens, Bhaskara Guntreddy, Marco Contento</t>
  </si>
  <si>
    <t xml:space="preserve">Condor Flugdienst GmbH, PROS, IBS Software</t>
  </si>
  <si>
    <t xml:space="preserve">Where are airlines actually live with Offer &amp; Order today - and what has it taken to get there?
• How are teams connecting commercial, distribution and IT to move from roadmap to delivery?
• What are the toughest integration challenges across PSS, pricing, payments and fulfilment? How do we work through these?
• What delivery models are emerging - phased rollouts, parallel systems or full migration?
• What defines success when modern airline retailing is fully embedded into core systems?</t>
  </si>
  <si>
    <t xml:space="preserve">Panel: Dynamic bundling: Rethinking systems and products for the intuitive traveller</t>
  </si>
  <si>
    <t xml:space="preserve">Tiddo Veldhuis – VP Offer Management &amp; Ancillaries, Air France KLM
Sharon Huetson – Head of Proposition, easyJet
Jay Sorensen – President, IdeaWorksCompany</t>
  </si>
  <si>
    <t xml:space="preserve">Tiddo Veldhuis, Sharon Huetson, Jay Sorensen</t>
  </si>
  <si>
    <t xml:space="preserve">Air France KLM, easyJet, IdeaWorksCompany</t>
  </si>
  <si>
    <t xml:space="preserve">Moving away from rigid "Basic/Flex" fare structures toward AI-generated bundles created on-the-fly based on real-time traveller intent
• Navigating personalised pricing to ensure it remains a value-add rather than a regulatory or reputational risk
• Strategies for seamlessly integrating lifestyle and non-air ancillaries, such as hotels, tours, and carbon offsets, into the initial booking flow
• Why has personalisation historically failed to meet expectations and do personalisation tactics in ancillary sales need a rethink?</t>
  </si>
  <si>
    <t xml:space="preserve">Panel: Who owns the passenger &amp; captures the value – and are airports and airlines ready for co-ownership?</t>
  </si>
  <si>
    <t xml:space="preserve">Arturs Saveljevs – Board member and CCO, Riga International Airport
Iyad Hindiyeh – CDO, GAL - GMR Group
Mihai Tica – CIO, Dusseldorf Airport</t>
  </si>
  <si>
    <t xml:space="preserve">Arturs Saveljevs, Iyad Hindiyeh, Mihai Tica</t>
  </si>
  <si>
    <t xml:space="preserve">Riga International Airport, GAL - GMR Group, Dusseldorf Airport</t>
  </si>
  <si>
    <t xml:space="preserve">Who truly owns passenger data across the journey - and how does that ownership shift between booking, airport and arrival?
• What is the real commercial upside of sharing data and which joint revenue opportunities (retail, e-commerce, ancillaries) depend on it?
• Where do competitive sensitivities, loyalty programmes and margin pressures still block deeper collaboration?
• Can airports build meaningful data platforms without airlines or is joint architecture across airlines, alliances and groups of airports essential?
• Looking ahead, will passenger data sit in collaborative platforms, or remain siloed within airline and airport ecosystems?</t>
  </si>
  <si>
    <t xml:space="preserve">Unpacking the next evolution of AI and personalisation within airline loyalty</t>
  </si>
  <si>
    <t xml:space="preserve">Tiffany Funk – Head of Flying Blue, VP Loyalty, Air France KLM
Omer Faruk Sonmez – Senior Vice President Marketing, Turkish Airlines
Nejib Ben-Khedher – Divisional Senior Vice President, Skywards, EMIRATES GROUP</t>
  </si>
  <si>
    <t xml:space="preserve">Tiffany Funk, Omer Faruk Sonmez, Nejib Ben-Khedher</t>
  </si>
  <si>
    <t xml:space="preserve">Air France KLM, Turkish Airlines, EMIRATES GROUP</t>
  </si>
  <si>
    <t xml:space="preserve">Moving beyond tier-based recognition
• Using loyalty data when the journey goes wrong
• Extending member value across the travel ecosystem
• Taking AI-powered loyalty from isolated use cases to scale</t>
  </si>
  <si>
    <t xml:space="preserve">Presentation: One memory, every touchpoint: How AI can connect the traveller journey from app to gate to seat</t>
  </si>
  <si>
    <t xml:space="preserve">Mahesh Veda – Managing Director, United Airlines
Raj Sivakumar – Corporate Senior Vice President, WNS Global Services (UK) Limited</t>
  </si>
  <si>
    <t xml:space="preserve">Mahesh Veda, Raj Sivakumar</t>
  </si>
  <si>
    <t xml:space="preserve">United Airlines, WNS Global Services (UK) Limited</t>
  </si>
  <si>
    <t xml:space="preserve">Every airline delivers personalization across multiple channels, but continuity often breaks as the traveler moves from one touchpoint to another.
• What changes when AI moves beyond recommending and starts anticipating?
• In this session, Mahesh Veda of United Airlines and Jitender Mohan of WNS will explore how airlines can create a connected, context-aware understanding of each traveler across the app, airport, gate and onboard experience.
• The discussion will examine how AI, loyalty data and real-time customer insight can come together to simplify journeys, strengthen engagement and unlock new revenue opportunities.
• Key Themes
• Moving from channel-level personalization to journey-level continuity
• Using AI to anticipate traveler needs and determine the next best action
• Connecting digital, airport and onboard experiences
• Bringing together eCommerce, loyalty, customer data and operations
• Converting personalization into stronger engagement, loyalty and enterprise value</t>
  </si>
  <si>
    <t xml:space="preserve">Insights from deploying AI across 50'000 flights per month</t>
  </si>
  <si>
    <t xml:space="preserve">Nikita Kaeshko – Co-founder, Overwatch AI</t>
  </si>
  <si>
    <t xml:space="preserve">Nikita Kaeshko</t>
  </si>
  <si>
    <t xml:space="preserve">Overwatch AI</t>
  </si>
  <si>
    <t xml:space="preserve">What a System of Action can do for an Airline</t>
  </si>
  <si>
    <t xml:space="preserve">Jim Stathopoulos – Co-founder, dCortex</t>
  </si>
  <si>
    <t xml:space="preserve">Jim Stathopoulos</t>
  </si>
  <si>
    <t xml:space="preserve">dCortex</t>
  </si>
  <si>
    <t xml:space="preserve">Panel: Discussing the challenges of driving successful strategic AI adoption, impactful solutions and evaluating the financial return</t>
  </si>
  <si>
    <t xml:space="preserve">Ivan Karlovic – Director of data, analytics, and AI, Norwegian
Kushal Pasari – Director - AI/ML Engineering &amp; Platforms, United Airlines
Tauseef Khan – Manager of Data &amp; AI, Air Canada</t>
  </si>
  <si>
    <t xml:space="preserve">Ivan Karlovic, Kushal Pasari, Tauseef Khan</t>
  </si>
  <si>
    <t xml:space="preserve">Norwegian, United Airlines, Air Canada</t>
  </si>
  <si>
    <t xml:space="preserve">How can airlines lay the foundations for effective AI implementation in a rapidly evolving ecosystem?
• Working across the business to evaluate impactful opportunities for AI powered solutions to change the game
• How are airlines planning to scale data-science powered innovation effectively?</t>
  </si>
  <si>
    <t xml:space="preserve">SeatMaps of Record: data &amp; visualizations for airlines and channel.</t>
  </si>
  <si>
    <t xml:space="preserve">Terje Tjostolvsen – Adviser, Seatmaps Ltd</t>
  </si>
  <si>
    <t xml:space="preserve">Terje Tjostolvsen</t>
  </si>
  <si>
    <t xml:space="preserve">Seatmaps Ltd</t>
  </si>
  <si>
    <t xml:space="preserve">Building ReLUGG - solving your own problem as a founder</t>
  </si>
  <si>
    <t xml:space="preserve">Melilizwe Gqobo – CEO &amp; Co-founder, ReLUGG</t>
  </si>
  <si>
    <t xml:space="preserve">Melilizwe Gqobo</t>
  </si>
  <si>
    <t xml:space="preserve">ReLUGG</t>
  </si>
  <si>
    <t xml:space="preserve">AEROMOND – The Next-Gen On-Board Service Experience</t>
  </si>
  <si>
    <t xml:space="preserve">Sebastian Pruckmair – Founder &amp; CEO, AEROMOND Services e.u.</t>
  </si>
  <si>
    <t xml:space="preserve">Sebastian Pruckmair</t>
  </si>
  <si>
    <t xml:space="preserve">AEROMOND Services e.u.</t>
  </si>
  <si>
    <t xml:space="preserve">Portugal in the Future Aviation Ecosystem: Clean Aviation, AAM &amp; MR **Registration required</t>
  </si>
  <si>
    <t xml:space="preserve">Rui Santos
Jose Rui Marcelino
Margarida Pinto
Dário Pedro
Nelson Vaz
David Cruz</t>
  </si>
  <si>
    <t xml:space="preserve">Rui Santos, Jose Rui Marcelino, Margarida Pinto, Dário Pedro, Nelson Vaz, David Cruz</t>
  </si>
  <si>
    <t xml:space="preserve">Track 5, Pavilion 1</t>
  </si>
  <si>
    <t xml:space="preserve">Beyond the Forecast: Turning Weather into Aviation Intelligence</t>
  </si>
  <si>
    <t xml:space="preserve">Sevim Aydın Kotil – Head of Business Development, Buluttan Weather Intelligence</t>
  </si>
  <si>
    <t xml:space="preserve">Sevim Aydın Kotil</t>
  </si>
  <si>
    <t xml:space="preserve">Buluttan Weather Intelligence</t>
  </si>
  <si>
    <t xml:space="preserve">Competition</t>
  </si>
  <si>
    <t xml:space="preserve">Competition: Ancillary Arena</t>
  </si>
  <si>
    <t xml:space="preserve">Beatriz Guillen – Chief Customer Officer, Iberia
Surya Kuchibotla – VP eCommerce, Ancillary and Retailing, OMAN AIR
Lissette Castaneda – Head of Ancillary Revenue, Tap Air Portugal</t>
  </si>
  <si>
    <t xml:space="preserve">Beatriz Guillen, Surya Kuchibotla, Lissette Castaneda</t>
  </si>
  <si>
    <t xml:space="preserve">Iberia, OMAN AIR, Tap Air Portugal</t>
  </si>
  <si>
    <t xml:space="preserve">Keynote Stage (Pavilion 1)</t>
  </si>
  <si>
    <t xml:space="preserve">We are on the hunt for the next big ancillary product or service. Join this session to hear from our 5 finalist companies who will be pitching their solution to our expert panel:
• Riyadh Air (PointsXchange)
• InterLnkd (NEXORA)
• Retailaer
• VINI (Flyvbird GmbH)
• Roamon</t>
  </si>
  <si>
    <t xml:space="preserve">Bonafide AI: Context is Everything</t>
  </si>
  <si>
    <t xml:space="preserve">Chris Brown – Founder, Chief Product Officer, Bonafide</t>
  </si>
  <si>
    <t xml:space="preserve">Chris Brown</t>
  </si>
  <si>
    <t xml:space="preserve">Bonafide</t>
  </si>
  <si>
    <t xml:space="preserve">Roundtable 1: The Augmented Manager: Empowering middle management in the age of AI</t>
  </si>
  <si>
    <t xml:space="preserve">Dirk Jungnickel</t>
  </si>
  <si>
    <t xml:space="preserve">Round Table Area, Pavilion 2</t>
  </si>
  <si>
    <t xml:space="preserve">Roundtable 2: AI Is Moving Faster Than Us: How Do We Get Our People Ready?</t>
  </si>
  <si>
    <t xml:space="preserve">Ben Dias</t>
  </si>
  <si>
    <t xml:space="preserve">Built From Scratch: Insights from female founders</t>
  </si>
  <si>
    <t xml:space="preserve">Barbara Bassi Modalek – CEO &amp; Founder, Virtuwella
emna TOUIHRI – Co-founder&amp;CEO, AERAUT
Sally Bunnell – CEO &amp; Founder, Navi Savi Video Travel Marketplace</t>
  </si>
  <si>
    <t xml:space="preserve">Barbara Bassi Modalek, emna TOUIHRI, Sally Bunnell</t>
  </si>
  <si>
    <t xml:space="preserve">Virtuwella, AERAUT, Navi Savi Video Travel Marketplace</t>
  </si>
  <si>
    <t xml:space="preserve">Fireside Chat: From roadmap to delivery – what it takes to execute digital at scale</t>
  </si>
  <si>
    <t xml:space="preserve">Uma Gopinath – SVP and Chief Information Officer, Porter Airlines
Mark Lenahan – Consultant, Lenahan Consulting Ltd</t>
  </si>
  <si>
    <t xml:space="preserve">Uma Gopinath, Mark Lenahan</t>
  </si>
  <si>
    <t xml:space="preserve">Porter Airlines, Lenahan Consulting Ltd</t>
  </si>
  <si>
    <t xml:space="preserve">Fireside chat: Promise &amp; Execution: creating loyalty benefit alignment and delivery across 15+ airlines</t>
  </si>
  <si>
    <t xml:space="preserve">Gilbert Ott – Director, Loyalty, oneworld Alliance
Harald Deprosse – Partner, Envolved GmbH</t>
  </si>
  <si>
    <t xml:space="preserve">Gilbert Ott, Harald Deprosse</t>
  </si>
  <si>
    <t xml:space="preserve">oneworld Alliance, Envolved GmbH</t>
  </si>
  <si>
    <t xml:space="preserve">Fireside Chat: Co-creating the future journey: how CVG turns airport pilots into shared value</t>
  </si>
  <si>
    <t xml:space="preserve">Adam Kressler – Vice President of Customer Experience, Cincinnati/Northern Kentucky International Airport (CVG)
Luis Felipe De Oliveira – Executive Director and CEO, Exactly Consulting and Services Sarl</t>
  </si>
  <si>
    <t xml:space="preserve">Adam Kressler, Luis Felipe De Oliveira</t>
  </si>
  <si>
    <t xml:space="preserve">Cincinnati/Northern Kentucky International Airport (CVG), Exactly Consulting and Services Sarl</t>
  </si>
  <si>
    <t xml:space="preserve">Fireside Chat: AI in airports – from experimentation to operational impact</t>
  </si>
  <si>
    <t xml:space="preserve">Annemijn Schoenmaker – Head of Business Platform Infrastructure &amp; IT Projects, Schiphol Group
Oliver Hendry – Program Director, Airports AI Alliance</t>
  </si>
  <si>
    <t xml:space="preserve">Annemijn Schoenmaker, Oliver Hendry</t>
  </si>
  <si>
    <t xml:space="preserve">Schiphol Group, Airports AI Alliance</t>
  </si>
  <si>
    <t xml:space="preserve">When the Chatbot Speaks for your Airline: Building Trust in Customer-Facing AI</t>
  </si>
  <si>
    <t xml:space="preserve">Balamurali Boggu – Airline Domain Expert, TestSolutions
Anupam Krishnamurthy – Head of AI Testing, TestSolutions</t>
  </si>
  <si>
    <t xml:space="preserve">Balamurali Boggu, Anupam Krishnamurthy</t>
  </si>
  <si>
    <t xml:space="preserve">TestSolutions</t>
  </si>
  <si>
    <t xml:space="preserve">Panel: Designing the passenger journey together – how do airports, airlines and partners deliver a truly shared experience?</t>
  </si>
  <si>
    <t xml:space="preserve">Karen Ellis – Airport Assistant General Manager - Chief Customer Experience Officer, City of Atlanta/ Hartsfield- Jackson International Airport
Harry Barrett – Assistant Director of Airports, Sacramento County International Airport
Girish Nair – Chief Operating Officer, Bangalore International Airport</t>
  </si>
  <si>
    <t xml:space="preserve">Karen Ellis, Harry Barrett, Girish Nair</t>
  </si>
  <si>
    <t xml:space="preserve">City of Atlanta/ Hartsfield- Jackson International Airport, Sacramento County International Airport, Bangalore International Airport</t>
  </si>
  <si>
    <t xml:space="preserve">Where are airports, airlines and partners still redesigning the journey in isolation rather than taking an end-to-end passenger view?
• Can joint experimentation and testbeds reduce duplication and help scale innovations faster?
• How do we connect physical and digital journeys? Terminal design, baggage systems and intermodal links with apps and digital tools?
• How should performance metrics evolve so NPS, OTP, dwell time and spend reflect joint ownership of the passenger experience?
• What will make partnerships across airlines, airports and suppliers work to deliver a joint-up experience?
• By 2030, what should passengers tangibly experience if airports and airlines are truly innovating together?</t>
  </si>
  <si>
    <t xml:space="preserve">The Loyalty Value Equation – Balancing profitability and customer trust</t>
  </si>
  <si>
    <t xml:space="preserve">Jason Cooper – CEO, Gyoza Flights
Harald Deprosse – Partner, Envolved GmbH
Gilbert Ott – Director, Loyalty, oneworld Alliance</t>
  </si>
  <si>
    <t xml:space="preserve">Jason Cooper, Harald Deprosse, Gilbert Ott</t>
  </si>
  <si>
    <t xml:space="preserve">Gyoza Flights, Envolved GmbH, oneworld Alliance</t>
  </si>
  <si>
    <t xml:space="preserve">Maintaining the balance between airline profitability and perceived customer value in loyalty programs
• How is tech reshaping the loyalty value equation, considering dynamic rewards, flexible redemption, and real-time pricing of benefits?
• Transactional vs emotional loyalty in the age of automation: can technology strengthen customer trust rather than erode it?
• Creating value from the customer data loyalty schemes create: how is loyalty data being interrogated to support commercial decisions?</t>
  </si>
  <si>
    <t xml:space="preserve">Panel: Turning strategy into delivery - how do we build technology the business actually needs?</t>
  </si>
  <si>
    <t xml:space="preserve">Mariana Zaparolli – Director - Digital Capabilities and Accelerators, LATAM Airlines
Edem Akan – Director, Enterprise Transformation, Porter Airlines
Mustafa Al-Ausaje – Executive consultant, Director, Technology Strategy and Transformation, Greater Toronto Airports Authority</t>
  </si>
  <si>
    <t xml:space="preserve">Mariana Zaparolli, Edem Akan, Mustafa Al-Ausaje</t>
  </si>
  <si>
    <t xml:space="preserve">LATAM Airlines, Porter Airlines, Greater Toronto Airports Authority</t>
  </si>
  <si>
    <t xml:space="preserve">How do airlines prioritise technology investment against real business outcomes?
• Where do digital transformation programmes most often lose momentum?
• How do IT, product and business teams share ownership of delivery?
• How do airlines avoid building technology that adds complexity instead of solving problems?
• What separates airlines that consistently turn digital investment into measurable business value?</t>
  </si>
  <si>
    <t xml:space="preserve">Sharing achievements and learnings from rapid innovation with AI: what solutions progressed beyond POC?</t>
  </si>
  <si>
    <t xml:space="preserve">Mark Wallace – Head of Data Science, easyJet
Şeniz Gayde Ayata – Vice President Data &amp; AI, Turkish Airlines
Murali Karthik – Head of EA, Governance, Data &amp; AI, Agentic COE, Air India</t>
  </si>
  <si>
    <t xml:space="preserve">Mark Wallace, Şeniz Gayde Ayata, Murali Karthik</t>
  </si>
  <si>
    <t xml:space="preserve">easyJet, Turkish Airlines, Air India</t>
  </si>
  <si>
    <t xml:space="preserve">Digital Product Panel: What is next for digital platforms in an increasingly online world</t>
  </si>
  <si>
    <t xml:space="preserve">Carlos Faxas – Vice President, Digital Products, Air Canada
Sara Walter de Freitas – Director Digital &amp; e-Commerce, Tap Air Portugal
Ofir Goldman – Director of Global Marketing &amp; Digital, EL AL Israel Airlines</t>
  </si>
  <si>
    <t xml:space="preserve">Carlos Faxas, Sara Walter de Freitas, Ofir Goldman</t>
  </si>
  <si>
    <t xml:space="preserve">Air Canada, Tap Air Portugal, EL AL Israel Airlines</t>
  </si>
  <si>
    <t xml:space="preserve">How are our panellists building AI into the development of digital platforms today to support innovation tomorrow?
• Delivering seamless and relevant online experience across the full customer journey
• How are airlines increasing relevant personalisation and contextualised communication whilst maintaining customer trust?
• Supporting colleagues effectively with digital platforms &amp; insights to optimise job satisfaction, efficiency and value</t>
  </si>
  <si>
    <t xml:space="preserve">How to Cut Boarding Time in Half</t>
  </si>
  <si>
    <t xml:space="preserve">Romaric Régnaud – CEO, Gate Stream</t>
  </si>
  <si>
    <t xml:space="preserve">Romaric Régnaud</t>
  </si>
  <si>
    <t xml:space="preserve">Gate Stream</t>
  </si>
  <si>
    <t xml:space="preserve">Battle of the Apps</t>
  </si>
  <si>
    <t xml:space="preserve">Oisin Lunny – Event MC, Journalist, Podcast and Webinar Host, Galaxy of OM, S.L.
Glenn Morgan – Partner, SkiesFifty
Jonas von Kruechten – Principal Advisor (dgtlsky), Dgtlsky</t>
  </si>
  <si>
    <t xml:space="preserve">Oisin Lunny, Glenn Morgan, Jonas von Kruechten</t>
  </si>
  <si>
    <t xml:space="preserve">Galaxy of OM, S.L., SkiesFifty, Dgtlsky</t>
  </si>
  <si>
    <t xml:space="preserve">Name</t>
  </si>
  <si>
    <t xml:space="preserve">Job Title</t>
  </si>
  <si>
    <t xml:space="preserve">Organisation</t>
  </si>
  <si>
    <t xml:space="preserve">Role</t>
  </si>
  <si>
    <t xml:space="preserve">Speaker</t>
  </si>
  <si>
    <t xml:space="preserve">Chairman</t>
  </si>
  <si>
    <t xml:space="preserve">Chief Executive Officer</t>
  </si>
  <si>
    <t xml:space="preserve">Stefan Schulte</t>
  </si>
  <si>
    <t xml:space="preserve">Fraport AG</t>
  </si>
  <si>
    <t xml:space="preserve">Ben Thompson</t>
  </si>
  <si>
    <t xml:space="preserve">Presenter</t>
  </si>
  <si>
    <t xml:space="preserve">BBC</t>
  </si>
  <si>
    <t xml:space="preserve">Luís Rodrigues</t>
  </si>
  <si>
    <t xml:space="preserve">Peter Campbell</t>
  </si>
  <si>
    <t xml:space="preserve">Global Transport Correspondent</t>
  </si>
  <si>
    <t xml:space="preserve">Financial Times</t>
  </si>
  <si>
    <t xml:space="preserve">Adrian Neuhauser</t>
  </si>
  <si>
    <t xml:space="preserve">Abra Group</t>
  </si>
  <si>
    <t xml:space="preserve">Pierre-Hugues Schmit</t>
  </si>
  <si>
    <t xml:space="preserve">London Gatwick Airport</t>
  </si>
  <si>
    <t xml:space="preserve">Roberto Alvo</t>
  </si>
  <si>
    <t xml:space="preserve">CEO</t>
  </si>
  <si>
    <t xml:space="preserve">Latam Airlines Group</t>
  </si>
  <si>
    <t xml:space="preserve">Paul Griffiths</t>
  </si>
  <si>
    <t xml:space="preserve">Dubai Airports Company</t>
  </si>
  <si>
    <t xml:space="preserve">Warwick Brady</t>
  </si>
  <si>
    <t xml:space="preserve">President &amp; CEO</t>
  </si>
  <si>
    <t xml:space="preserve">SWISSPORT</t>
  </si>
  <si>
    <t xml:space="preserve">Rodrigo López</t>
  </si>
  <si>
    <t xml:space="preserve">Josh Crandall</t>
  </si>
  <si>
    <t xml:space="preserve">Doug Sharpe</t>
  </si>
  <si>
    <t xml:space="preserve">Megan Humphries</t>
  </si>
  <si>
    <t xml:space="preserve">Ali Tredinnick</t>
  </si>
  <si>
    <t xml:space="preserve">Joe Bennett</t>
  </si>
  <si>
    <t xml:space="preserve">Billie Moore</t>
  </si>
  <si>
    <t xml:space="preserve">Angel Matsis</t>
  </si>
  <si>
    <t xml:space="preserve">Emanuela Maftieu</t>
  </si>
  <si>
    <t xml:space="preserve">Mike Murchison</t>
  </si>
  <si>
    <t xml:space="preserve">Tatiana Deabreu</t>
  </si>
  <si>
    <t xml:space="preserve">Karina Mehl</t>
  </si>
  <si>
    <t xml:space="preserve">Michael Kleinert</t>
  </si>
  <si>
    <t xml:space="preserve">Matthew Maychrowitz</t>
  </si>
  <si>
    <t xml:space="preserve">Rebecca Rea</t>
  </si>
  <si>
    <t xml:space="preserve">James Davies</t>
  </si>
  <si>
    <t xml:space="preserve">Charlotte Ross</t>
  </si>
  <si>
    <t xml:space="preserve">Ana Maria Escobar</t>
  </si>
  <si>
    <t xml:space="preserve">Azim Barodawala</t>
  </si>
  <si>
    <t xml:space="preserve">Nikhita Hyett</t>
  </si>
  <si>
    <t xml:space="preserve">Amal Ahmed</t>
  </si>
  <si>
    <t xml:space="preserve">Henry Harteveldt</t>
  </si>
  <si>
    <t xml:space="preserve">Nives Nadoh</t>
  </si>
  <si>
    <t xml:space="preserve">Samik Ghatak</t>
  </si>
  <si>
    <t xml:space="preserve">RASHI GARG</t>
  </si>
  <si>
    <t xml:space="preserve">Javier Esteve</t>
  </si>
  <si>
    <t xml:space="preserve">Robert Mulet</t>
  </si>
  <si>
    <t xml:space="preserve">Ben Maynard</t>
  </si>
  <si>
    <t xml:space="preserve">Sue Davidson</t>
  </si>
  <si>
    <t xml:space="preserve">Tamás Nacsák</t>
  </si>
  <si>
    <t xml:space="preserve">Gabriella Solti</t>
  </si>
  <si>
    <t xml:space="preserve">Boyan Manev</t>
  </si>
  <si>
    <t xml:space="preserve">MARCELA Pasten</t>
  </si>
  <si>
    <t xml:space="preserve">Baris Findik</t>
  </si>
  <si>
    <t xml:space="preserve">Gaurav Passi</t>
  </si>
  <si>
    <t xml:space="preserve">Partner</t>
  </si>
  <si>
    <t xml:space="preserve">Maria Whittaker</t>
  </si>
  <si>
    <t xml:space="preserve">Chief Corporate Responsibility Officer</t>
  </si>
  <si>
    <t xml:space="preserve">Patrick Edmond</t>
  </si>
  <si>
    <t xml:space="preserve">Chief Commercial Officer</t>
  </si>
  <si>
    <t xml:space="preserve">Future Energy Global</t>
  </si>
  <si>
    <t xml:space="preserve">SVP Global Business Development</t>
  </si>
  <si>
    <t xml:space="preserve">CEO Digital Hangar Ecosystem &amp; SVP Digital Solutions</t>
  </si>
  <si>
    <t xml:space="preserve">Bethan Lynch</t>
  </si>
  <si>
    <t xml:space="preserve">VP Customer Experience &amp; Loyalty</t>
  </si>
  <si>
    <t xml:space="preserve">Virgin Atlantic</t>
  </si>
  <si>
    <t xml:space="preserve">Jerry Angrave</t>
  </si>
  <si>
    <t xml:space="preserve">Customer Experience Director</t>
  </si>
  <si>
    <t xml:space="preserve">Empathyce</t>
  </si>
  <si>
    <t xml:space="preserve">Ralph Piket</t>
  </si>
  <si>
    <t xml:space="preserve">Chief Loyalty Officer</t>
  </si>
  <si>
    <t xml:space="preserve">Ops Digital Transformation Lead</t>
  </si>
  <si>
    <t xml:space="preserve">Mel Crocker</t>
  </si>
  <si>
    <t xml:space="preserve">CIO</t>
  </si>
  <si>
    <t xml:space="preserve">Air Canada</t>
  </si>
  <si>
    <t xml:space="preserve">David Peller</t>
  </si>
  <si>
    <t xml:space="preserve">General Partner &amp; Founder</t>
  </si>
  <si>
    <t xml:space="preserve">If Not You Capital</t>
  </si>
  <si>
    <t xml:space="preserve">Samuel C. Ehrat</t>
  </si>
  <si>
    <t xml:space="preserve">Senior Project Leader</t>
  </si>
  <si>
    <t xml:space="preserve">Lorenz Wolf</t>
  </si>
  <si>
    <t xml:space="preserve">ICT Solution Architect</t>
  </si>
  <si>
    <t xml:space="preserve">Programme Manager Innovation Border Management</t>
  </si>
  <si>
    <t xml:space="preserve">VP Digital Commercialization</t>
  </si>
  <si>
    <t xml:space="preserve">Julio Rodriguez</t>
  </si>
  <si>
    <t xml:space="preserve">Chief Commercial Strategy Officer</t>
  </si>
  <si>
    <t xml:space="preserve">IAG</t>
  </si>
  <si>
    <t xml:space="preserve">Dennis Cary</t>
  </si>
  <si>
    <t xml:space="preserve">Managing Director</t>
  </si>
  <si>
    <t xml:space="preserve">Cary Strategic Advisory</t>
  </si>
  <si>
    <t xml:space="preserve">Senior Program Manager, Airline Retailing &amp; Payments</t>
  </si>
  <si>
    <t xml:space="preserve">Joerg Eberhart</t>
  </si>
  <si>
    <t xml:space="preserve">ITA-Airways</t>
  </si>
  <si>
    <t xml:space="preserve">CBDO</t>
  </si>
  <si>
    <t xml:space="preserve">HO Environment and Sustainability Marketing</t>
  </si>
  <si>
    <t xml:space="preserve">Head of Business Development &amp; Senior Data Scientist</t>
  </si>
  <si>
    <t xml:space="preserve">Andrea Halverson</t>
  </si>
  <si>
    <t xml:space="preserve">Director - Contact Center Experience and Innovation</t>
  </si>
  <si>
    <t xml:space="preserve">Alaska Airlines</t>
  </si>
  <si>
    <t xml:space="preserve">Barry Chester</t>
  </si>
  <si>
    <t xml:space="preserve">Head of Airlines</t>
  </si>
  <si>
    <t xml:space="preserve">Cresta</t>
  </si>
  <si>
    <t xml:space="preserve">Ella Schreiber</t>
  </si>
  <si>
    <t xml:space="preserve">SVP and GM Fintech</t>
  </si>
  <si>
    <t xml:space="preserve">Hopper Inc</t>
  </si>
  <si>
    <t xml:space="preserve">Karen Romanchuk</t>
  </si>
  <si>
    <t xml:space="preserve">Director, Ancillary Revenue</t>
  </si>
  <si>
    <t xml:space="preserve">WestJet</t>
  </si>
  <si>
    <t xml:space="preserve">Sam Chamberlain</t>
  </si>
  <si>
    <t xml:space="preserve">Chief Product Officer</t>
  </si>
  <si>
    <t xml:space="preserve">FLYR</t>
  </si>
  <si>
    <t xml:space="preserve">Tristan Thomas</t>
  </si>
  <si>
    <t xml:space="preserve">Global Industry Leader</t>
  </si>
  <si>
    <t xml:space="preserve">IBM</t>
  </si>
  <si>
    <t xml:space="preserve">SVP Travel</t>
  </si>
  <si>
    <t xml:space="preserve">Global Client Director</t>
  </si>
  <si>
    <t xml:space="preserve">Nejib Ben-Khedher</t>
  </si>
  <si>
    <t xml:space="preserve">Divisional Senior Vice President, Skywards</t>
  </si>
  <si>
    <t xml:space="preserve">EMIRATES GROUP</t>
  </si>
  <si>
    <t xml:space="preserve">Pedro Ribeiro</t>
  </si>
  <si>
    <t xml:space="preserve">Loyalty Director</t>
  </si>
  <si>
    <t xml:space="preserve">Arturs Saveljevs</t>
  </si>
  <si>
    <t xml:space="preserve">Board member and CCO</t>
  </si>
  <si>
    <t xml:space="preserve">Riga International Airport</t>
  </si>
  <si>
    <t xml:space="preserve">Gintare Norvilaite-Tautevice</t>
  </si>
  <si>
    <t xml:space="preserve">Lithuanian Airports</t>
  </si>
  <si>
    <t xml:space="preserve">Group CEO</t>
  </si>
  <si>
    <t xml:space="preserve">Jitender Mohan</t>
  </si>
  <si>
    <t xml:space="preserve">EVP &amp; Business Unit Head, Travel &amp; Hospitality</t>
  </si>
  <si>
    <t xml:space="preserve">WNS Global Services (UK) Limited</t>
  </si>
  <si>
    <t xml:space="preserve">Matthew Robinson</t>
  </si>
  <si>
    <t xml:space="preserve">Vice President, Airports</t>
  </si>
  <si>
    <t xml:space="preserve">Capgemini</t>
  </si>
  <si>
    <t xml:space="preserve">CCO</t>
  </si>
  <si>
    <t xml:space="preserve">EVP, Strategy and Innovation</t>
  </si>
  <si>
    <t xml:space="preserve">Owain Jones</t>
  </si>
  <si>
    <t xml:space="preserve">Chief Corporate Officer</t>
  </si>
  <si>
    <t xml:space="preserve">Wizz Air Hungary Ltd</t>
  </si>
  <si>
    <t xml:space="preserve">Solutions Engineer</t>
  </si>
  <si>
    <t xml:space="preserve">Sheryl Lee</t>
  </si>
  <si>
    <t xml:space="preserve">Senior Manager- IRROPS Programs &amp; Strategy</t>
  </si>
  <si>
    <t xml:space="preserve">United Airlines</t>
  </si>
  <si>
    <t xml:space="preserve">Emre Devrim</t>
  </si>
  <si>
    <t xml:space="preserve">Product &amp; Customer Experience Manager</t>
  </si>
  <si>
    <t xml:space="preserve">Ajet</t>
  </si>
  <si>
    <t xml:space="preserve">Katy Cardwell</t>
  </si>
  <si>
    <t xml:space="preserve">Director of Digital Customer Experience</t>
  </si>
  <si>
    <t xml:space="preserve">British Airways</t>
  </si>
  <si>
    <t xml:space="preserve">Marcus Schnabel</t>
  </si>
  <si>
    <t xml:space="preserve">SunExpress Airlines</t>
  </si>
  <si>
    <t xml:space="preserve">Maurice Jenkins</t>
  </si>
  <si>
    <t xml:space="preserve">Chief Innovation Officer</t>
  </si>
  <si>
    <t xml:space="preserve">Miami International Airport</t>
  </si>
  <si>
    <t xml:space="preserve">Amin Lalani</t>
  </si>
  <si>
    <t xml:space="preserve">Product Leader of Airport &amp; Sky Club Digital Products &amp; Experiences</t>
  </si>
  <si>
    <t xml:space="preserve">Delta Air Lines</t>
  </si>
  <si>
    <t xml:space="preserve">Victor Gaarenstroom</t>
  </si>
  <si>
    <t xml:space="preserve">Global Travel &amp; Mobility Lead</t>
  </si>
  <si>
    <t xml:space="preserve">adyen</t>
  </si>
  <si>
    <t xml:space="preserve">Greg Toussaint</t>
  </si>
  <si>
    <t xml:space="preserve">Director</t>
  </si>
  <si>
    <t xml:space="preserve">Edgar, Dunn &amp; Company</t>
  </si>
  <si>
    <t xml:space="preserve">Tiddo Veldhuis</t>
  </si>
  <si>
    <t xml:space="preserve">VP Offer Management &amp; Ancillaries</t>
  </si>
  <si>
    <t xml:space="preserve">Juan Pablo Lafosse</t>
  </si>
  <si>
    <t xml:space="preserve">TravelX</t>
  </si>
  <si>
    <t xml:space="preserve">VP Customer Success</t>
  </si>
  <si>
    <t xml:space="preserve">GTM CTO</t>
  </si>
  <si>
    <t xml:space="preserve">Gyorgy Farkas</t>
  </si>
  <si>
    <t xml:space="preserve">Head of IT Project and Innovation Management</t>
  </si>
  <si>
    <t xml:space="preserve">Budapest Airport</t>
  </si>
  <si>
    <t xml:space="preserve">Samuel í Hjøllum Rude</t>
  </si>
  <si>
    <t xml:space="preserve">Vice President, Head of Operational Airport Services</t>
  </si>
  <si>
    <t xml:space="preserve">Copenhagen Airports</t>
  </si>
  <si>
    <t xml:space="preserve">Nishant Rao</t>
  </si>
  <si>
    <t xml:space="preserve">Director, Aviation Business Development</t>
  </si>
  <si>
    <t xml:space="preserve">Nieuport Aviation</t>
  </si>
  <si>
    <t xml:space="preserve">Founder &amp; CEO</t>
  </si>
  <si>
    <t xml:space="preserve">Ulrike Ziegler</t>
  </si>
  <si>
    <t xml:space="preserve">President of the Board of Directors</t>
  </si>
  <si>
    <t xml:space="preserve">Impact on Sustainable Aviation</t>
  </si>
  <si>
    <t xml:space="preserve">Jan Petter Steinland</t>
  </si>
  <si>
    <t xml:space="preserve">Director Strategic Analysis &amp; Transformation</t>
  </si>
  <si>
    <t xml:space="preserve">Civil Aviation Authority Norway</t>
  </si>
  <si>
    <t xml:space="preserve">Theo Panagiotoulias</t>
  </si>
  <si>
    <t xml:space="preserve">Star Alliance</t>
  </si>
  <si>
    <t xml:space="preserve">Sunil John</t>
  </si>
  <si>
    <t xml:space="preserve">Chief AI Scientist</t>
  </si>
  <si>
    <t xml:space="preserve">SVP Enterprise Data &amp; Analytics</t>
  </si>
  <si>
    <t xml:space="preserve">Emirates Airline</t>
  </si>
  <si>
    <t xml:space="preserve">Kevin Lynn</t>
  </si>
  <si>
    <t xml:space="preserve">Director – Crew Scheduling Technology</t>
  </si>
  <si>
    <t xml:space="preserve">Yago Casasnovas</t>
  </si>
  <si>
    <t xml:space="preserve">Head of Payments, Fraud Prevention and Distribution</t>
  </si>
  <si>
    <t xml:space="preserve">Air Europa</t>
  </si>
  <si>
    <t xml:space="preserve">Shaun Donaghey</t>
  </si>
  <si>
    <t xml:space="preserve">Dennis Lore</t>
  </si>
  <si>
    <t xml:space="preserve">Payments Reconciliations and Credit Risk Accountant Manager</t>
  </si>
  <si>
    <t xml:space="preserve">Kenya Airways</t>
  </si>
  <si>
    <t xml:space="preserve">Dan Bartel</t>
  </si>
  <si>
    <t xml:space="preserve">Chief Procurement Officer</t>
  </si>
  <si>
    <t xml:space="preserve">American Airlines</t>
  </si>
  <si>
    <t xml:space="preserve">Massimo Morin</t>
  </si>
  <si>
    <t xml:space="preserve">Global Head, Travel, AWS for Travel and Hospitality</t>
  </si>
  <si>
    <t xml:space="preserve">Amazon Web Services, Inc. (SEA54)</t>
  </si>
  <si>
    <t xml:space="preserve">Marco Barbosa</t>
  </si>
  <si>
    <t xml:space="preserve">Directior of Guest Care and Delivery</t>
  </si>
  <si>
    <t xml:space="preserve">Jason Ward</t>
  </si>
  <si>
    <t xml:space="preserve">Chief Customer Officer</t>
  </si>
  <si>
    <t xml:space="preserve">Azul Airlines</t>
  </si>
  <si>
    <t xml:space="preserve">Renato Ramos</t>
  </si>
  <si>
    <t xml:space="preserve">Vice President Corporate Strategy</t>
  </si>
  <si>
    <t xml:space="preserve">Eoin Mcnamara</t>
  </si>
  <si>
    <t xml:space="preserve">Co-Founder &amp; Chief Operating Officer</t>
  </si>
  <si>
    <t xml:space="preserve">Michael Murphy</t>
  </si>
  <si>
    <t xml:space="preserve">Co-Founder &amp; Chief Executive Officer</t>
  </si>
  <si>
    <t xml:space="preserve">Gemma Carver</t>
  </si>
  <si>
    <t xml:space="preserve">Bettina Pickl</t>
  </si>
  <si>
    <t xml:space="preserve">Lauren Mann</t>
  </si>
  <si>
    <t xml:space="preserve">Kevin Ma</t>
  </si>
  <si>
    <t xml:space="preserve">Gregory Stephans</t>
  </si>
  <si>
    <t xml:space="preserve">Head of Growth Europe</t>
  </si>
  <si>
    <t xml:space="preserve">Chief Solution Advisor</t>
  </si>
  <si>
    <t xml:space="preserve">Paul Verhagen</t>
  </si>
  <si>
    <t xml:space="preserve">Executive Vice President and Chief Commercial Officer</t>
  </si>
  <si>
    <t xml:space="preserve">SAS</t>
  </si>
  <si>
    <t xml:space="preserve">Travel Industry Analyst</t>
  </si>
  <si>
    <t xml:space="preserve">Atmosphere Research Group</t>
  </si>
  <si>
    <t xml:space="preserve">Ahmed Naeemi</t>
  </si>
  <si>
    <t xml:space="preserve">Chief Information Officer</t>
  </si>
  <si>
    <t xml:space="preserve">Gulf Air Group</t>
  </si>
  <si>
    <t xml:space="preserve">Guido Woska</t>
  </si>
  <si>
    <t xml:space="preserve">Chief Client Officer &amp; Executive Partner</t>
  </si>
  <si>
    <t xml:space="preserve">Manyone</t>
  </si>
  <si>
    <t xml:space="preserve">Beatriz Guillen</t>
  </si>
  <si>
    <t xml:space="preserve">Iberia</t>
  </si>
  <si>
    <t xml:space="preserve">Head of Airline Data Science &amp; Analytics</t>
  </si>
  <si>
    <t xml:space="preserve">Paloma Sanz de Andino Jimenéz</t>
  </si>
  <si>
    <t xml:space="preserve">NDC Onboarding and Operation Manager</t>
  </si>
  <si>
    <t xml:space="preserve">Rita Ribeiro</t>
  </si>
  <si>
    <t xml:space="preserve">Head of General Services</t>
  </si>
  <si>
    <t xml:space="preserve">EDP</t>
  </si>
  <si>
    <t xml:space="preserve">Cassie Schmid</t>
  </si>
  <si>
    <t xml:space="preserve">Chief Strategy Officer</t>
  </si>
  <si>
    <t xml:space="preserve">Philadelphia International Airport</t>
  </si>
  <si>
    <t xml:space="preserve">Peta Wolmarans</t>
  </si>
  <si>
    <t xml:space="preserve">Vice President</t>
  </si>
  <si>
    <t xml:space="preserve">Ricondo</t>
  </si>
  <si>
    <t xml:space="preserve">Owner</t>
  </si>
  <si>
    <t xml:space="preserve">Founder</t>
  </si>
  <si>
    <t xml:space="preserve">Girish Nair</t>
  </si>
  <si>
    <t xml:space="preserve">Chief Operating Officer</t>
  </si>
  <si>
    <t xml:space="preserve">Bangalore International Airport</t>
  </si>
  <si>
    <t xml:space="preserve">Simon Wilcox</t>
  </si>
  <si>
    <t xml:space="preserve">Founder and CEO</t>
  </si>
  <si>
    <t xml:space="preserve">Wordsworth Consulting Ltd</t>
  </si>
  <si>
    <t xml:space="preserve">Joao Frias</t>
  </si>
  <si>
    <t xml:space="preserve">Head of Payments Strategy &amp; Global Fraud</t>
  </si>
  <si>
    <t xml:space="preserve">Louis Wapler</t>
  </si>
  <si>
    <t xml:space="preserve">Manager</t>
  </si>
  <si>
    <t xml:space="preserve">DANIEL BRETT</t>
  </si>
  <si>
    <t xml:space="preserve">Manager, Revenue Management - Loyalty Programs &amp; Flight Pass</t>
  </si>
  <si>
    <t xml:space="preserve">Executive officer/CMO, Strategy Lead</t>
  </si>
  <si>
    <t xml:space="preserve">CEO and Cofounder</t>
  </si>
  <si>
    <t xml:space="preserve">Paulo Aguiar</t>
  </si>
  <si>
    <t xml:space="preserve">VP of Airline Solutions &amp; Strategy</t>
  </si>
  <si>
    <t xml:space="preserve">Amach</t>
  </si>
  <si>
    <t xml:space="preserve">Choorah Singh Ark</t>
  </si>
  <si>
    <t xml:space="preserve">Ark Advisory</t>
  </si>
  <si>
    <t xml:space="preserve">Group Head of Strategy &amp; SVP Strategy, Alliances &amp; Partnerships</t>
  </si>
  <si>
    <t xml:space="preserve">Schafer Newman</t>
  </si>
  <si>
    <t xml:space="preserve">Strategy and Insights Manager</t>
  </si>
  <si>
    <t xml:space="preserve">ZS Associates</t>
  </si>
  <si>
    <t xml:space="preserve">Phillip Dugaw</t>
  </si>
  <si>
    <t xml:space="preserve">Director partner strategy</t>
  </si>
  <si>
    <t xml:space="preserve">American airlines</t>
  </si>
  <si>
    <t xml:space="preserve">Kai Paroma</t>
  </si>
  <si>
    <t xml:space="preserve">Manager, Loyalty Partnerships</t>
  </si>
  <si>
    <t xml:space="preserve">Finnair</t>
  </si>
  <si>
    <t xml:space="preserve">Yilmaz Gorali</t>
  </si>
  <si>
    <t xml:space="preserve">Vice President, Airline Retailing - Product Development</t>
  </si>
  <si>
    <t xml:space="preserve">Senior Data Scientist</t>
  </si>
  <si>
    <t xml:space="preserve">Chief Officer Strategy and Growth, TTH</t>
  </si>
  <si>
    <t xml:space="preserve">VP Commercial – Global Aviation</t>
  </si>
  <si>
    <t xml:space="preserve">Samer Alhaider</t>
  </si>
  <si>
    <t xml:space="preserve">Senior Manager Online Sales</t>
  </si>
  <si>
    <t xml:space="preserve">Bryony Macdonald</t>
  </si>
  <si>
    <t xml:space="preserve">Head of Partner Success, UK</t>
  </si>
  <si>
    <t xml:space="preserve">Klarna</t>
  </si>
  <si>
    <t xml:space="preserve">Product Solutions Manager</t>
  </si>
  <si>
    <t xml:space="preserve">Alex Mattos</t>
  </si>
  <si>
    <t xml:space="preserve">Co-Founder &amp; Managing Director</t>
  </si>
  <si>
    <t xml:space="preserve">i6 Group</t>
  </si>
  <si>
    <t xml:space="preserve">Steven Fitzgerald</t>
  </si>
  <si>
    <t xml:space="preserve">Director of Sustainability &amp; Finance</t>
  </si>
  <si>
    <t xml:space="preserve">Ryanair Holdings PLC</t>
  </si>
  <si>
    <t xml:space="preserve">CEO &amp; Founder</t>
  </si>
  <si>
    <t xml:space="preserve">President</t>
  </si>
  <si>
    <t xml:space="preserve">Lead FDE</t>
  </si>
  <si>
    <t xml:space="preserve">Mustafa Egilmezbilek</t>
  </si>
  <si>
    <t xml:space="preserve">Maddalena Mirai</t>
  </si>
  <si>
    <t xml:space="preserve">VP IAG Group Commercial Strategy</t>
  </si>
  <si>
    <t xml:space="preserve">Ivan Ordas Villamandos</t>
  </si>
  <si>
    <t xml:space="preserve">Head of Distribution and Alliances</t>
  </si>
  <si>
    <t xml:space="preserve">Frontier Airlines</t>
  </si>
  <si>
    <t xml:space="preserve">Rolf Thomke</t>
  </si>
  <si>
    <t xml:space="preserve">Head of Digital Distribution Europe</t>
  </si>
  <si>
    <t xml:space="preserve">Singapore Airlines Limited</t>
  </si>
  <si>
    <t xml:space="preserve">Sean Holdstock</t>
  </si>
  <si>
    <t xml:space="preserve">Head of Aviation EMEA</t>
  </si>
  <si>
    <t xml:space="preserve">Antom</t>
  </si>
  <si>
    <t xml:space="preserve">Ian Citulsky</t>
  </si>
  <si>
    <t xml:space="preserve">SVP Air and Canada</t>
  </si>
  <si>
    <t xml:space="preserve">Flex Pay</t>
  </si>
  <si>
    <t xml:space="preserve">VP, Travel &amp; Hospitality Strategy</t>
  </si>
  <si>
    <t xml:space="preserve">Adam Schipper</t>
  </si>
  <si>
    <t xml:space="preserve">Global Aviation Lead</t>
  </si>
  <si>
    <t xml:space="preserve">Ericsson</t>
  </si>
  <si>
    <t xml:space="preserve">Chamith Seneviratne</t>
  </si>
  <si>
    <t xml:space="preserve">Manager, Airport Operations</t>
  </si>
  <si>
    <t xml:space="preserve">Marc-Philippe Lumpé</t>
  </si>
  <si>
    <t xml:space="preserve">Chief Operations Officer</t>
  </si>
  <si>
    <t xml:space="preserve">Air Transat</t>
  </si>
  <si>
    <t xml:space="preserve">Surya Kuchibotla</t>
  </si>
  <si>
    <t xml:space="preserve">VP eCommerce, Ancillary and Retailing</t>
  </si>
  <si>
    <t xml:space="preserve">OMAN AIR</t>
  </si>
  <si>
    <t xml:space="preserve">Sharon Huetson</t>
  </si>
  <si>
    <t xml:space="preserve">Head of Proposition</t>
  </si>
  <si>
    <t xml:space="preserve">easyJet</t>
  </si>
  <si>
    <t xml:space="preserve">Patrick Dowling</t>
  </si>
  <si>
    <t xml:space="preserve">VP Partnerships</t>
  </si>
  <si>
    <t xml:space="preserve">Airalo</t>
  </si>
  <si>
    <t xml:space="preserve">Anvar Kasimov</t>
  </si>
  <si>
    <t xml:space="preserve">Head of the Strategic Development, Project Management and International Relations Department</t>
  </si>
  <si>
    <t xml:space="preserve">Uzbekistan Airports JSC</t>
  </si>
  <si>
    <t xml:space="preserve">Mike Hardaker</t>
  </si>
  <si>
    <t xml:space="preserve">Chief Asset and Development Officer</t>
  </si>
  <si>
    <t xml:space="preserve">Manchester Airport Group</t>
  </si>
  <si>
    <t xml:space="preserve">Senior Innovation Manager</t>
  </si>
  <si>
    <t xml:space="preserve">Sales Manager</t>
  </si>
  <si>
    <t xml:space="preserve">Karim Makhlouf</t>
  </si>
  <si>
    <t xml:space="preserve">Royal Jordanian Airlines</t>
  </si>
  <si>
    <t xml:space="preserve">Business Development Manager Green Hydrogen &amp; Carbon Management</t>
  </si>
  <si>
    <t xml:space="preserve">Maciej Kowalówczany</t>
  </si>
  <si>
    <t xml:space="preserve">Head of Customer Experience Strategy</t>
  </si>
  <si>
    <t xml:space="preserve">LOT Polish Airlines</t>
  </si>
  <si>
    <t xml:space="preserve">Frank de Boer</t>
  </si>
  <si>
    <t xml:space="preserve">Director Data and Technology | Customer Loyalty | Flying Blue</t>
  </si>
  <si>
    <t xml:space="preserve">Air France / KLM</t>
  </si>
  <si>
    <t xml:space="preserve">Matthew Walker</t>
  </si>
  <si>
    <t xml:space="preserve">Head of Marketing</t>
  </si>
  <si>
    <t xml:space="preserve">Plan3</t>
  </si>
  <si>
    <t xml:space="preserve">Shiv Nayak</t>
  </si>
  <si>
    <t xml:space="preserve">Head of Data and AI Architecture</t>
  </si>
  <si>
    <t xml:space="preserve">Ihsan Bari</t>
  </si>
  <si>
    <t xml:space="preserve">Head of Contracts &amp; Performance</t>
  </si>
  <si>
    <t xml:space="preserve">Etihad Airways</t>
  </si>
  <si>
    <t xml:space="preserve">Abdulrahman Alkhatabi</t>
  </si>
  <si>
    <t xml:space="preserve">Senior Manager Crew Utilization</t>
  </si>
  <si>
    <t xml:space="preserve">Saudia</t>
  </si>
  <si>
    <t xml:space="preserve">CEO &amp; Co-Founder</t>
  </si>
  <si>
    <t xml:space="preserve">Jonathan Hankin</t>
  </si>
  <si>
    <t xml:space="preserve">Head of ESG</t>
  </si>
  <si>
    <t xml:space="preserve">Menzies Aviation</t>
  </si>
  <si>
    <t xml:space="preserve">David Buckley</t>
  </si>
  <si>
    <t xml:space="preserve">Flight Operations Manager - Efficiencies &amp; Sustainability</t>
  </si>
  <si>
    <t xml:space="preserve">Yuval Hochberg</t>
  </si>
  <si>
    <t xml:space="preserve">VP Product Strategy &amp; Sales</t>
  </si>
  <si>
    <t xml:space="preserve">Fetcherr Ltd</t>
  </si>
  <si>
    <t xml:space="preserve">Felix Velazquez</t>
  </si>
  <si>
    <t xml:space="preserve">Chief Revenue Officer</t>
  </si>
  <si>
    <t xml:space="preserve">Vivaaerobus</t>
  </si>
  <si>
    <t xml:space="preserve">Director AI &amp; Customer Experience</t>
  </si>
  <si>
    <t xml:space="preserve">OAG</t>
  </si>
  <si>
    <t xml:space="preserve">Michael Corcoran</t>
  </si>
  <si>
    <t xml:space="preserve">Co-Founder</t>
  </si>
  <si>
    <t xml:space="preserve">Slice Social</t>
  </si>
  <si>
    <t xml:space="preserve">Oisin Lunny</t>
  </si>
  <si>
    <t xml:space="preserve">Event MC, Journalist, Podcast and Webinar Host</t>
  </si>
  <si>
    <t xml:space="preserve">Galaxy of OM, S.L.</t>
  </si>
  <si>
    <t xml:space="preserve">Lars Redeligx</t>
  </si>
  <si>
    <t xml:space="preserve">Dusseldorf Airport</t>
  </si>
  <si>
    <t xml:space="preserve">Luis Felipe De Oliveira</t>
  </si>
  <si>
    <t xml:space="preserve">Executive Director and CEO</t>
  </si>
  <si>
    <t xml:space="preserve">Exactly Consulting and Services Sarl</t>
  </si>
  <si>
    <t xml:space="preserve">Amy Burr</t>
  </si>
  <si>
    <t xml:space="preserve">SKY VC</t>
  </si>
  <si>
    <t xml:space="preserve">Lennart Dobravsky</t>
  </si>
  <si>
    <t xml:space="preserve">Research+Attitude</t>
  </si>
  <si>
    <t xml:space="preserve">Olubunmi Kuku</t>
  </si>
  <si>
    <t xml:space="preserve">Managing Director/Chief Executive</t>
  </si>
  <si>
    <t xml:space="preserve">FEDERAL AIRPORTS AUTHORITY OF NIGERIA</t>
  </si>
  <si>
    <t xml:space="preserve">Javlonbek Umarkhodjaev</t>
  </si>
  <si>
    <t xml:space="preserve">Chairman of the Management Board</t>
  </si>
  <si>
    <t xml:space="preserve">Cara Whitehill</t>
  </si>
  <si>
    <t xml:space="preserve">Operating Partner</t>
  </si>
  <si>
    <t xml:space="preserve">Thayer Investment Partners</t>
  </si>
  <si>
    <t xml:space="preserve">Amir Amidi</t>
  </si>
  <si>
    <t xml:space="preserve">Managing Partner</t>
  </si>
  <si>
    <t xml:space="preserve">Plug and Play Tech Center</t>
  </si>
  <si>
    <t xml:space="preserve">Dan Fischer</t>
  </si>
  <si>
    <t xml:space="preserve">Head of Digital Product, Strategy &amp; Design</t>
  </si>
  <si>
    <t xml:space="preserve">Virgin Australia</t>
  </si>
  <si>
    <t xml:space="preserve">Mark Lenahan</t>
  </si>
  <si>
    <t xml:space="preserve">Consultant</t>
  </si>
  <si>
    <t xml:space="preserve">Lenahan Consulting Ltd</t>
  </si>
  <si>
    <t xml:space="preserve">Co-founder &amp; CEO</t>
  </si>
  <si>
    <t xml:space="preserve">Eivind Roald</t>
  </si>
  <si>
    <t xml:space="preserve">Norse Atlantic Airways</t>
  </si>
  <si>
    <t xml:space="preserve">John Strickland</t>
  </si>
  <si>
    <t xml:space="preserve">JLS Consulting</t>
  </si>
  <si>
    <t xml:space="preserve">Iyad Hindiyeh</t>
  </si>
  <si>
    <t xml:space="preserve">CDO</t>
  </si>
  <si>
    <t xml:space="preserve">GAL - GMR Group</t>
  </si>
  <si>
    <t xml:space="preserve">Head of Flying Blue, VP Loyalty</t>
  </si>
  <si>
    <t xml:space="preserve">Head of EA, Governance, Data &amp; AI, Agentic COE</t>
  </si>
  <si>
    <t xml:space="preserve">Daniel Langhage</t>
  </si>
  <si>
    <t xml:space="preserve">Oystin Advisory GmbH</t>
  </si>
  <si>
    <t xml:space="preserve">Project Manager, Global Business Department</t>
  </si>
  <si>
    <t xml:space="preserve">COO</t>
  </si>
  <si>
    <t xml:space="preserve">Chief Technology Officer</t>
  </si>
  <si>
    <t xml:space="preserve">Vanesa Calvo</t>
  </si>
  <si>
    <t xml:space="preserve">Head of Funding and Innovation Trends</t>
  </si>
  <si>
    <t xml:space="preserve">A.E.N.A.</t>
  </si>
  <si>
    <t xml:space="preserve">Sanne Cox</t>
  </si>
  <si>
    <t xml:space="preserve">Innovation Manager</t>
  </si>
  <si>
    <t xml:space="preserve">Royal Schiphol Group</t>
  </si>
  <si>
    <t xml:space="preserve">Eric Boromisa</t>
  </si>
  <si>
    <t xml:space="preserve">Founder | Managing Partner</t>
  </si>
  <si>
    <t xml:space="preserve">Numbers &amp; Letters Advisory</t>
  </si>
  <si>
    <t xml:space="preserve">Anand Mishra</t>
  </si>
  <si>
    <t xml:space="preserve">VP of Technology</t>
  </si>
  <si>
    <t xml:space="preserve">ATPCO</t>
  </si>
  <si>
    <t xml:space="preserve">Sinead Finn</t>
  </si>
  <si>
    <t xml:space="preserve">affinnity</t>
  </si>
  <si>
    <t xml:space="preserve">Head of Customer, Business Development &amp; Controlling</t>
  </si>
  <si>
    <t xml:space="preserve">Chief Strategy &amp; External Affairs Officer</t>
  </si>
  <si>
    <t xml:space="preserve">Ofir Goldman</t>
  </si>
  <si>
    <t xml:space="preserve">Director of Global Marketing &amp; Digital</t>
  </si>
  <si>
    <t xml:space="preserve">EL AL Israel Airlines</t>
  </si>
  <si>
    <t xml:space="preserve">Benny Yonovich</t>
  </si>
  <si>
    <t xml:space="preserve">Co-Founder &amp; CEO</t>
  </si>
  <si>
    <t xml:space="preserve">Arbitrip</t>
  </si>
  <si>
    <t xml:space="preserve">Junior Commercial Associate</t>
  </si>
  <si>
    <t xml:space="preserve">Jörg Ahrens</t>
  </si>
  <si>
    <t xml:space="preserve">Head of IT Commercial Systems</t>
  </si>
  <si>
    <t xml:space="preserve">Condor Flugdienst GmbH</t>
  </si>
  <si>
    <t xml:space="preserve">Bhaskara Guntreddy</t>
  </si>
  <si>
    <t xml:space="preserve">Senior Vice President, Product</t>
  </si>
  <si>
    <t xml:space="preserve">Marco Contento</t>
  </si>
  <si>
    <t xml:space="preserve">VP Aviation Business Services</t>
  </si>
  <si>
    <t xml:space="preserve">IBS Software</t>
  </si>
  <si>
    <t xml:space="preserve">Jay Sorensen</t>
  </si>
  <si>
    <t xml:space="preserve">IdeaWorksCompany</t>
  </si>
  <si>
    <t xml:space="preserve">Mihai Tica</t>
  </si>
  <si>
    <t xml:space="preserve">Omer Faruk Sonmez</t>
  </si>
  <si>
    <t xml:space="preserve">Senior Vice President Marketing</t>
  </si>
  <si>
    <t xml:space="preserve">Mahesh Veda</t>
  </si>
  <si>
    <t xml:space="preserve">Raj Sivakumar</t>
  </si>
  <si>
    <t xml:space="preserve">Corporate Senior Vice President</t>
  </si>
  <si>
    <t xml:space="preserve">Co-founder</t>
  </si>
  <si>
    <t xml:space="preserve">Ivan Karlovic</t>
  </si>
  <si>
    <t xml:space="preserve">Director of data, analytics, and AI</t>
  </si>
  <si>
    <t xml:space="preserve">Norwegian</t>
  </si>
  <si>
    <t xml:space="preserve">Kushal Pasari</t>
  </si>
  <si>
    <t xml:space="preserve">Director - AI/ML Engineering &amp; Platforms</t>
  </si>
  <si>
    <t xml:space="preserve">Tauseef Khan</t>
  </si>
  <si>
    <t xml:space="preserve">Manager of Data &amp; AI</t>
  </si>
  <si>
    <t xml:space="preserve">Adviser</t>
  </si>
  <si>
    <t xml:space="preserve">CEO &amp; Co-founder</t>
  </si>
  <si>
    <t xml:space="preserve">Rui Santos</t>
  </si>
  <si>
    <t xml:space="preserve">Jose Rui Marcelino</t>
  </si>
  <si>
    <t xml:space="preserve">Margarida Pinto</t>
  </si>
  <si>
    <t xml:space="preserve">Dário Pedro</t>
  </si>
  <si>
    <t xml:space="preserve">Nelson Vaz</t>
  </si>
  <si>
    <t xml:space="preserve">David Cruz</t>
  </si>
  <si>
    <t xml:space="preserve">Head of Business Development</t>
  </si>
  <si>
    <t xml:space="preserve">Lissette Castaneda</t>
  </si>
  <si>
    <t xml:space="preserve">Head of Ancillary Revenue</t>
  </si>
  <si>
    <t xml:space="preserve">Founder, Chief Product Officer</t>
  </si>
  <si>
    <t xml:space="preserve">Barbara Bassi Modalek</t>
  </si>
  <si>
    <t xml:space="preserve">Virtuwella</t>
  </si>
  <si>
    <t xml:space="preserve">emna TOUIHRI</t>
  </si>
  <si>
    <t xml:space="preserve">Co-founder&amp;CEO</t>
  </si>
  <si>
    <t xml:space="preserve">AERAUT</t>
  </si>
  <si>
    <t xml:space="preserve">Sally Bunnell</t>
  </si>
  <si>
    <t xml:space="preserve">Navi Savi Video Travel Marketplace</t>
  </si>
  <si>
    <t xml:space="preserve">Uma Gopinath</t>
  </si>
  <si>
    <t xml:space="preserve">SVP and Chief Information Officer</t>
  </si>
  <si>
    <t xml:space="preserve">Porter Airlines</t>
  </si>
  <si>
    <t xml:space="preserve">Gilbert Ott</t>
  </si>
  <si>
    <t xml:space="preserve">Director, Loyalty</t>
  </si>
  <si>
    <t xml:space="preserve">oneworld Alliance</t>
  </si>
  <si>
    <t xml:space="preserve">Adam Kressler</t>
  </si>
  <si>
    <t xml:space="preserve">Vice President of Customer Experience</t>
  </si>
  <si>
    <t xml:space="preserve">Cincinnati/Northern Kentucky International Airport (CVG)</t>
  </si>
  <si>
    <t xml:space="preserve">Annemijn Schoenmaker</t>
  </si>
  <si>
    <t xml:space="preserve">Head of Business Platform Infrastructure &amp; IT Projects</t>
  </si>
  <si>
    <t xml:space="preserve">Schiphol Group</t>
  </si>
  <si>
    <t xml:space="preserve">Oliver Hendry</t>
  </si>
  <si>
    <t xml:space="preserve">Program Director</t>
  </si>
  <si>
    <t xml:space="preserve">Airports AI Alliance</t>
  </si>
  <si>
    <t xml:space="preserve">Balamurali Boggu</t>
  </si>
  <si>
    <t xml:space="preserve">Airline Domain Expert</t>
  </si>
  <si>
    <t xml:space="preserve">Anupam Krishnamurthy</t>
  </si>
  <si>
    <t xml:space="preserve">Head of AI Testing</t>
  </si>
  <si>
    <t xml:space="preserve">Karen Ellis</t>
  </si>
  <si>
    <t xml:space="preserve">Airport Assistant General Manager - Chief Customer Experience Officer</t>
  </si>
  <si>
    <t xml:space="preserve">City of Atlanta/ Hartsfield- Jackson International Airport</t>
  </si>
  <si>
    <t xml:space="preserve">Harry Barrett</t>
  </si>
  <si>
    <t xml:space="preserve">Assistant Director of Airports</t>
  </si>
  <si>
    <t xml:space="preserve">Sacramento County International Airport</t>
  </si>
  <si>
    <t xml:space="preserve">Jason Cooper</t>
  </si>
  <si>
    <t xml:space="preserve">Gyoza Flights</t>
  </si>
  <si>
    <t xml:space="preserve">Mariana Zaparolli</t>
  </si>
  <si>
    <t xml:space="preserve">Director - Digital Capabilities and Accelerators</t>
  </si>
  <si>
    <t xml:space="preserve">LATAM Airlines</t>
  </si>
  <si>
    <t xml:space="preserve">Edem Akan</t>
  </si>
  <si>
    <t xml:space="preserve">Director, Enterprise Transformation</t>
  </si>
  <si>
    <t xml:space="preserve">Mustafa Al-Ausaje</t>
  </si>
  <si>
    <t xml:space="preserve">Executive consultant, Director, Technology Strategy and Transformation</t>
  </si>
  <si>
    <t xml:space="preserve">Greater Toronto Airports Authority</t>
  </si>
  <si>
    <t xml:space="preserve">Mark Wallace</t>
  </si>
  <si>
    <t xml:space="preserve">Head of Data Science</t>
  </si>
  <si>
    <t xml:space="preserve">Şeniz Gayde Ayata</t>
  </si>
  <si>
    <t xml:space="preserve">Vice President Data &amp; AI</t>
  </si>
  <si>
    <t xml:space="preserve">Carlos Faxas</t>
  </si>
  <si>
    <t xml:space="preserve">Vice President, Digital Products</t>
  </si>
  <si>
    <t xml:space="preserve">Sara Walter de Freitas</t>
  </si>
  <si>
    <t xml:space="preserve">Director Digital &amp; e-Commerce</t>
  </si>
  <si>
    <t xml:space="preserve">Glenn Morgan</t>
  </si>
  <si>
    <t xml:space="preserve">SkiesFifty</t>
  </si>
  <si>
    <t xml:space="preserve">Jonas von Kruechten</t>
  </si>
  <si>
    <t xml:space="preserve">Principal Advisor (dgtlsky)</t>
  </si>
  <si>
    <t xml:space="preserve">Dgtlsky</t>
  </si>
  <si>
    <t xml:space="preserve">No. of Sessions</t>
  </si>
</sst>
</file>

<file path=xl/styles.xml><?xml version="1.0" encoding="utf-8"?>
<styleSheet xmlns="http://schemas.openxmlformats.org/spreadsheetml/2006/main">
  <numFmts count="2">
    <numFmt numFmtId="164" formatCode="General"/>
    <numFmt numFmtId="165" formatCode="hh:mm"/>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AllSessions" displayName="AllSessions" ref="A1:T194" headerRowCount="1" totalsRowCount="0" totalsRowShown="0">
  <autoFilter ref="A1:T194"/>
  <tableColumns count="20">
    <tableColumn id="1" name="#"/>
    <tableColumn id="2" name="Day"/>
    <tableColumn id="3" name="Start"/>
    <tableColumn id="4" name="End"/>
    <tableColumn id="5" name="Stream / Category"/>
    <tableColumn id="6" name="Format"/>
    <tableColumn id="7" name="Session Title"/>
    <tableColumn id="8" name="Speakers (Name – Job Title, Company)"/>
    <tableColumn id="9" name="Speaker Names"/>
    <tableColumn id="10" name="Organisations"/>
    <tableColumn id="11" name="Speakers Listed"/>
    <tableColumn id="12" name="Additional Speakers (not shown on site)"/>
    <tableColumn id="13" name="Room / Stage"/>
    <tableColumn id="14" name="Pavilion"/>
    <tableColumn id="15" name="Room (as listed on site)"/>
    <tableColumn id="16" name="Description / Discussion Points"/>
    <tableColumn id="17" name="Registered"/>
    <tableColumn id="18" name="Capacity"/>
    <tableColumn id="19" name="Places Left"/>
    <tableColumn id="20" name="Registration Status"/>
  </tableColumns>
</table>
</file>

<file path=xl/tables/table2.xml><?xml version="1.0" encoding="utf-8"?>
<table xmlns="http://schemas.openxmlformats.org/spreadsheetml/2006/main" id="2" name="Day2" displayName="Day2" ref="A1:T139" headerRowCount="1" totalsRowCount="0" totalsRowShown="0">
  <autoFilter ref="A1:T139"/>
  <tableColumns count="20">
    <tableColumn id="1" name="#"/>
    <tableColumn id="2" name="Day"/>
    <tableColumn id="3" name="Start"/>
    <tableColumn id="4" name="End"/>
    <tableColumn id="5" name="Stream / Category"/>
    <tableColumn id="6" name="Format"/>
    <tableColumn id="7" name="Session Title"/>
    <tableColumn id="8" name="Speakers (Name – Job Title, Company)"/>
    <tableColumn id="9" name="Speaker Names"/>
    <tableColumn id="10" name="Organisations"/>
    <tableColumn id="11" name="Speakers Listed"/>
    <tableColumn id="12" name="Additional Speakers (not shown on site)"/>
    <tableColumn id="13" name="Room / Stage"/>
    <tableColumn id="14" name="Pavilion"/>
    <tableColumn id="15" name="Room (as listed on site)"/>
    <tableColumn id="16" name="Description / Discussion Points"/>
    <tableColumn id="17" name="Registered"/>
    <tableColumn id="18" name="Capacity"/>
    <tableColumn id="19" name="Places Left"/>
    <tableColumn id="20" name="Registration Status"/>
  </tableColumns>
</table>
</file>

<file path=xl/tables/table3.xml><?xml version="1.0" encoding="utf-8"?>
<table xmlns="http://schemas.openxmlformats.org/spreadsheetml/2006/main" id="3" name="Day3" displayName="Day3" ref="A1:T56" headerRowCount="1" totalsRowCount="0" totalsRowShown="0">
  <autoFilter ref="A1:T56"/>
  <tableColumns count="20">
    <tableColumn id="1" name="#"/>
    <tableColumn id="2" name="Day"/>
    <tableColumn id="3" name="Start"/>
    <tableColumn id="4" name="End"/>
    <tableColumn id="5" name="Stream / Category"/>
    <tableColumn id="6" name="Format"/>
    <tableColumn id="7" name="Session Title"/>
    <tableColumn id="8" name="Speakers (Name – Job Title, Company)"/>
    <tableColumn id="9" name="Speaker Names"/>
    <tableColumn id="10" name="Organisations"/>
    <tableColumn id="11" name="Speakers Listed"/>
    <tableColumn id="12" name="Additional Speakers (not shown on site)"/>
    <tableColumn id="13" name="Room / Stage"/>
    <tableColumn id="14" name="Pavilion"/>
    <tableColumn id="15" name="Room (as listed on site)"/>
    <tableColumn id="16" name="Description / Discussion Points"/>
    <tableColumn id="17" name="Registered"/>
    <tableColumn id="18" name="Capacity"/>
    <tableColumn id="19" name="Places Left"/>
    <tableColumn id="20" name="Registration Status"/>
  </tableColumns>
</table>
</file>

<file path=xl/tables/table4.xml><?xml version="1.0" encoding="utf-8"?>
<table xmlns="http://schemas.openxmlformats.org/spreadsheetml/2006/main" id="4" name="SpeakerAppearances" displayName="SpeakerAppearances" ref="A1:J358" headerRowCount="1" totalsRowCount="0" totalsRowShown="0">
  <autoFilter ref="A1:J358"/>
  <tableColumns count="10">
    <tableColumn id="1" name="Name"/>
    <tableColumn id="2" name="Job Title"/>
    <tableColumn id="3" name="Organisation"/>
    <tableColumn id="4" name="Role"/>
    <tableColumn id="5" name="Day"/>
    <tableColumn id="6" name="Start"/>
    <tableColumn id="7" name="Stream / Category"/>
    <tableColumn id="8" name="Format"/>
    <tableColumn id="9" name="Session Title"/>
    <tableColumn id="10" name="Room / Stage"/>
  </tableColumns>
</table>
</file>

<file path=xl/tables/table5.xml><?xml version="1.0" encoding="utf-8"?>
<table xmlns="http://schemas.openxmlformats.org/spreadsheetml/2006/main" id="5" name="SpeakerDirectory" displayName="SpeakerDirectory" ref="A1:D286" headerRowCount="1" totalsRowCount="0" totalsRowShown="0">
  <autoFilter ref="A1:D286"/>
  <tableColumns count="4">
    <tableColumn id="1" name="Name"/>
    <tableColumn id="2" name="Job Title"/>
    <tableColumn id="3" name="Organisation"/>
    <tableColumn id="4" name="No. of Sessions"/>
  </tableColumns>
</table>
</file>

<file path=xl/tables/table6.xml><?xml version="1.0" encoding="utf-8"?>
<table xmlns="http://schemas.openxmlformats.org/spreadsheetml/2006/main" id="6" name="StreamSummary" displayName="StreamSummary" ref="A9:D28" headerRowCount="1" totalsRowCount="0" totalsRowShown="0">
  <autoFilter ref="A9:D28"/>
  <tableColumns count="4">
    <tableColumn id="1" name="Stream / Category"/>
    <tableColumn id="2" name="Day 2"/>
    <tableColumn id="3" name="Day 3"/>
    <tableColumn id="4" name="Tota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6.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s>
  <sheetData>
    <row r="1" customFormat="false" ht="17.35" hidden="false" customHeight="false" outlineLevel="0" collapsed="false">
      <c r="A1" s="1" t="s">
        <v>0</v>
      </c>
    </row>
    <row r="3" customFormat="false" ht="15" hidden="false" customHeight="true" outlineLevel="0" collapsed="false">
      <c r="A3" s="2" t="s">
        <v>1</v>
      </c>
      <c r="B3" s="3" t="s">
        <v>2</v>
      </c>
      <c r="C3" s="3"/>
      <c r="D3" s="3"/>
      <c r="E3" s="3"/>
      <c r="F3" s="3"/>
      <c r="G3" s="3"/>
      <c r="H3" s="3"/>
    </row>
    <row r="4" customFormat="false" ht="15" hidden="false" customHeight="true" outlineLevel="0" collapsed="false">
      <c r="A4" s="2" t="s">
        <v>3</v>
      </c>
      <c r="B4" s="3" t="s">
        <v>4</v>
      </c>
      <c r="C4" s="3"/>
      <c r="D4" s="3"/>
      <c r="E4" s="3"/>
      <c r="F4" s="3"/>
      <c r="G4" s="3"/>
      <c r="H4" s="3"/>
    </row>
    <row r="5" customFormat="false" ht="109.5" hidden="false" customHeight="true" outlineLevel="0" collapsed="false">
      <c r="A5" s="2" t="s">
        <v>5</v>
      </c>
      <c r="B5" s="3" t="s">
        <v>6</v>
      </c>
      <c r="C5" s="3"/>
      <c r="D5" s="3"/>
      <c r="E5" s="3"/>
      <c r="F5" s="3"/>
      <c r="G5" s="3"/>
      <c r="H5" s="3"/>
    </row>
    <row r="8" customFormat="false" ht="15" hidden="false" customHeight="false" outlineLevel="0" collapsed="false">
      <c r="A8" s="4" t="s">
        <v>7</v>
      </c>
    </row>
    <row r="9" customFormat="false" ht="30" hidden="false" customHeight="true" outlineLevel="0" collapsed="false">
      <c r="A9" s="5" t="s">
        <v>8</v>
      </c>
      <c r="B9" s="5" t="s">
        <v>9</v>
      </c>
      <c r="C9" s="5" t="s">
        <v>10</v>
      </c>
      <c r="D9" s="5" t="s">
        <v>11</v>
      </c>
    </row>
    <row r="10" customFormat="false" ht="15" hidden="false" customHeight="false" outlineLevel="0" collapsed="false">
      <c r="A10" s="6" t="s">
        <v>12</v>
      </c>
      <c r="B10" s="6" t="n">
        <f aca="false">COUNTIFS('All Sessions'!$E$2:$E$194,$A10,'All Sessions'!$B$2:$B$194,"Day 2")</f>
        <v>8</v>
      </c>
      <c r="C10" s="6" t="n">
        <f aca="false">COUNTIFS('All Sessions'!$E$2:$E$194,$A10,'All Sessions'!$B$2:$B$194,"Day 3")</f>
        <v>7</v>
      </c>
      <c r="D10" s="6" t="n">
        <f aca="false">SUM(B10:C10)</f>
        <v>15</v>
      </c>
    </row>
    <row r="11" customFormat="false" ht="15" hidden="false" customHeight="false" outlineLevel="0" collapsed="false">
      <c r="A11" s="6" t="s">
        <v>13</v>
      </c>
      <c r="B11" s="6" t="n">
        <f aca="false">COUNTIFS('All Sessions'!$E$2:$E$194,$A11,'All Sessions'!$B$2:$B$194,"Day 2")</f>
        <v>16</v>
      </c>
      <c r="C11" s="6" t="n">
        <f aca="false">COUNTIFS('All Sessions'!$E$2:$E$194,$A11,'All Sessions'!$B$2:$B$194,"Day 3")</f>
        <v>7</v>
      </c>
      <c r="D11" s="6" t="n">
        <f aca="false">SUM(B11:C11)</f>
        <v>23</v>
      </c>
    </row>
    <row r="12" customFormat="false" ht="15" hidden="false" customHeight="false" outlineLevel="0" collapsed="false">
      <c r="A12" s="6" t="s">
        <v>14</v>
      </c>
      <c r="B12" s="6" t="n">
        <f aca="false">COUNTIFS('All Sessions'!$E$2:$E$194,$A12,'All Sessions'!$B$2:$B$194,"Day 2")</f>
        <v>6</v>
      </c>
      <c r="C12" s="6" t="n">
        <f aca="false">COUNTIFS('All Sessions'!$E$2:$E$194,$A12,'All Sessions'!$B$2:$B$194,"Day 3")</f>
        <v>5</v>
      </c>
      <c r="D12" s="6" t="n">
        <f aca="false">SUM(B12:C12)</f>
        <v>11</v>
      </c>
    </row>
    <row r="13" customFormat="false" ht="15" hidden="false" customHeight="false" outlineLevel="0" collapsed="false">
      <c r="A13" s="6" t="s">
        <v>15</v>
      </c>
      <c r="B13" s="6" t="n">
        <f aca="false">COUNTIFS('All Sessions'!$E$2:$E$194,$A13,'All Sessions'!$B$2:$B$194,"Day 2")</f>
        <v>3</v>
      </c>
      <c r="C13" s="6" t="n">
        <f aca="false">COUNTIFS('All Sessions'!$E$2:$E$194,$A13,'All Sessions'!$B$2:$B$194,"Day 3")</f>
        <v>2</v>
      </c>
      <c r="D13" s="6" t="n">
        <f aca="false">SUM(B13:C13)</f>
        <v>5</v>
      </c>
    </row>
    <row r="14" customFormat="false" ht="15" hidden="false" customHeight="false" outlineLevel="0" collapsed="false">
      <c r="A14" s="6" t="s">
        <v>16</v>
      </c>
      <c r="B14" s="6" t="n">
        <f aca="false">COUNTIFS('All Sessions'!$E$2:$E$194,$A14,'All Sessions'!$B$2:$B$194,"Day 2")</f>
        <v>5</v>
      </c>
      <c r="C14" s="6" t="n">
        <f aca="false">COUNTIFS('All Sessions'!$E$2:$E$194,$A14,'All Sessions'!$B$2:$B$194,"Day 3")</f>
        <v>0</v>
      </c>
      <c r="D14" s="6" t="n">
        <f aca="false">SUM(B14:C14)</f>
        <v>5</v>
      </c>
    </row>
    <row r="15" customFormat="false" ht="15" hidden="false" customHeight="false" outlineLevel="0" collapsed="false">
      <c r="A15" s="6" t="s">
        <v>17</v>
      </c>
      <c r="B15" s="6" t="n">
        <f aca="false">COUNTIFS('All Sessions'!$E$2:$E$194,$A15,'All Sessions'!$B$2:$B$194,"Day 2")</f>
        <v>6</v>
      </c>
      <c r="C15" s="6" t="n">
        <f aca="false">COUNTIFS('All Sessions'!$E$2:$E$194,$A15,'All Sessions'!$B$2:$B$194,"Day 3")</f>
        <v>2</v>
      </c>
      <c r="D15" s="6" t="n">
        <f aca="false">SUM(B15:C15)</f>
        <v>8</v>
      </c>
    </row>
    <row r="16" customFormat="false" ht="15" hidden="false" customHeight="false" outlineLevel="0" collapsed="false">
      <c r="A16" s="6" t="s">
        <v>18</v>
      </c>
      <c r="B16" s="6" t="n">
        <f aca="false">COUNTIFS('All Sessions'!$E$2:$E$194,$A16,'All Sessions'!$B$2:$B$194,"Day 2")</f>
        <v>3</v>
      </c>
      <c r="C16" s="6" t="n">
        <f aca="false">COUNTIFS('All Sessions'!$E$2:$E$194,$A16,'All Sessions'!$B$2:$B$194,"Day 3")</f>
        <v>0</v>
      </c>
      <c r="D16" s="6" t="n">
        <f aca="false">SUM(B16:C16)</f>
        <v>3</v>
      </c>
    </row>
    <row r="17" customFormat="false" ht="15" hidden="false" customHeight="false" outlineLevel="0" collapsed="false">
      <c r="A17" s="6" t="s">
        <v>19</v>
      </c>
      <c r="B17" s="6" t="n">
        <f aca="false">COUNTIFS('All Sessions'!$E$2:$E$194,$A17,'All Sessions'!$B$2:$B$194,"Day 2")</f>
        <v>8</v>
      </c>
      <c r="C17" s="6" t="n">
        <f aca="false">COUNTIFS('All Sessions'!$E$2:$E$194,$A17,'All Sessions'!$B$2:$B$194,"Day 3")</f>
        <v>0</v>
      </c>
      <c r="D17" s="6" t="n">
        <f aca="false">SUM(B17:C17)</f>
        <v>8</v>
      </c>
    </row>
    <row r="18" customFormat="false" ht="15" hidden="false" customHeight="false" outlineLevel="0" collapsed="false">
      <c r="A18" s="6" t="s">
        <v>20</v>
      </c>
      <c r="B18" s="6" t="n">
        <f aca="false">COUNTIFS('All Sessions'!$E$2:$E$194,$A18,'All Sessions'!$B$2:$B$194,"Day 2")</f>
        <v>7</v>
      </c>
      <c r="C18" s="6" t="n">
        <f aca="false">COUNTIFS('All Sessions'!$E$2:$E$194,$A18,'All Sessions'!$B$2:$B$194,"Day 3")</f>
        <v>5</v>
      </c>
      <c r="D18" s="6" t="n">
        <f aca="false">SUM(B18:C18)</f>
        <v>12</v>
      </c>
    </row>
    <row r="19" customFormat="false" ht="15" hidden="false" customHeight="false" outlineLevel="0" collapsed="false">
      <c r="A19" s="6" t="s">
        <v>21</v>
      </c>
      <c r="B19" s="6" t="n">
        <f aca="false">COUNTIFS('All Sessions'!$E$2:$E$194,$A19,'All Sessions'!$B$2:$B$194,"Day 2")</f>
        <v>3</v>
      </c>
      <c r="C19" s="6" t="n">
        <f aca="false">COUNTIFS('All Sessions'!$E$2:$E$194,$A19,'All Sessions'!$B$2:$B$194,"Day 3")</f>
        <v>0</v>
      </c>
      <c r="D19" s="6" t="n">
        <f aca="false">SUM(B19:C19)</f>
        <v>3</v>
      </c>
    </row>
    <row r="20" customFormat="false" ht="15" hidden="false" customHeight="false" outlineLevel="0" collapsed="false">
      <c r="A20" s="6" t="s">
        <v>22</v>
      </c>
      <c r="B20" s="6" t="n">
        <f aca="false">COUNTIFS('All Sessions'!$E$2:$E$194,$A20,'All Sessions'!$B$2:$B$194,"Day 2")</f>
        <v>0</v>
      </c>
      <c r="C20" s="6" t="n">
        <f aca="false">COUNTIFS('All Sessions'!$E$2:$E$194,$A20,'All Sessions'!$B$2:$B$194,"Day 3")</f>
        <v>1</v>
      </c>
      <c r="D20" s="6" t="n">
        <f aca="false">SUM(B20:C20)</f>
        <v>1</v>
      </c>
    </row>
    <row r="21" customFormat="false" ht="15" hidden="false" customHeight="false" outlineLevel="0" collapsed="false">
      <c r="A21" s="6" t="s">
        <v>23</v>
      </c>
      <c r="B21" s="6" t="n">
        <f aca="false">COUNTIFS('All Sessions'!$E$2:$E$194,$A21,'All Sessions'!$B$2:$B$194,"Day 2")</f>
        <v>7</v>
      </c>
      <c r="C21" s="6" t="n">
        <f aca="false">COUNTIFS('All Sessions'!$E$2:$E$194,$A21,'All Sessions'!$B$2:$B$194,"Day 3")</f>
        <v>6</v>
      </c>
      <c r="D21" s="6" t="n">
        <f aca="false">SUM(B21:C21)</f>
        <v>13</v>
      </c>
    </row>
    <row r="22" customFormat="false" ht="15" hidden="false" customHeight="false" outlineLevel="0" collapsed="false">
      <c r="A22" s="6" t="s">
        <v>24</v>
      </c>
      <c r="B22" s="6" t="n">
        <f aca="false">COUNTIFS('All Sessions'!$E$2:$E$194,$A22,'All Sessions'!$B$2:$B$194,"Day 2")</f>
        <v>3</v>
      </c>
      <c r="C22" s="6" t="n">
        <f aca="false">COUNTIFS('All Sessions'!$E$2:$E$194,$A22,'All Sessions'!$B$2:$B$194,"Day 3")</f>
        <v>2</v>
      </c>
      <c r="D22" s="6" t="n">
        <f aca="false">SUM(B22:C22)</f>
        <v>5</v>
      </c>
    </row>
    <row r="23" customFormat="false" ht="15" hidden="false" customHeight="false" outlineLevel="0" collapsed="false">
      <c r="A23" s="6" t="s">
        <v>25</v>
      </c>
      <c r="B23" s="6" t="n">
        <f aca="false">COUNTIFS('All Sessions'!$E$2:$E$194,$A23,'All Sessions'!$B$2:$B$194,"Day 2")</f>
        <v>7</v>
      </c>
      <c r="C23" s="6" t="n">
        <f aca="false">COUNTIFS('All Sessions'!$E$2:$E$194,$A23,'All Sessions'!$B$2:$B$194,"Day 3")</f>
        <v>0</v>
      </c>
      <c r="D23" s="6" t="n">
        <f aca="false">SUM(B23:C23)</f>
        <v>7</v>
      </c>
    </row>
    <row r="24" customFormat="false" ht="15" hidden="false" customHeight="false" outlineLevel="0" collapsed="false">
      <c r="A24" s="6" t="s">
        <v>26</v>
      </c>
      <c r="B24" s="6" t="n">
        <f aca="false">COUNTIFS('All Sessions'!$E$2:$E$194,$A24,'All Sessions'!$B$2:$B$194,"Day 2")</f>
        <v>6</v>
      </c>
      <c r="C24" s="6" t="n">
        <f aca="false">COUNTIFS('All Sessions'!$E$2:$E$194,$A24,'All Sessions'!$B$2:$B$194,"Day 3")</f>
        <v>3</v>
      </c>
      <c r="D24" s="6" t="n">
        <f aca="false">SUM(B24:C24)</f>
        <v>9</v>
      </c>
    </row>
    <row r="25" customFormat="false" ht="15" hidden="false" customHeight="false" outlineLevel="0" collapsed="false">
      <c r="A25" s="6" t="s">
        <v>27</v>
      </c>
      <c r="B25" s="6" t="n">
        <f aca="false">COUNTIFS('All Sessions'!$E$2:$E$194,$A25,'All Sessions'!$B$2:$B$194,"Day 2")</f>
        <v>20</v>
      </c>
      <c r="C25" s="6" t="n">
        <f aca="false">COUNTIFS('All Sessions'!$E$2:$E$194,$A25,'All Sessions'!$B$2:$B$194,"Day 3")</f>
        <v>2</v>
      </c>
      <c r="D25" s="6" t="n">
        <f aca="false">SUM(B25:C25)</f>
        <v>22</v>
      </c>
    </row>
    <row r="26" customFormat="false" ht="15" hidden="false" customHeight="false" outlineLevel="0" collapsed="false">
      <c r="A26" s="6" t="s">
        <v>28</v>
      </c>
      <c r="B26" s="6" t="n">
        <f aca="false">COUNTIFS('All Sessions'!$E$2:$E$194,$A26,'All Sessions'!$B$2:$B$194,"Day 2")</f>
        <v>17</v>
      </c>
      <c r="C26" s="6" t="n">
        <f aca="false">COUNTIFS('All Sessions'!$E$2:$E$194,$A26,'All Sessions'!$B$2:$B$194,"Day 3")</f>
        <v>12</v>
      </c>
      <c r="D26" s="6" t="n">
        <f aca="false">SUM(B26:C26)</f>
        <v>29</v>
      </c>
    </row>
    <row r="27" customFormat="false" ht="15" hidden="false" customHeight="false" outlineLevel="0" collapsed="false">
      <c r="A27" s="6" t="s">
        <v>29</v>
      </c>
      <c r="B27" s="6" t="n">
        <f aca="false">COUNTIFS('All Sessions'!$E$2:$E$194,$A27,'All Sessions'!$B$2:$B$194,"Day 2")</f>
        <v>10</v>
      </c>
      <c r="C27" s="6" t="n">
        <f aca="false">COUNTIFS('All Sessions'!$E$2:$E$194,$A27,'All Sessions'!$B$2:$B$194,"Day 3")</f>
        <v>0</v>
      </c>
      <c r="D27" s="6" t="n">
        <f aca="false">SUM(B27:C27)</f>
        <v>10</v>
      </c>
    </row>
    <row r="28" customFormat="false" ht="15" hidden="false" customHeight="false" outlineLevel="0" collapsed="false">
      <c r="A28" s="6" t="s">
        <v>30</v>
      </c>
      <c r="B28" s="6" t="n">
        <f aca="false">COUNTIFS('All Sessions'!$E$2:$E$194,$A28,'All Sessions'!$B$2:$B$194,"Day 2")</f>
        <v>3</v>
      </c>
      <c r="C28" s="6" t="n">
        <f aca="false">COUNTIFS('All Sessions'!$E$2:$E$194,$A28,'All Sessions'!$B$2:$B$194,"Day 3")</f>
        <v>1</v>
      </c>
      <c r="D28" s="6" t="n">
        <f aca="false">SUM(B28:C28)</f>
        <v>4</v>
      </c>
    </row>
    <row r="29" customFormat="false" ht="15" hidden="false" customHeight="false" outlineLevel="0" collapsed="false">
      <c r="A29" s="2" t="s">
        <v>11</v>
      </c>
      <c r="B29" s="2" t="n">
        <f aca="false">SUM(B10:B28)</f>
        <v>138</v>
      </c>
      <c r="C29" s="2" t="n">
        <f aca="false">SUM(C10:C28)</f>
        <v>55</v>
      </c>
      <c r="D29" s="2" t="n">
        <f aca="false">SUM(D10:D28)</f>
        <v>193</v>
      </c>
    </row>
  </sheetData>
  <mergeCells count="3">
    <mergeCell ref="B3:H3"/>
    <mergeCell ref="B4:H4"/>
    <mergeCell ref="B5:H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7"/>
    <col collapsed="false" customWidth="true" hidden="false" outlineLevel="0" max="5" min="5" style="0" width="20"/>
    <col collapsed="false" customWidth="true" hidden="false" outlineLevel="0" max="6" min="6" style="0" width="14"/>
    <col collapsed="false" customWidth="true" hidden="false" outlineLevel="0" max="7" min="7" style="0" width="50"/>
    <col collapsed="false" customWidth="true" hidden="false" outlineLevel="0" max="8" min="8" style="0" width="55"/>
    <col collapsed="false" customWidth="true" hidden="false" outlineLevel="0" max="10" min="9" style="0" width="35"/>
    <col collapsed="false" customWidth="true" hidden="false" outlineLevel="0" max="11" min="11" style="0" width="9"/>
    <col collapsed="false" customWidth="true" hidden="false" outlineLevel="0" max="12" min="12" style="0" width="12"/>
    <col collapsed="false" customWidth="true" hidden="false" outlineLevel="0" max="13" min="13" style="0" width="26"/>
    <col collapsed="false" customWidth="true" hidden="false" outlineLevel="0" max="14" min="14" style="0" width="11"/>
    <col collapsed="false" customWidth="true" hidden="false" outlineLevel="0" max="15" min="15" style="0" width="26"/>
    <col collapsed="false" customWidth="true" hidden="false" outlineLevel="0" max="16" min="16" style="0" width="80"/>
    <col collapsed="false" customWidth="true" hidden="false" outlineLevel="0" max="17" min="17" style="0" width="10"/>
    <col collapsed="false" customWidth="true" hidden="false" outlineLevel="0" max="19" min="18" style="0" width="9"/>
    <col collapsed="false" customWidth="true" hidden="false" outlineLevel="0" max="20" min="20" style="0" width="13"/>
  </cols>
  <sheetData>
    <row r="1" customFormat="false" ht="30" hidden="false" customHeight="true" outlineLevel="0" collapsed="false">
      <c r="A1" s="5" t="s">
        <v>31</v>
      </c>
      <c r="B1" s="5" t="s">
        <v>32</v>
      </c>
      <c r="C1" s="5" t="s">
        <v>33</v>
      </c>
      <c r="D1" s="5" t="s">
        <v>34</v>
      </c>
      <c r="E1" s="5" t="s">
        <v>8</v>
      </c>
      <c r="F1" s="5" t="s">
        <v>35</v>
      </c>
      <c r="G1" s="5" t="s">
        <v>36</v>
      </c>
      <c r="H1" s="5" t="s">
        <v>37</v>
      </c>
      <c r="I1" s="5" t="s">
        <v>38</v>
      </c>
      <c r="J1" s="5" t="s">
        <v>39</v>
      </c>
      <c r="K1" s="5" t="s">
        <v>40</v>
      </c>
      <c r="L1" s="5" t="s">
        <v>41</v>
      </c>
      <c r="M1" s="5" t="s">
        <v>42</v>
      </c>
      <c r="N1" s="5" t="s">
        <v>43</v>
      </c>
      <c r="O1" s="5" t="s">
        <v>44</v>
      </c>
      <c r="P1" s="5" t="s">
        <v>45</v>
      </c>
      <c r="Q1" s="5" t="s">
        <v>46</v>
      </c>
      <c r="R1" s="5" t="s">
        <v>47</v>
      </c>
      <c r="S1" s="5" t="s">
        <v>48</v>
      </c>
      <c r="T1" s="5" t="s">
        <v>49</v>
      </c>
    </row>
    <row r="2" customFormat="false" ht="23.85" hidden="false" customHeight="false" outlineLevel="0" collapsed="false">
      <c r="A2" s="6" t="n">
        <v>1</v>
      </c>
      <c r="B2" s="6" t="s">
        <v>9</v>
      </c>
      <c r="C2" s="7" t="n">
        <v>0.34375</v>
      </c>
      <c r="D2" s="7"/>
      <c r="E2" s="6" t="s">
        <v>24</v>
      </c>
      <c r="F2" s="6" t="s">
        <v>24</v>
      </c>
      <c r="G2" s="6" t="s">
        <v>50</v>
      </c>
      <c r="H2" s="6" t="s">
        <v>51</v>
      </c>
      <c r="I2" s="6" t="s">
        <v>52</v>
      </c>
      <c r="J2" s="6" t="s">
        <v>53</v>
      </c>
      <c r="K2" s="6" t="n">
        <v>1</v>
      </c>
      <c r="L2" s="6"/>
      <c r="M2" s="6" t="s">
        <v>54</v>
      </c>
      <c r="N2" s="6" t="s">
        <v>55</v>
      </c>
      <c r="O2" s="6" t="s">
        <v>56</v>
      </c>
      <c r="P2" s="6"/>
      <c r="Q2" s="6"/>
      <c r="R2" s="6"/>
      <c r="S2" s="6"/>
      <c r="T2" s="6"/>
    </row>
    <row r="3" customFormat="false" ht="15" hidden="false" customHeight="false" outlineLevel="0" collapsed="false">
      <c r="A3" s="6" t="n">
        <v>2</v>
      </c>
      <c r="B3" s="6" t="s">
        <v>9</v>
      </c>
      <c r="C3" s="7" t="n">
        <v>0.381944444444444</v>
      </c>
      <c r="D3" s="7"/>
      <c r="E3" s="6" t="s">
        <v>13</v>
      </c>
      <c r="F3" s="6" t="s">
        <v>57</v>
      </c>
      <c r="G3" s="6" t="s">
        <v>58</v>
      </c>
      <c r="H3" s="6" t="s">
        <v>59</v>
      </c>
      <c r="I3" s="6" t="s">
        <v>60</v>
      </c>
      <c r="J3" s="6" t="s">
        <v>61</v>
      </c>
      <c r="K3" s="6" t="n">
        <v>1</v>
      </c>
      <c r="L3" s="6"/>
      <c r="M3" s="6" t="s">
        <v>62</v>
      </c>
      <c r="N3" s="6" t="s">
        <v>63</v>
      </c>
      <c r="O3" s="6" t="s">
        <v>64</v>
      </c>
      <c r="P3" s="6"/>
      <c r="Q3" s="6"/>
      <c r="R3" s="6"/>
      <c r="S3" s="6"/>
      <c r="T3" s="6"/>
    </row>
    <row r="4" customFormat="false" ht="23.85" hidden="false" customHeight="false" outlineLevel="0" collapsed="false">
      <c r="A4" s="6" t="n">
        <v>3</v>
      </c>
      <c r="B4" s="6" t="s">
        <v>9</v>
      </c>
      <c r="C4" s="7" t="n">
        <v>0.385416666666667</v>
      </c>
      <c r="D4" s="7"/>
      <c r="E4" s="6" t="s">
        <v>17</v>
      </c>
      <c r="F4" s="6" t="s">
        <v>57</v>
      </c>
      <c r="G4" s="6" t="s">
        <v>65</v>
      </c>
      <c r="H4" s="6" t="s">
        <v>66</v>
      </c>
      <c r="I4" s="6" t="s">
        <v>67</v>
      </c>
      <c r="J4" s="6" t="s">
        <v>68</v>
      </c>
      <c r="K4" s="6" t="n">
        <v>1</v>
      </c>
      <c r="L4" s="6"/>
      <c r="M4" s="6" t="s">
        <v>69</v>
      </c>
      <c r="N4" s="6" t="s">
        <v>55</v>
      </c>
      <c r="O4" s="6" t="s">
        <v>69</v>
      </c>
      <c r="P4" s="6"/>
      <c r="Q4" s="6"/>
      <c r="R4" s="6"/>
      <c r="S4" s="6"/>
      <c r="T4" s="6"/>
    </row>
    <row r="5" customFormat="false" ht="23.85" hidden="false" customHeight="false" outlineLevel="0" collapsed="false">
      <c r="A5" s="6" t="n">
        <v>4</v>
      </c>
      <c r="B5" s="6" t="s">
        <v>9</v>
      </c>
      <c r="C5" s="7" t="n">
        <v>0.388888888888889</v>
      </c>
      <c r="D5" s="7"/>
      <c r="E5" s="6" t="s">
        <v>17</v>
      </c>
      <c r="F5" s="6" t="s">
        <v>70</v>
      </c>
      <c r="G5" s="6" t="s">
        <v>71</v>
      </c>
      <c r="H5" s="6" t="s">
        <v>72</v>
      </c>
      <c r="I5" s="6" t="s">
        <v>73</v>
      </c>
      <c r="J5" s="6" t="s">
        <v>74</v>
      </c>
      <c r="K5" s="6" t="n">
        <v>2</v>
      </c>
      <c r="L5" s="6"/>
      <c r="M5" s="6" t="s">
        <v>69</v>
      </c>
      <c r="N5" s="6" t="s">
        <v>55</v>
      </c>
      <c r="O5" s="6" t="s">
        <v>69</v>
      </c>
      <c r="P5" s="6"/>
      <c r="Q5" s="6"/>
      <c r="R5" s="6"/>
      <c r="S5" s="6"/>
      <c r="T5" s="6"/>
    </row>
    <row r="6" customFormat="false" ht="23.85" hidden="false" customHeight="false" outlineLevel="0" collapsed="false">
      <c r="A6" s="6" t="n">
        <v>5</v>
      </c>
      <c r="B6" s="6" t="s">
        <v>9</v>
      </c>
      <c r="C6" s="7" t="n">
        <v>0.388888888888889</v>
      </c>
      <c r="D6" s="7"/>
      <c r="E6" s="6" t="s">
        <v>13</v>
      </c>
      <c r="F6" s="6" t="s">
        <v>70</v>
      </c>
      <c r="G6" s="6" t="s">
        <v>75</v>
      </c>
      <c r="H6" s="6" t="s">
        <v>76</v>
      </c>
      <c r="I6" s="6" t="s">
        <v>77</v>
      </c>
      <c r="J6" s="6" t="s">
        <v>78</v>
      </c>
      <c r="K6" s="6" t="n">
        <v>2</v>
      </c>
      <c r="L6" s="6"/>
      <c r="M6" s="6" t="s">
        <v>62</v>
      </c>
      <c r="N6" s="6" t="s">
        <v>63</v>
      </c>
      <c r="O6" s="6" t="s">
        <v>62</v>
      </c>
      <c r="P6" s="6"/>
      <c r="Q6" s="6"/>
      <c r="R6" s="6"/>
      <c r="S6" s="6"/>
      <c r="T6" s="6"/>
    </row>
    <row r="7" customFormat="false" ht="23.85" hidden="false" customHeight="false" outlineLevel="0" collapsed="false">
      <c r="A7" s="6" t="n">
        <v>6</v>
      </c>
      <c r="B7" s="6" t="s">
        <v>9</v>
      </c>
      <c r="C7" s="7" t="n">
        <v>0.395833333333333</v>
      </c>
      <c r="D7" s="7"/>
      <c r="E7" s="6" t="s">
        <v>13</v>
      </c>
      <c r="F7" s="6" t="s">
        <v>70</v>
      </c>
      <c r="G7" s="6" t="s">
        <v>79</v>
      </c>
      <c r="H7" s="6" t="s">
        <v>80</v>
      </c>
      <c r="I7" s="6" t="s">
        <v>81</v>
      </c>
      <c r="J7" s="6" t="s">
        <v>82</v>
      </c>
      <c r="K7" s="6" t="n">
        <v>2</v>
      </c>
      <c r="L7" s="6"/>
      <c r="M7" s="6" t="s">
        <v>62</v>
      </c>
      <c r="N7" s="6" t="s">
        <v>63</v>
      </c>
      <c r="O7" s="6" t="s">
        <v>62</v>
      </c>
      <c r="P7" s="6"/>
      <c r="Q7" s="6"/>
      <c r="R7" s="6"/>
      <c r="S7" s="6"/>
      <c r="T7" s="6"/>
    </row>
    <row r="8" customFormat="false" ht="35.05" hidden="false" customHeight="false" outlineLevel="0" collapsed="false">
      <c r="A8" s="6" t="n">
        <v>7</v>
      </c>
      <c r="B8" s="6" t="s">
        <v>9</v>
      </c>
      <c r="C8" s="7" t="n">
        <v>0.395833333333333</v>
      </c>
      <c r="D8" s="7"/>
      <c r="E8" s="6" t="s">
        <v>17</v>
      </c>
      <c r="F8" s="6" t="s">
        <v>70</v>
      </c>
      <c r="G8" s="6" t="s">
        <v>83</v>
      </c>
      <c r="H8" s="6" t="s">
        <v>84</v>
      </c>
      <c r="I8" s="6" t="s">
        <v>85</v>
      </c>
      <c r="J8" s="6" t="s">
        <v>86</v>
      </c>
      <c r="K8" s="6" t="n">
        <v>2</v>
      </c>
      <c r="L8" s="6"/>
      <c r="M8" s="6" t="s">
        <v>69</v>
      </c>
      <c r="N8" s="6" t="s">
        <v>55</v>
      </c>
      <c r="O8" s="6" t="s">
        <v>69</v>
      </c>
      <c r="P8" s="6"/>
      <c r="Q8" s="6"/>
      <c r="R8" s="6"/>
      <c r="S8" s="6"/>
      <c r="T8" s="6"/>
    </row>
    <row r="9" customFormat="false" ht="35.05" hidden="false" customHeight="false" outlineLevel="0" collapsed="false">
      <c r="A9" s="6" t="n">
        <v>8</v>
      </c>
      <c r="B9" s="6" t="s">
        <v>9</v>
      </c>
      <c r="C9" s="7" t="n">
        <v>0.402777777777778</v>
      </c>
      <c r="D9" s="7"/>
      <c r="E9" s="6" t="s">
        <v>17</v>
      </c>
      <c r="F9" s="6" t="s">
        <v>70</v>
      </c>
      <c r="G9" s="6" t="s">
        <v>87</v>
      </c>
      <c r="H9" s="6" t="s">
        <v>88</v>
      </c>
      <c r="I9" s="6" t="s">
        <v>89</v>
      </c>
      <c r="J9" s="6" t="s">
        <v>90</v>
      </c>
      <c r="K9" s="6" t="n">
        <v>2</v>
      </c>
      <c r="L9" s="6"/>
      <c r="M9" s="6" t="s">
        <v>69</v>
      </c>
      <c r="N9" s="6" t="s">
        <v>55</v>
      </c>
      <c r="O9" s="6" t="s">
        <v>69</v>
      </c>
      <c r="P9" s="6"/>
      <c r="Q9" s="6"/>
      <c r="R9" s="6"/>
      <c r="S9" s="6"/>
      <c r="T9" s="6"/>
    </row>
    <row r="10" customFormat="false" ht="23.85" hidden="false" customHeight="false" outlineLevel="0" collapsed="false">
      <c r="A10" s="6" t="n">
        <v>9</v>
      </c>
      <c r="B10" s="6" t="s">
        <v>9</v>
      </c>
      <c r="C10" s="7" t="n">
        <v>0.402777777777778</v>
      </c>
      <c r="D10" s="7"/>
      <c r="E10" s="6" t="s">
        <v>13</v>
      </c>
      <c r="F10" s="6" t="s">
        <v>70</v>
      </c>
      <c r="G10" s="6" t="s">
        <v>91</v>
      </c>
      <c r="H10" s="6" t="s">
        <v>92</v>
      </c>
      <c r="I10" s="6" t="s">
        <v>93</v>
      </c>
      <c r="J10" s="6" t="s">
        <v>94</v>
      </c>
      <c r="K10" s="6" t="n">
        <v>2</v>
      </c>
      <c r="L10" s="6"/>
      <c r="M10" s="6" t="s">
        <v>62</v>
      </c>
      <c r="N10" s="6" t="s">
        <v>63</v>
      </c>
      <c r="O10" s="6" t="s">
        <v>62</v>
      </c>
      <c r="P10" s="6"/>
      <c r="Q10" s="6"/>
      <c r="R10" s="6"/>
      <c r="S10" s="6"/>
      <c r="T10" s="6"/>
    </row>
    <row r="11" customFormat="false" ht="68.65" hidden="false" customHeight="false" outlineLevel="0" collapsed="false">
      <c r="A11" s="6" t="n">
        <v>10</v>
      </c>
      <c r="B11" s="6" t="s">
        <v>9</v>
      </c>
      <c r="C11" s="7" t="n">
        <v>0.409722222222222</v>
      </c>
      <c r="D11" s="7"/>
      <c r="E11" s="6" t="s">
        <v>13</v>
      </c>
      <c r="F11" s="6" t="s">
        <v>95</v>
      </c>
      <c r="G11" s="6" t="s">
        <v>96</v>
      </c>
      <c r="H11" s="6" t="s">
        <v>97</v>
      </c>
      <c r="I11" s="6" t="s">
        <v>98</v>
      </c>
      <c r="J11" s="6" t="s">
        <v>99</v>
      </c>
      <c r="K11" s="6" t="n">
        <v>3</v>
      </c>
      <c r="L11" s="6" t="n">
        <v>1</v>
      </c>
      <c r="M11" s="6" t="s">
        <v>62</v>
      </c>
      <c r="N11" s="6" t="s">
        <v>63</v>
      </c>
      <c r="O11" s="6" t="s">
        <v>62</v>
      </c>
      <c r="P11" s="6" t="s">
        <v>100</v>
      </c>
      <c r="Q11" s="6"/>
      <c r="R11" s="6"/>
      <c r="S11" s="6"/>
      <c r="T11" s="6"/>
    </row>
    <row r="12" customFormat="false" ht="23.85" hidden="false" customHeight="false" outlineLevel="0" collapsed="false">
      <c r="A12" s="6" t="n">
        <v>11</v>
      </c>
      <c r="B12" s="6" t="s">
        <v>9</v>
      </c>
      <c r="C12" s="7" t="n">
        <v>0.409722222222222</v>
      </c>
      <c r="D12" s="7"/>
      <c r="E12" s="6" t="s">
        <v>17</v>
      </c>
      <c r="F12" s="6" t="s">
        <v>70</v>
      </c>
      <c r="G12" s="6" t="s">
        <v>101</v>
      </c>
      <c r="H12" s="6" t="s">
        <v>102</v>
      </c>
      <c r="I12" s="6" t="s">
        <v>103</v>
      </c>
      <c r="J12" s="6" t="s">
        <v>104</v>
      </c>
      <c r="K12" s="6" t="n">
        <v>2</v>
      </c>
      <c r="L12" s="6"/>
      <c r="M12" s="6" t="s">
        <v>69</v>
      </c>
      <c r="N12" s="6" t="s">
        <v>55</v>
      </c>
      <c r="O12" s="6" t="s">
        <v>69</v>
      </c>
      <c r="P12" s="6"/>
      <c r="Q12" s="6"/>
      <c r="R12" s="6"/>
      <c r="S12" s="6"/>
      <c r="T12" s="6"/>
    </row>
    <row r="13" customFormat="false" ht="113.4" hidden="false" customHeight="false" outlineLevel="0" collapsed="false">
      <c r="A13" s="6" t="n">
        <v>12</v>
      </c>
      <c r="B13" s="6" t="s">
        <v>9</v>
      </c>
      <c r="C13" s="7" t="n">
        <v>0.416666666666667</v>
      </c>
      <c r="D13" s="7"/>
      <c r="E13" s="6" t="s">
        <v>17</v>
      </c>
      <c r="F13" s="6" t="s">
        <v>95</v>
      </c>
      <c r="G13" s="6" t="s">
        <v>105</v>
      </c>
      <c r="H13" s="6" t="s">
        <v>106</v>
      </c>
      <c r="I13" s="6" t="s">
        <v>107</v>
      </c>
      <c r="J13" s="6" t="s">
        <v>108</v>
      </c>
      <c r="K13" s="6" t="n">
        <v>3</v>
      </c>
      <c r="L13" s="6" t="n">
        <v>2</v>
      </c>
      <c r="M13" s="6" t="s">
        <v>69</v>
      </c>
      <c r="N13" s="6" t="s">
        <v>55</v>
      </c>
      <c r="O13" s="6" t="s">
        <v>69</v>
      </c>
      <c r="P13" s="6" t="s">
        <v>109</v>
      </c>
      <c r="Q13" s="6"/>
      <c r="R13" s="6"/>
      <c r="S13" s="6"/>
      <c r="T13" s="6"/>
    </row>
    <row r="14" customFormat="false" ht="23.85" hidden="false" customHeight="false" outlineLevel="0" collapsed="false">
      <c r="A14" s="6" t="n">
        <v>13</v>
      </c>
      <c r="B14" s="6" t="s">
        <v>9</v>
      </c>
      <c r="C14" s="7" t="n">
        <v>0.447916666666667</v>
      </c>
      <c r="D14" s="7" t="n">
        <v>0.479166666666667</v>
      </c>
      <c r="E14" s="6" t="s">
        <v>27</v>
      </c>
      <c r="F14" s="6" t="s">
        <v>27</v>
      </c>
      <c r="G14" s="6" t="s">
        <v>110</v>
      </c>
      <c r="H14" s="6" t="s">
        <v>111</v>
      </c>
      <c r="I14" s="6" t="s">
        <v>112</v>
      </c>
      <c r="J14" s="6"/>
      <c r="K14" s="6" t="n">
        <v>2</v>
      </c>
      <c r="L14" s="6"/>
      <c r="M14" s="6" t="s">
        <v>113</v>
      </c>
      <c r="N14" s="6" t="s">
        <v>55</v>
      </c>
      <c r="O14" s="6" t="s">
        <v>114</v>
      </c>
      <c r="P14" s="6"/>
      <c r="Q14" s="6" t="n">
        <v>36</v>
      </c>
      <c r="R14" s="6" t="n">
        <v>40</v>
      </c>
      <c r="S14" s="6" t="n">
        <f aca="false">R14-Q14</f>
        <v>4</v>
      </c>
      <c r="T14" s="6" t="s">
        <v>115</v>
      </c>
    </row>
    <row r="15" customFormat="false" ht="23.85" hidden="false" customHeight="false" outlineLevel="0" collapsed="false">
      <c r="A15" s="6" t="n">
        <v>14</v>
      </c>
      <c r="B15" s="6" t="s">
        <v>9</v>
      </c>
      <c r="C15" s="7" t="n">
        <v>0.447916666666667</v>
      </c>
      <c r="D15" s="7" t="n">
        <v>0.479166666666667</v>
      </c>
      <c r="E15" s="6" t="s">
        <v>27</v>
      </c>
      <c r="F15" s="6" t="s">
        <v>27</v>
      </c>
      <c r="G15" s="6" t="s">
        <v>116</v>
      </c>
      <c r="H15" s="6" t="s">
        <v>117</v>
      </c>
      <c r="I15" s="6" t="s">
        <v>118</v>
      </c>
      <c r="J15" s="6"/>
      <c r="K15" s="6" t="n">
        <v>2</v>
      </c>
      <c r="L15" s="6"/>
      <c r="M15" s="6" t="s">
        <v>113</v>
      </c>
      <c r="N15" s="6" t="s">
        <v>55</v>
      </c>
      <c r="O15" s="6" t="s">
        <v>114</v>
      </c>
      <c r="P15" s="6"/>
      <c r="Q15" s="6" t="n">
        <v>12</v>
      </c>
      <c r="R15" s="6" t="n">
        <v>40</v>
      </c>
      <c r="S15" s="6" t="n">
        <f aca="false">R15-Q15</f>
        <v>28</v>
      </c>
      <c r="T15" s="6" t="s">
        <v>115</v>
      </c>
    </row>
    <row r="16" customFormat="false" ht="23.85" hidden="false" customHeight="false" outlineLevel="0" collapsed="false">
      <c r="A16" s="6" t="n">
        <v>15</v>
      </c>
      <c r="B16" s="6" t="s">
        <v>9</v>
      </c>
      <c r="C16" s="7" t="n">
        <v>0.447916666666667</v>
      </c>
      <c r="D16" s="7" t="n">
        <v>0.479166666666667</v>
      </c>
      <c r="E16" s="6" t="s">
        <v>27</v>
      </c>
      <c r="F16" s="6" t="s">
        <v>27</v>
      </c>
      <c r="G16" s="6" t="s">
        <v>119</v>
      </c>
      <c r="H16" s="6" t="s">
        <v>120</v>
      </c>
      <c r="I16" s="6" t="s">
        <v>121</v>
      </c>
      <c r="J16" s="6"/>
      <c r="K16" s="6" t="n">
        <v>2</v>
      </c>
      <c r="L16" s="6"/>
      <c r="M16" s="6" t="s">
        <v>113</v>
      </c>
      <c r="N16" s="6" t="s">
        <v>55</v>
      </c>
      <c r="O16" s="6" t="s">
        <v>114</v>
      </c>
      <c r="P16" s="6"/>
      <c r="Q16" s="6" t="n">
        <v>50</v>
      </c>
      <c r="R16" s="6" t="n">
        <v>50</v>
      </c>
      <c r="S16" s="6" t="n">
        <f aca="false">R16-Q16</f>
        <v>0</v>
      </c>
      <c r="T16" s="6" t="s">
        <v>122</v>
      </c>
    </row>
    <row r="17" customFormat="false" ht="23.85" hidden="false" customHeight="false" outlineLevel="0" collapsed="false">
      <c r="A17" s="6" t="n">
        <v>16</v>
      </c>
      <c r="B17" s="6" t="s">
        <v>9</v>
      </c>
      <c r="C17" s="7" t="n">
        <v>0.447916666666667</v>
      </c>
      <c r="D17" s="7" t="n">
        <v>0.479166666666667</v>
      </c>
      <c r="E17" s="6" t="s">
        <v>27</v>
      </c>
      <c r="F17" s="6" t="s">
        <v>27</v>
      </c>
      <c r="G17" s="6" t="s">
        <v>123</v>
      </c>
      <c r="H17" s="6" t="s">
        <v>124</v>
      </c>
      <c r="I17" s="6" t="s">
        <v>125</v>
      </c>
      <c r="J17" s="6"/>
      <c r="K17" s="6" t="n">
        <v>2</v>
      </c>
      <c r="L17" s="6"/>
      <c r="M17" s="6" t="s">
        <v>113</v>
      </c>
      <c r="N17" s="6" t="s">
        <v>55</v>
      </c>
      <c r="O17" s="6" t="s">
        <v>114</v>
      </c>
      <c r="P17" s="6"/>
      <c r="Q17" s="6" t="n">
        <v>7</v>
      </c>
      <c r="R17" s="6" t="n">
        <v>40</v>
      </c>
      <c r="S17" s="6" t="n">
        <f aca="false">R17-Q17</f>
        <v>33</v>
      </c>
      <c r="T17" s="6" t="s">
        <v>115</v>
      </c>
    </row>
    <row r="18" customFormat="false" ht="35.05" hidden="false" customHeight="false" outlineLevel="0" collapsed="false">
      <c r="A18" s="6" t="n">
        <v>17</v>
      </c>
      <c r="B18" s="6" t="s">
        <v>9</v>
      </c>
      <c r="C18" s="7" t="n">
        <v>0.447916666666667</v>
      </c>
      <c r="D18" s="7" t="n">
        <v>0.479166666666667</v>
      </c>
      <c r="E18" s="6" t="s">
        <v>27</v>
      </c>
      <c r="F18" s="6" t="s">
        <v>27</v>
      </c>
      <c r="G18" s="6" t="s">
        <v>126</v>
      </c>
      <c r="H18" s="6" t="s">
        <v>127</v>
      </c>
      <c r="I18" s="6" t="s">
        <v>127</v>
      </c>
      <c r="J18" s="6"/>
      <c r="K18" s="6" t="n">
        <v>1</v>
      </c>
      <c r="L18" s="6"/>
      <c r="M18" s="6" t="s">
        <v>113</v>
      </c>
      <c r="N18" s="6" t="s">
        <v>55</v>
      </c>
      <c r="O18" s="6" t="s">
        <v>114</v>
      </c>
      <c r="P18" s="6"/>
      <c r="Q18" s="6" t="n">
        <v>18</v>
      </c>
      <c r="R18" s="6" t="n">
        <v>40</v>
      </c>
      <c r="S18" s="6" t="n">
        <f aca="false">R18-Q18</f>
        <v>22</v>
      </c>
      <c r="T18" s="6" t="s">
        <v>115</v>
      </c>
    </row>
    <row r="19" customFormat="false" ht="23.85" hidden="false" customHeight="false" outlineLevel="0" collapsed="false">
      <c r="A19" s="6" t="n">
        <v>18</v>
      </c>
      <c r="B19" s="6" t="s">
        <v>9</v>
      </c>
      <c r="C19" s="7" t="n">
        <v>0.447916666666667</v>
      </c>
      <c r="D19" s="7" t="n">
        <v>0.479166666666667</v>
      </c>
      <c r="E19" s="6" t="s">
        <v>27</v>
      </c>
      <c r="F19" s="6" t="s">
        <v>27</v>
      </c>
      <c r="G19" s="6" t="s">
        <v>128</v>
      </c>
      <c r="H19" s="6" t="s">
        <v>129</v>
      </c>
      <c r="I19" s="6" t="s">
        <v>130</v>
      </c>
      <c r="J19" s="6"/>
      <c r="K19" s="6" t="n">
        <v>2</v>
      </c>
      <c r="L19" s="6"/>
      <c r="M19" s="6" t="s">
        <v>113</v>
      </c>
      <c r="N19" s="6" t="s">
        <v>55</v>
      </c>
      <c r="O19" s="6" t="s">
        <v>114</v>
      </c>
      <c r="P19" s="6"/>
      <c r="Q19" s="6" t="n">
        <v>1</v>
      </c>
      <c r="R19" s="6" t="n">
        <v>40</v>
      </c>
      <c r="S19" s="6" t="n">
        <f aca="false">R19-Q19</f>
        <v>39</v>
      </c>
      <c r="T19" s="6" t="s">
        <v>115</v>
      </c>
    </row>
    <row r="20" customFormat="false" ht="23.85" hidden="false" customHeight="false" outlineLevel="0" collapsed="false">
      <c r="A20" s="6" t="n">
        <v>19</v>
      </c>
      <c r="B20" s="6" t="s">
        <v>9</v>
      </c>
      <c r="C20" s="7" t="n">
        <v>0.447916666666667</v>
      </c>
      <c r="D20" s="7" t="n">
        <v>0.479166666666667</v>
      </c>
      <c r="E20" s="6" t="s">
        <v>27</v>
      </c>
      <c r="F20" s="6" t="s">
        <v>27</v>
      </c>
      <c r="G20" s="6" t="s">
        <v>131</v>
      </c>
      <c r="H20" s="6" t="s">
        <v>132</v>
      </c>
      <c r="I20" s="6" t="s">
        <v>133</v>
      </c>
      <c r="J20" s="6"/>
      <c r="K20" s="6" t="n">
        <v>2</v>
      </c>
      <c r="L20" s="6"/>
      <c r="M20" s="6" t="s">
        <v>113</v>
      </c>
      <c r="N20" s="6" t="s">
        <v>55</v>
      </c>
      <c r="O20" s="6" t="s">
        <v>114</v>
      </c>
      <c r="P20" s="6"/>
      <c r="Q20" s="6" t="n">
        <v>31</v>
      </c>
      <c r="R20" s="6" t="n">
        <v>40</v>
      </c>
      <c r="S20" s="6" t="n">
        <f aca="false">R20-Q20</f>
        <v>9</v>
      </c>
      <c r="T20" s="6" t="s">
        <v>115</v>
      </c>
    </row>
    <row r="21" customFormat="false" ht="35.05" hidden="false" customHeight="false" outlineLevel="0" collapsed="false">
      <c r="A21" s="6" t="n">
        <v>20</v>
      </c>
      <c r="B21" s="6" t="s">
        <v>9</v>
      </c>
      <c r="C21" s="7" t="n">
        <v>0.447916666666667</v>
      </c>
      <c r="D21" s="7" t="n">
        <v>0.479166666666667</v>
      </c>
      <c r="E21" s="6" t="s">
        <v>27</v>
      </c>
      <c r="F21" s="6" t="s">
        <v>27</v>
      </c>
      <c r="G21" s="6" t="s">
        <v>134</v>
      </c>
      <c r="H21" s="6" t="s">
        <v>135</v>
      </c>
      <c r="I21" s="6" t="s">
        <v>136</v>
      </c>
      <c r="J21" s="6"/>
      <c r="K21" s="6" t="n">
        <v>2</v>
      </c>
      <c r="L21" s="6"/>
      <c r="M21" s="6" t="s">
        <v>113</v>
      </c>
      <c r="N21" s="6" t="s">
        <v>55</v>
      </c>
      <c r="O21" s="6" t="s">
        <v>114</v>
      </c>
      <c r="P21" s="6"/>
      <c r="Q21" s="6" t="n">
        <v>40</v>
      </c>
      <c r="R21" s="6" t="n">
        <v>40</v>
      </c>
      <c r="S21" s="6" t="n">
        <f aca="false">R21-Q21</f>
        <v>0</v>
      </c>
      <c r="T21" s="6" t="s">
        <v>122</v>
      </c>
    </row>
    <row r="22" customFormat="false" ht="35.05" hidden="false" customHeight="false" outlineLevel="0" collapsed="false">
      <c r="A22" s="6" t="n">
        <v>21</v>
      </c>
      <c r="B22" s="6" t="s">
        <v>9</v>
      </c>
      <c r="C22" s="7" t="n">
        <v>0.447916666666667</v>
      </c>
      <c r="D22" s="7" t="n">
        <v>0.479166666666667</v>
      </c>
      <c r="E22" s="6" t="s">
        <v>27</v>
      </c>
      <c r="F22" s="6" t="s">
        <v>27</v>
      </c>
      <c r="G22" s="6" t="s">
        <v>137</v>
      </c>
      <c r="H22" s="6" t="s">
        <v>138</v>
      </c>
      <c r="I22" s="6" t="s">
        <v>138</v>
      </c>
      <c r="J22" s="6"/>
      <c r="K22" s="6" t="n">
        <v>1</v>
      </c>
      <c r="L22" s="6"/>
      <c r="M22" s="6" t="s">
        <v>113</v>
      </c>
      <c r="N22" s="6" t="s">
        <v>55</v>
      </c>
      <c r="O22" s="6" t="s">
        <v>114</v>
      </c>
      <c r="P22" s="6"/>
      <c r="Q22" s="6" t="n">
        <v>9</v>
      </c>
      <c r="R22" s="6" t="n">
        <v>40</v>
      </c>
      <c r="S22" s="6" t="n">
        <f aca="false">R22-Q22</f>
        <v>31</v>
      </c>
      <c r="T22" s="6" t="s">
        <v>115</v>
      </c>
    </row>
    <row r="23" customFormat="false" ht="23.85" hidden="false" customHeight="false" outlineLevel="0" collapsed="false">
      <c r="A23" s="6" t="n">
        <v>22</v>
      </c>
      <c r="B23" s="6" t="s">
        <v>9</v>
      </c>
      <c r="C23" s="7" t="n">
        <v>0.447916666666667</v>
      </c>
      <c r="D23" s="7" t="n">
        <v>0.479166666666667</v>
      </c>
      <c r="E23" s="6" t="s">
        <v>27</v>
      </c>
      <c r="F23" s="6" t="s">
        <v>27</v>
      </c>
      <c r="G23" s="6" t="s">
        <v>139</v>
      </c>
      <c r="H23" s="6" t="s">
        <v>140</v>
      </c>
      <c r="I23" s="6" t="s">
        <v>141</v>
      </c>
      <c r="J23" s="6"/>
      <c r="K23" s="6" t="n">
        <v>2</v>
      </c>
      <c r="L23" s="6"/>
      <c r="M23" s="6" t="s">
        <v>113</v>
      </c>
      <c r="N23" s="6" t="s">
        <v>55</v>
      </c>
      <c r="O23" s="6" t="s">
        <v>114</v>
      </c>
      <c r="P23" s="6"/>
      <c r="Q23" s="6" t="n">
        <v>26</v>
      </c>
      <c r="R23" s="6" t="n">
        <v>40</v>
      </c>
      <c r="S23" s="6" t="n">
        <f aca="false">R23-Q23</f>
        <v>14</v>
      </c>
      <c r="T23" s="6" t="s">
        <v>115</v>
      </c>
    </row>
    <row r="24" customFormat="false" ht="23.85" hidden="false" customHeight="false" outlineLevel="0" collapsed="false">
      <c r="A24" s="6" t="n">
        <v>23</v>
      </c>
      <c r="B24" s="6" t="s">
        <v>9</v>
      </c>
      <c r="C24" s="7" t="n">
        <v>0.447916666666667</v>
      </c>
      <c r="D24" s="7" t="n">
        <v>0.479166666666667</v>
      </c>
      <c r="E24" s="6" t="s">
        <v>27</v>
      </c>
      <c r="F24" s="6" t="s">
        <v>27</v>
      </c>
      <c r="G24" s="6" t="s">
        <v>142</v>
      </c>
      <c r="H24" s="6" t="s">
        <v>143</v>
      </c>
      <c r="I24" s="6" t="s">
        <v>144</v>
      </c>
      <c r="J24" s="6"/>
      <c r="K24" s="6" t="n">
        <v>2</v>
      </c>
      <c r="L24" s="6"/>
      <c r="M24" s="6" t="s">
        <v>113</v>
      </c>
      <c r="N24" s="6" t="s">
        <v>55</v>
      </c>
      <c r="O24" s="6" t="s">
        <v>114</v>
      </c>
      <c r="P24" s="6"/>
      <c r="Q24" s="6" t="n">
        <v>23</v>
      </c>
      <c r="R24" s="6" t="n">
        <v>40</v>
      </c>
      <c r="S24" s="6" t="n">
        <f aca="false">R24-Q24</f>
        <v>17</v>
      </c>
      <c r="T24" s="6" t="s">
        <v>145</v>
      </c>
    </row>
    <row r="25" customFormat="false" ht="35.05" hidden="false" customHeight="false" outlineLevel="0" collapsed="false">
      <c r="A25" s="6" t="n">
        <v>24</v>
      </c>
      <c r="B25" s="6" t="s">
        <v>9</v>
      </c>
      <c r="C25" s="7" t="n">
        <v>0.447916666666667</v>
      </c>
      <c r="D25" s="7" t="n">
        <v>0.479166666666667</v>
      </c>
      <c r="E25" s="6" t="s">
        <v>27</v>
      </c>
      <c r="F25" s="6" t="s">
        <v>27</v>
      </c>
      <c r="G25" s="6" t="s">
        <v>146</v>
      </c>
      <c r="H25" s="6" t="s">
        <v>147</v>
      </c>
      <c r="I25" s="6" t="s">
        <v>148</v>
      </c>
      <c r="J25" s="6"/>
      <c r="K25" s="6" t="n">
        <v>2</v>
      </c>
      <c r="L25" s="6"/>
      <c r="M25" s="6" t="s">
        <v>113</v>
      </c>
      <c r="N25" s="6" t="s">
        <v>55</v>
      </c>
      <c r="O25" s="6" t="s">
        <v>114</v>
      </c>
      <c r="P25" s="6"/>
      <c r="Q25" s="6" t="n">
        <v>13</v>
      </c>
      <c r="R25" s="6" t="n">
        <v>40</v>
      </c>
      <c r="S25" s="6" t="n">
        <f aca="false">R25-Q25</f>
        <v>27</v>
      </c>
      <c r="T25" s="6" t="s">
        <v>115</v>
      </c>
    </row>
    <row r="26" customFormat="false" ht="23.85" hidden="false" customHeight="false" outlineLevel="0" collapsed="false">
      <c r="A26" s="6" t="n">
        <v>25</v>
      </c>
      <c r="B26" s="6" t="s">
        <v>9</v>
      </c>
      <c r="C26" s="7" t="n">
        <v>0.447916666666667</v>
      </c>
      <c r="D26" s="7" t="n">
        <v>0.479166666666667</v>
      </c>
      <c r="E26" s="6" t="s">
        <v>27</v>
      </c>
      <c r="F26" s="6" t="s">
        <v>27</v>
      </c>
      <c r="G26" s="6" t="s">
        <v>149</v>
      </c>
      <c r="H26" s="6" t="s">
        <v>150</v>
      </c>
      <c r="I26" s="6" t="s">
        <v>151</v>
      </c>
      <c r="J26" s="6"/>
      <c r="K26" s="6" t="n">
        <v>2</v>
      </c>
      <c r="L26" s="6"/>
      <c r="M26" s="6" t="s">
        <v>113</v>
      </c>
      <c r="N26" s="6" t="s">
        <v>55</v>
      </c>
      <c r="O26" s="6" t="s">
        <v>114</v>
      </c>
      <c r="P26" s="6"/>
      <c r="Q26" s="6" t="n">
        <v>3</v>
      </c>
      <c r="R26" s="6" t="n">
        <v>40</v>
      </c>
      <c r="S26" s="6" t="n">
        <f aca="false">R26-Q26</f>
        <v>37</v>
      </c>
      <c r="T26" s="6" t="s">
        <v>115</v>
      </c>
    </row>
    <row r="27" customFormat="false" ht="35.05" hidden="false" customHeight="false" outlineLevel="0" collapsed="false">
      <c r="A27" s="6" t="n">
        <v>26</v>
      </c>
      <c r="B27" s="6" t="s">
        <v>9</v>
      </c>
      <c r="C27" s="7" t="n">
        <v>0.447916666666667</v>
      </c>
      <c r="D27" s="7" t="n">
        <v>0.479166666666667</v>
      </c>
      <c r="E27" s="6" t="s">
        <v>27</v>
      </c>
      <c r="F27" s="6" t="s">
        <v>27</v>
      </c>
      <c r="G27" s="6" t="s">
        <v>152</v>
      </c>
      <c r="H27" s="6" t="s">
        <v>153</v>
      </c>
      <c r="I27" s="6" t="s">
        <v>154</v>
      </c>
      <c r="J27" s="6"/>
      <c r="K27" s="6" t="n">
        <v>2</v>
      </c>
      <c r="L27" s="6"/>
      <c r="M27" s="6" t="s">
        <v>113</v>
      </c>
      <c r="N27" s="6" t="s">
        <v>55</v>
      </c>
      <c r="O27" s="6" t="s">
        <v>114</v>
      </c>
      <c r="P27" s="6"/>
      <c r="Q27" s="6" t="n">
        <v>4</v>
      </c>
      <c r="R27" s="6" t="n">
        <v>40</v>
      </c>
      <c r="S27" s="6" t="n">
        <f aca="false">R27-Q27</f>
        <v>36</v>
      </c>
      <c r="T27" s="6" t="s">
        <v>115</v>
      </c>
    </row>
    <row r="28" customFormat="false" ht="23.85" hidden="false" customHeight="false" outlineLevel="0" collapsed="false">
      <c r="A28" s="6" t="n">
        <v>27</v>
      </c>
      <c r="B28" s="6" t="s">
        <v>9</v>
      </c>
      <c r="C28" s="7" t="n">
        <v>0.447916666666667</v>
      </c>
      <c r="D28" s="7" t="n">
        <v>0.479166666666667</v>
      </c>
      <c r="E28" s="6" t="s">
        <v>27</v>
      </c>
      <c r="F28" s="6" t="s">
        <v>27</v>
      </c>
      <c r="G28" s="6" t="s">
        <v>155</v>
      </c>
      <c r="H28" s="6" t="s">
        <v>156</v>
      </c>
      <c r="I28" s="6" t="s">
        <v>157</v>
      </c>
      <c r="J28" s="6"/>
      <c r="K28" s="6" t="n">
        <v>2</v>
      </c>
      <c r="L28" s="6"/>
      <c r="M28" s="6" t="s">
        <v>113</v>
      </c>
      <c r="N28" s="6" t="s">
        <v>55</v>
      </c>
      <c r="O28" s="6" t="s">
        <v>114</v>
      </c>
      <c r="P28" s="6"/>
      <c r="Q28" s="6" t="n">
        <v>10</v>
      </c>
      <c r="R28" s="6" t="n">
        <v>40</v>
      </c>
      <c r="S28" s="6" t="n">
        <f aca="false">R28-Q28</f>
        <v>30</v>
      </c>
      <c r="T28" s="6" t="s">
        <v>115</v>
      </c>
    </row>
    <row r="29" customFormat="false" ht="23.85" hidden="false" customHeight="false" outlineLevel="0" collapsed="false">
      <c r="A29" s="6" t="n">
        <v>28</v>
      </c>
      <c r="B29" s="6" t="s">
        <v>9</v>
      </c>
      <c r="C29" s="7" t="n">
        <v>0.447916666666667</v>
      </c>
      <c r="D29" s="7" t="n">
        <v>0.479166666666667</v>
      </c>
      <c r="E29" s="6" t="s">
        <v>27</v>
      </c>
      <c r="F29" s="6" t="s">
        <v>27</v>
      </c>
      <c r="G29" s="6" t="s">
        <v>158</v>
      </c>
      <c r="H29" s="6" t="s">
        <v>159</v>
      </c>
      <c r="I29" s="6" t="s">
        <v>160</v>
      </c>
      <c r="J29" s="6"/>
      <c r="K29" s="6" t="n">
        <v>2</v>
      </c>
      <c r="L29" s="6"/>
      <c r="M29" s="6" t="s">
        <v>113</v>
      </c>
      <c r="N29" s="6" t="s">
        <v>55</v>
      </c>
      <c r="O29" s="6" t="s">
        <v>114</v>
      </c>
      <c r="P29" s="6"/>
      <c r="Q29" s="6" t="n">
        <v>9</v>
      </c>
      <c r="R29" s="6" t="n">
        <v>40</v>
      </c>
      <c r="S29" s="6" t="n">
        <f aca="false">R29-Q29</f>
        <v>31</v>
      </c>
      <c r="T29" s="6" t="s">
        <v>115</v>
      </c>
    </row>
    <row r="30" customFormat="false" ht="23.85" hidden="false" customHeight="false" outlineLevel="0" collapsed="false">
      <c r="A30" s="6" t="n">
        <v>29</v>
      </c>
      <c r="B30" s="6" t="s">
        <v>9</v>
      </c>
      <c r="C30" s="7" t="n">
        <v>0.447916666666667</v>
      </c>
      <c r="D30" s="7" t="n">
        <v>0.479166666666667</v>
      </c>
      <c r="E30" s="6" t="s">
        <v>27</v>
      </c>
      <c r="F30" s="6" t="s">
        <v>27</v>
      </c>
      <c r="G30" s="6" t="s">
        <v>161</v>
      </c>
      <c r="H30" s="6" t="s">
        <v>162</v>
      </c>
      <c r="I30" s="6" t="s">
        <v>163</v>
      </c>
      <c r="J30" s="6"/>
      <c r="K30" s="6" t="n">
        <v>2</v>
      </c>
      <c r="L30" s="6"/>
      <c r="M30" s="6" t="s">
        <v>113</v>
      </c>
      <c r="N30" s="6" t="s">
        <v>55</v>
      </c>
      <c r="O30" s="6" t="s">
        <v>114</v>
      </c>
      <c r="P30" s="6"/>
      <c r="Q30" s="6" t="n">
        <v>18</v>
      </c>
      <c r="R30" s="6" t="n">
        <v>40</v>
      </c>
      <c r="S30" s="6" t="n">
        <f aca="false">R30-Q30</f>
        <v>22</v>
      </c>
      <c r="T30" s="6" t="s">
        <v>115</v>
      </c>
    </row>
    <row r="31" customFormat="false" ht="23.85" hidden="false" customHeight="false" outlineLevel="0" collapsed="false">
      <c r="A31" s="6" t="n">
        <v>30</v>
      </c>
      <c r="B31" s="6" t="s">
        <v>9</v>
      </c>
      <c r="C31" s="7" t="n">
        <v>0.447916666666667</v>
      </c>
      <c r="D31" s="7" t="n">
        <v>0.479166666666667</v>
      </c>
      <c r="E31" s="6" t="s">
        <v>27</v>
      </c>
      <c r="F31" s="6" t="s">
        <v>27</v>
      </c>
      <c r="G31" s="6" t="s">
        <v>164</v>
      </c>
      <c r="H31" s="6" t="s">
        <v>165</v>
      </c>
      <c r="I31" s="6" t="s">
        <v>166</v>
      </c>
      <c r="J31" s="6"/>
      <c r="K31" s="6" t="n">
        <v>2</v>
      </c>
      <c r="L31" s="6"/>
      <c r="M31" s="6" t="s">
        <v>113</v>
      </c>
      <c r="N31" s="6" t="s">
        <v>55</v>
      </c>
      <c r="O31" s="6" t="s">
        <v>114</v>
      </c>
      <c r="P31" s="6"/>
      <c r="Q31" s="6" t="n">
        <v>4</v>
      </c>
      <c r="R31" s="6" t="n">
        <v>40</v>
      </c>
      <c r="S31" s="6" t="n">
        <f aca="false">R31-Q31</f>
        <v>36</v>
      </c>
      <c r="T31" s="6" t="s">
        <v>115</v>
      </c>
    </row>
    <row r="32" customFormat="false" ht="23.85" hidden="false" customHeight="false" outlineLevel="0" collapsed="false">
      <c r="A32" s="6" t="n">
        <v>31</v>
      </c>
      <c r="B32" s="6" t="s">
        <v>9</v>
      </c>
      <c r="C32" s="7" t="n">
        <v>0.447916666666667</v>
      </c>
      <c r="D32" s="7" t="n">
        <v>0.479166666666667</v>
      </c>
      <c r="E32" s="6" t="s">
        <v>27</v>
      </c>
      <c r="F32" s="6" t="s">
        <v>27</v>
      </c>
      <c r="G32" s="6" t="s">
        <v>167</v>
      </c>
      <c r="H32" s="6" t="s">
        <v>168</v>
      </c>
      <c r="I32" s="6" t="s">
        <v>169</v>
      </c>
      <c r="J32" s="6"/>
      <c r="K32" s="6" t="n">
        <v>2</v>
      </c>
      <c r="L32" s="6"/>
      <c r="M32" s="6" t="s">
        <v>113</v>
      </c>
      <c r="N32" s="6" t="s">
        <v>55</v>
      </c>
      <c r="O32" s="6" t="s">
        <v>114</v>
      </c>
      <c r="P32" s="6"/>
      <c r="Q32" s="6" t="n">
        <v>40</v>
      </c>
      <c r="R32" s="6" t="n">
        <v>40</v>
      </c>
      <c r="S32" s="6" t="n">
        <f aca="false">R32-Q32</f>
        <v>0</v>
      </c>
      <c r="T32" s="6" t="s">
        <v>122</v>
      </c>
    </row>
    <row r="33" customFormat="false" ht="35.05" hidden="false" customHeight="false" outlineLevel="0" collapsed="false">
      <c r="A33" s="6" t="n">
        <v>32</v>
      </c>
      <c r="B33" s="6" t="s">
        <v>9</v>
      </c>
      <c r="C33" s="7" t="n">
        <v>0.447916666666667</v>
      </c>
      <c r="D33" s="7" t="n">
        <v>0.479166666666667</v>
      </c>
      <c r="E33" s="6" t="s">
        <v>27</v>
      </c>
      <c r="F33" s="6" t="s">
        <v>27</v>
      </c>
      <c r="G33" s="6" t="s">
        <v>170</v>
      </c>
      <c r="H33" s="6" t="s">
        <v>171</v>
      </c>
      <c r="I33" s="6" t="s">
        <v>172</v>
      </c>
      <c r="J33" s="6"/>
      <c r="K33" s="6" t="n">
        <v>2</v>
      </c>
      <c r="L33" s="6"/>
      <c r="M33" s="6" t="s">
        <v>113</v>
      </c>
      <c r="N33" s="6" t="s">
        <v>55</v>
      </c>
      <c r="O33" s="6" t="s">
        <v>114</v>
      </c>
      <c r="P33" s="6"/>
      <c r="Q33" s="6" t="n">
        <v>10</v>
      </c>
      <c r="R33" s="6" t="n">
        <v>40</v>
      </c>
      <c r="S33" s="6" t="n">
        <f aca="false">R33-Q33</f>
        <v>30</v>
      </c>
      <c r="T33" s="6" t="s">
        <v>115</v>
      </c>
    </row>
    <row r="34" customFormat="false" ht="35.05" hidden="false" customHeight="false" outlineLevel="0" collapsed="false">
      <c r="A34" s="6" t="n">
        <v>33</v>
      </c>
      <c r="B34" s="6" t="s">
        <v>9</v>
      </c>
      <c r="C34" s="7" t="n">
        <v>0.479166666666667</v>
      </c>
      <c r="D34" s="7"/>
      <c r="E34" s="6" t="s">
        <v>24</v>
      </c>
      <c r="F34" s="6" t="s">
        <v>24</v>
      </c>
      <c r="G34" s="6" t="s">
        <v>173</v>
      </c>
      <c r="H34" s="6" t="s">
        <v>51</v>
      </c>
      <c r="I34" s="6" t="s">
        <v>52</v>
      </c>
      <c r="J34" s="6" t="s">
        <v>53</v>
      </c>
      <c r="K34" s="6" t="n">
        <v>1</v>
      </c>
      <c r="L34" s="6"/>
      <c r="M34" s="6" t="s">
        <v>54</v>
      </c>
      <c r="N34" s="6" t="s">
        <v>55</v>
      </c>
      <c r="O34" s="6" t="s">
        <v>56</v>
      </c>
      <c r="P34" s="6" t="s">
        <v>174</v>
      </c>
      <c r="Q34" s="6"/>
      <c r="R34" s="6"/>
      <c r="S34" s="6"/>
      <c r="T34" s="6"/>
    </row>
    <row r="35" customFormat="false" ht="15" hidden="false" customHeight="false" outlineLevel="0" collapsed="false">
      <c r="A35" s="6" t="n">
        <v>34</v>
      </c>
      <c r="B35" s="6" t="s">
        <v>9</v>
      </c>
      <c r="C35" s="7" t="n">
        <v>0.517361111111111</v>
      </c>
      <c r="D35" s="7"/>
      <c r="E35" s="6" t="s">
        <v>23</v>
      </c>
      <c r="F35" s="6" t="s">
        <v>175</v>
      </c>
      <c r="G35" s="6" t="s">
        <v>176</v>
      </c>
      <c r="H35" s="6" t="s">
        <v>177</v>
      </c>
      <c r="I35" s="6" t="s">
        <v>178</v>
      </c>
      <c r="J35" s="6" t="s">
        <v>179</v>
      </c>
      <c r="K35" s="6" t="n">
        <v>1</v>
      </c>
      <c r="L35" s="6"/>
      <c r="M35" s="6" t="s">
        <v>180</v>
      </c>
      <c r="N35" s="6" t="s">
        <v>63</v>
      </c>
      <c r="O35" s="6" t="s">
        <v>180</v>
      </c>
      <c r="P35" s="6"/>
      <c r="Q35" s="6"/>
      <c r="R35" s="6"/>
      <c r="S35" s="6"/>
      <c r="T35" s="6"/>
    </row>
    <row r="36" customFormat="false" ht="35.05" hidden="false" customHeight="false" outlineLevel="0" collapsed="false">
      <c r="A36" s="6" t="n">
        <v>35</v>
      </c>
      <c r="B36" s="6" t="s">
        <v>9</v>
      </c>
      <c r="C36" s="7" t="n">
        <v>0.520833333333333</v>
      </c>
      <c r="D36" s="7"/>
      <c r="E36" s="6" t="s">
        <v>29</v>
      </c>
      <c r="F36" s="6" t="s">
        <v>181</v>
      </c>
      <c r="G36" s="6" t="s">
        <v>182</v>
      </c>
      <c r="H36" s="6" t="s">
        <v>183</v>
      </c>
      <c r="I36" s="6" t="s">
        <v>184</v>
      </c>
      <c r="J36" s="6" t="s">
        <v>185</v>
      </c>
      <c r="K36" s="6" t="n">
        <v>2</v>
      </c>
      <c r="L36" s="6"/>
      <c r="M36" s="6" t="s">
        <v>186</v>
      </c>
      <c r="N36" s="6" t="s">
        <v>55</v>
      </c>
      <c r="O36" s="6" t="s">
        <v>186</v>
      </c>
      <c r="P36" s="6"/>
      <c r="Q36" s="6"/>
      <c r="R36" s="6"/>
      <c r="S36" s="6"/>
      <c r="T36" s="6"/>
    </row>
    <row r="37" customFormat="false" ht="15" hidden="false" customHeight="false" outlineLevel="0" collapsed="false">
      <c r="A37" s="6" t="n">
        <v>36</v>
      </c>
      <c r="B37" s="6" t="s">
        <v>9</v>
      </c>
      <c r="C37" s="7" t="n">
        <v>0.520833333333333</v>
      </c>
      <c r="D37" s="7"/>
      <c r="E37" s="6" t="s">
        <v>23</v>
      </c>
      <c r="F37" s="6" t="s">
        <v>57</v>
      </c>
      <c r="G37" s="6" t="s">
        <v>187</v>
      </c>
      <c r="H37" s="6" t="s">
        <v>188</v>
      </c>
      <c r="I37" s="6" t="s">
        <v>189</v>
      </c>
      <c r="J37" s="6" t="s">
        <v>190</v>
      </c>
      <c r="K37" s="6" t="n">
        <v>1</v>
      </c>
      <c r="L37" s="6"/>
      <c r="M37" s="6" t="s">
        <v>180</v>
      </c>
      <c r="N37" s="6" t="s">
        <v>63</v>
      </c>
      <c r="O37" s="6" t="s">
        <v>191</v>
      </c>
      <c r="P37" s="6"/>
      <c r="Q37" s="6"/>
      <c r="R37" s="6"/>
      <c r="S37" s="6"/>
      <c r="T37" s="6"/>
    </row>
    <row r="38" customFormat="false" ht="23.85" hidden="false" customHeight="false" outlineLevel="0" collapsed="false">
      <c r="A38" s="6" t="n">
        <v>37</v>
      </c>
      <c r="B38" s="6" t="s">
        <v>9</v>
      </c>
      <c r="C38" s="7" t="n">
        <v>0.524305555555556</v>
      </c>
      <c r="D38" s="7"/>
      <c r="E38" s="6" t="s">
        <v>12</v>
      </c>
      <c r="F38" s="6" t="s">
        <v>192</v>
      </c>
      <c r="G38" s="6" t="s">
        <v>193</v>
      </c>
      <c r="H38" s="6" t="s">
        <v>194</v>
      </c>
      <c r="I38" s="6" t="s">
        <v>195</v>
      </c>
      <c r="J38" s="6" t="s">
        <v>196</v>
      </c>
      <c r="K38" s="6" t="n">
        <v>1</v>
      </c>
      <c r="L38" s="6"/>
      <c r="M38" s="6" t="s">
        <v>197</v>
      </c>
      <c r="N38" s="6" t="s">
        <v>55</v>
      </c>
      <c r="O38" s="6" t="s">
        <v>198</v>
      </c>
      <c r="P38" s="6"/>
      <c r="Q38" s="6"/>
      <c r="R38" s="6"/>
      <c r="S38" s="6"/>
      <c r="T38" s="6"/>
    </row>
    <row r="39" customFormat="false" ht="202.95" hidden="false" customHeight="false" outlineLevel="0" collapsed="false">
      <c r="A39" s="6" t="n">
        <v>38</v>
      </c>
      <c r="B39" s="6" t="s">
        <v>9</v>
      </c>
      <c r="C39" s="7" t="n">
        <v>0.524305555555556</v>
      </c>
      <c r="D39" s="7"/>
      <c r="E39" s="6" t="s">
        <v>19</v>
      </c>
      <c r="F39" s="6" t="s">
        <v>199</v>
      </c>
      <c r="G39" s="6" t="s">
        <v>200</v>
      </c>
      <c r="H39" s="6" t="s">
        <v>201</v>
      </c>
      <c r="I39" s="6" t="s">
        <v>202</v>
      </c>
      <c r="J39" s="6" t="s">
        <v>203</v>
      </c>
      <c r="K39" s="6" t="n">
        <v>2</v>
      </c>
      <c r="L39" s="6"/>
      <c r="M39" s="6" t="s">
        <v>204</v>
      </c>
      <c r="N39" s="6" t="s">
        <v>63</v>
      </c>
      <c r="O39" s="6" t="s">
        <v>204</v>
      </c>
      <c r="P39" s="6" t="s">
        <v>205</v>
      </c>
      <c r="Q39" s="6"/>
      <c r="R39" s="6"/>
      <c r="S39" s="6"/>
      <c r="T39" s="6"/>
    </row>
    <row r="40" customFormat="false" ht="23.85" hidden="false" customHeight="false" outlineLevel="0" collapsed="false">
      <c r="A40" s="6" t="n">
        <v>39</v>
      </c>
      <c r="B40" s="6" t="s">
        <v>9</v>
      </c>
      <c r="C40" s="7" t="n">
        <v>0.524305555555556</v>
      </c>
      <c r="D40" s="7"/>
      <c r="E40" s="6" t="s">
        <v>23</v>
      </c>
      <c r="F40" s="6" t="s">
        <v>181</v>
      </c>
      <c r="G40" s="6" t="s">
        <v>206</v>
      </c>
      <c r="H40" s="6" t="s">
        <v>207</v>
      </c>
      <c r="I40" s="6" t="s">
        <v>208</v>
      </c>
      <c r="J40" s="6" t="s">
        <v>209</v>
      </c>
      <c r="K40" s="6" t="n">
        <v>2</v>
      </c>
      <c r="L40" s="6"/>
      <c r="M40" s="6" t="s">
        <v>180</v>
      </c>
      <c r="N40" s="6" t="s">
        <v>63</v>
      </c>
      <c r="O40" s="6" t="s">
        <v>210</v>
      </c>
      <c r="P40" s="6"/>
      <c r="Q40" s="6"/>
      <c r="R40" s="6"/>
      <c r="S40" s="6"/>
      <c r="T40" s="6"/>
    </row>
    <row r="41" customFormat="false" ht="35.05" hidden="false" customHeight="false" outlineLevel="0" collapsed="false">
      <c r="A41" s="6" t="n">
        <v>40</v>
      </c>
      <c r="B41" s="6" t="s">
        <v>9</v>
      </c>
      <c r="C41" s="7" t="n">
        <v>0.524305555555556</v>
      </c>
      <c r="D41" s="7"/>
      <c r="E41" s="6" t="s">
        <v>21</v>
      </c>
      <c r="F41" s="6" t="s">
        <v>192</v>
      </c>
      <c r="G41" s="6" t="s">
        <v>211</v>
      </c>
      <c r="H41" s="6" t="s">
        <v>212</v>
      </c>
      <c r="I41" s="6" t="s">
        <v>213</v>
      </c>
      <c r="J41" s="6" t="s">
        <v>214</v>
      </c>
      <c r="K41" s="6" t="n">
        <v>1</v>
      </c>
      <c r="L41" s="6"/>
      <c r="M41" s="6" t="s">
        <v>215</v>
      </c>
      <c r="N41" s="6" t="s">
        <v>63</v>
      </c>
      <c r="O41" s="6" t="s">
        <v>215</v>
      </c>
      <c r="P41" s="6"/>
      <c r="Q41" s="6"/>
      <c r="R41" s="6"/>
      <c r="S41" s="6"/>
      <c r="T41" s="6"/>
    </row>
    <row r="42" customFormat="false" ht="23.85" hidden="false" customHeight="false" outlineLevel="0" collapsed="false">
      <c r="A42" s="6" t="n">
        <v>41</v>
      </c>
      <c r="B42" s="6" t="s">
        <v>9</v>
      </c>
      <c r="C42" s="7" t="n">
        <v>0.524305555555556</v>
      </c>
      <c r="D42" s="7"/>
      <c r="E42" s="6" t="s">
        <v>20</v>
      </c>
      <c r="F42" s="6" t="s">
        <v>181</v>
      </c>
      <c r="G42" s="6" t="s">
        <v>216</v>
      </c>
      <c r="H42" s="6" t="s">
        <v>217</v>
      </c>
      <c r="I42" s="6" t="s">
        <v>218</v>
      </c>
      <c r="J42" s="6" t="s">
        <v>219</v>
      </c>
      <c r="K42" s="6" t="n">
        <v>2</v>
      </c>
      <c r="L42" s="6"/>
      <c r="M42" s="6" t="s">
        <v>220</v>
      </c>
      <c r="N42" s="6" t="s">
        <v>63</v>
      </c>
      <c r="O42" s="6" t="s">
        <v>221</v>
      </c>
      <c r="P42" s="6"/>
      <c r="Q42" s="6"/>
      <c r="R42" s="6"/>
      <c r="S42" s="6"/>
      <c r="T42" s="6"/>
    </row>
    <row r="43" customFormat="false" ht="23.85" hidden="false" customHeight="false" outlineLevel="0" collapsed="false">
      <c r="A43" s="6" t="n">
        <v>42</v>
      </c>
      <c r="B43" s="6" t="s">
        <v>9</v>
      </c>
      <c r="C43" s="7" t="n">
        <v>0.524305555555556</v>
      </c>
      <c r="D43" s="7"/>
      <c r="E43" s="6" t="s">
        <v>15</v>
      </c>
      <c r="F43" s="6" t="s">
        <v>192</v>
      </c>
      <c r="G43" s="6" t="s">
        <v>222</v>
      </c>
      <c r="H43" s="6" t="s">
        <v>223</v>
      </c>
      <c r="I43" s="6" t="s">
        <v>224</v>
      </c>
      <c r="J43" s="6" t="s">
        <v>225</v>
      </c>
      <c r="K43" s="6" t="n">
        <v>2</v>
      </c>
      <c r="L43" s="6"/>
      <c r="M43" s="6" t="s">
        <v>226</v>
      </c>
      <c r="N43" s="6" t="s">
        <v>55</v>
      </c>
      <c r="O43" s="6" t="s">
        <v>226</v>
      </c>
      <c r="P43" s="6"/>
      <c r="Q43" s="6"/>
      <c r="R43" s="6"/>
      <c r="S43" s="6"/>
      <c r="T43" s="6"/>
    </row>
    <row r="44" customFormat="false" ht="35.05" hidden="false" customHeight="false" outlineLevel="0" collapsed="false">
      <c r="A44" s="6" t="n">
        <v>43</v>
      </c>
      <c r="B44" s="6" t="s">
        <v>9</v>
      </c>
      <c r="C44" s="7" t="n">
        <v>0.524305555555556</v>
      </c>
      <c r="D44" s="7"/>
      <c r="E44" s="6" t="s">
        <v>14</v>
      </c>
      <c r="F44" s="6" t="s">
        <v>192</v>
      </c>
      <c r="G44" s="6" t="s">
        <v>227</v>
      </c>
      <c r="H44" s="6" t="s">
        <v>228</v>
      </c>
      <c r="I44" s="6" t="s">
        <v>229</v>
      </c>
      <c r="J44" s="6" t="s">
        <v>230</v>
      </c>
      <c r="K44" s="6" t="n">
        <v>1</v>
      </c>
      <c r="L44" s="6"/>
      <c r="M44" s="6" t="s">
        <v>69</v>
      </c>
      <c r="N44" s="6" t="s">
        <v>55</v>
      </c>
      <c r="O44" s="6" t="s">
        <v>69</v>
      </c>
      <c r="P44" s="6"/>
      <c r="Q44" s="6"/>
      <c r="R44" s="6"/>
      <c r="S44" s="6"/>
      <c r="T44" s="6"/>
    </row>
    <row r="45" customFormat="false" ht="35.05" hidden="false" customHeight="false" outlineLevel="0" collapsed="false">
      <c r="A45" s="6" t="n">
        <v>44</v>
      </c>
      <c r="B45" s="6" t="s">
        <v>9</v>
      </c>
      <c r="C45" s="7" t="n">
        <v>0.524305555555556</v>
      </c>
      <c r="D45" s="7"/>
      <c r="E45" s="6" t="s">
        <v>16</v>
      </c>
      <c r="F45" s="6" t="s">
        <v>192</v>
      </c>
      <c r="G45" s="6" t="s">
        <v>231</v>
      </c>
      <c r="H45" s="6" t="s">
        <v>232</v>
      </c>
      <c r="I45" s="6" t="s">
        <v>233</v>
      </c>
      <c r="J45" s="6" t="s">
        <v>234</v>
      </c>
      <c r="K45" s="6" t="n">
        <v>1</v>
      </c>
      <c r="L45" s="6"/>
      <c r="M45" s="6" t="s">
        <v>235</v>
      </c>
      <c r="N45" s="6" t="s">
        <v>55</v>
      </c>
      <c r="O45" s="6" t="s">
        <v>235</v>
      </c>
      <c r="P45" s="6"/>
      <c r="Q45" s="6"/>
      <c r="R45" s="6"/>
      <c r="S45" s="6"/>
      <c r="T45" s="6"/>
    </row>
    <row r="46" customFormat="false" ht="23.85" hidden="false" customHeight="false" outlineLevel="0" collapsed="false">
      <c r="A46" s="6" t="n">
        <v>45</v>
      </c>
      <c r="B46" s="6" t="s">
        <v>9</v>
      </c>
      <c r="C46" s="7" t="n">
        <v>0.524305555555556</v>
      </c>
      <c r="D46" s="7"/>
      <c r="E46" s="6" t="s">
        <v>26</v>
      </c>
      <c r="F46" s="6" t="s">
        <v>181</v>
      </c>
      <c r="G46" s="6" t="s">
        <v>236</v>
      </c>
      <c r="H46" s="6" t="s">
        <v>237</v>
      </c>
      <c r="I46" s="6" t="s">
        <v>238</v>
      </c>
      <c r="J46" s="6" t="s">
        <v>239</v>
      </c>
      <c r="K46" s="6" t="n">
        <v>2</v>
      </c>
      <c r="L46" s="6"/>
      <c r="M46" s="6" t="s">
        <v>240</v>
      </c>
      <c r="N46" s="6" t="s">
        <v>63</v>
      </c>
      <c r="O46" s="6" t="s">
        <v>240</v>
      </c>
      <c r="P46" s="6"/>
      <c r="Q46" s="6"/>
      <c r="R46" s="6"/>
      <c r="S46" s="6"/>
      <c r="T46" s="6"/>
    </row>
    <row r="47" customFormat="false" ht="23.85" hidden="false" customHeight="false" outlineLevel="0" collapsed="false">
      <c r="A47" s="6" t="n">
        <v>46</v>
      </c>
      <c r="B47" s="6" t="s">
        <v>9</v>
      </c>
      <c r="C47" s="7" t="n">
        <v>0.524305555555556</v>
      </c>
      <c r="D47" s="7"/>
      <c r="E47" s="6" t="s">
        <v>25</v>
      </c>
      <c r="F47" s="6" t="s">
        <v>192</v>
      </c>
      <c r="G47" s="6" t="s">
        <v>241</v>
      </c>
      <c r="H47" s="6" t="s">
        <v>242</v>
      </c>
      <c r="I47" s="6" t="s">
        <v>243</v>
      </c>
      <c r="J47" s="6" t="s">
        <v>244</v>
      </c>
      <c r="K47" s="6" t="n">
        <v>1</v>
      </c>
      <c r="L47" s="6"/>
      <c r="M47" s="6" t="s">
        <v>245</v>
      </c>
      <c r="N47" s="6" t="s">
        <v>63</v>
      </c>
      <c r="O47" s="6" t="s">
        <v>246</v>
      </c>
      <c r="P47" s="6"/>
      <c r="Q47" s="6"/>
      <c r="R47" s="6"/>
      <c r="S47" s="6"/>
      <c r="T47" s="6"/>
    </row>
    <row r="48" customFormat="false" ht="23.85" hidden="false" customHeight="false" outlineLevel="0" collapsed="false">
      <c r="A48" s="6" t="n">
        <v>47</v>
      </c>
      <c r="B48" s="6" t="s">
        <v>9</v>
      </c>
      <c r="C48" s="7" t="n">
        <v>0.527777777777778</v>
      </c>
      <c r="D48" s="7"/>
      <c r="E48" s="6" t="s">
        <v>13</v>
      </c>
      <c r="F48" s="6" t="s">
        <v>70</v>
      </c>
      <c r="G48" s="6" t="s">
        <v>247</v>
      </c>
      <c r="H48" s="6" t="s">
        <v>248</v>
      </c>
      <c r="I48" s="6" t="s">
        <v>249</v>
      </c>
      <c r="J48" s="6" t="s">
        <v>250</v>
      </c>
      <c r="K48" s="6" t="n">
        <v>2</v>
      </c>
      <c r="L48" s="6"/>
      <c r="M48" s="6" t="s">
        <v>62</v>
      </c>
      <c r="N48" s="6" t="s">
        <v>63</v>
      </c>
      <c r="O48" s="6" t="s">
        <v>62</v>
      </c>
      <c r="P48" s="6"/>
      <c r="Q48" s="6"/>
      <c r="R48" s="6"/>
      <c r="S48" s="6"/>
      <c r="T48" s="6"/>
    </row>
    <row r="49" customFormat="false" ht="23.85" hidden="false" customHeight="false" outlineLevel="0" collapsed="false">
      <c r="A49" s="6" t="n">
        <v>48</v>
      </c>
      <c r="B49" s="6" t="s">
        <v>9</v>
      </c>
      <c r="C49" s="7" t="n">
        <v>0.527777777777778</v>
      </c>
      <c r="D49" s="7"/>
      <c r="E49" s="6" t="s">
        <v>28</v>
      </c>
      <c r="F49" s="6" t="s">
        <v>251</v>
      </c>
      <c r="G49" s="6" t="s">
        <v>252</v>
      </c>
      <c r="H49" s="6" t="s">
        <v>253</v>
      </c>
      <c r="I49" s="6" t="s">
        <v>254</v>
      </c>
      <c r="J49" s="6" t="s">
        <v>255</v>
      </c>
      <c r="K49" s="6" t="n">
        <v>1</v>
      </c>
      <c r="L49" s="6"/>
      <c r="M49" s="6" t="s">
        <v>28</v>
      </c>
      <c r="N49" s="6"/>
      <c r="O49" s="6" t="s">
        <v>28</v>
      </c>
      <c r="P49" s="6"/>
      <c r="Q49" s="6"/>
      <c r="R49" s="6"/>
      <c r="S49" s="6"/>
      <c r="T49" s="6"/>
    </row>
    <row r="50" customFormat="false" ht="23.85" hidden="false" customHeight="false" outlineLevel="0" collapsed="false">
      <c r="A50" s="6" t="n">
        <v>49</v>
      </c>
      <c r="B50" s="6" t="s">
        <v>9</v>
      </c>
      <c r="C50" s="7" t="n">
        <v>0.53125</v>
      </c>
      <c r="D50" s="7"/>
      <c r="E50" s="6" t="s">
        <v>29</v>
      </c>
      <c r="F50" s="6" t="s">
        <v>192</v>
      </c>
      <c r="G50" s="6" t="s">
        <v>256</v>
      </c>
      <c r="H50" s="6" t="s">
        <v>257</v>
      </c>
      <c r="I50" s="6" t="s">
        <v>258</v>
      </c>
      <c r="J50" s="6" t="s">
        <v>259</v>
      </c>
      <c r="K50" s="6" t="n">
        <v>1</v>
      </c>
      <c r="L50" s="6"/>
      <c r="M50" s="6" t="s">
        <v>186</v>
      </c>
      <c r="N50" s="6" t="s">
        <v>55</v>
      </c>
      <c r="O50" s="6" t="s">
        <v>186</v>
      </c>
      <c r="P50" s="6"/>
      <c r="Q50" s="6"/>
      <c r="R50" s="6"/>
      <c r="S50" s="6"/>
      <c r="T50" s="6"/>
    </row>
    <row r="51" customFormat="false" ht="23.85" hidden="false" customHeight="false" outlineLevel="0" collapsed="false">
      <c r="A51" s="6" t="n">
        <v>50</v>
      </c>
      <c r="B51" s="6" t="s">
        <v>9</v>
      </c>
      <c r="C51" s="7" t="n">
        <v>0.534722222222222</v>
      </c>
      <c r="D51" s="7"/>
      <c r="E51" s="6" t="s">
        <v>12</v>
      </c>
      <c r="F51" s="6" t="s">
        <v>199</v>
      </c>
      <c r="G51" s="6" t="s">
        <v>260</v>
      </c>
      <c r="H51" s="6" t="s">
        <v>261</v>
      </c>
      <c r="I51" s="6" t="s">
        <v>262</v>
      </c>
      <c r="J51" s="6" t="s">
        <v>263</v>
      </c>
      <c r="K51" s="6" t="n">
        <v>1</v>
      </c>
      <c r="L51" s="6"/>
      <c r="M51" s="6" t="s">
        <v>197</v>
      </c>
      <c r="N51" s="6" t="s">
        <v>55</v>
      </c>
      <c r="O51" s="6" t="s">
        <v>197</v>
      </c>
      <c r="P51" s="6"/>
      <c r="Q51" s="6"/>
      <c r="R51" s="6"/>
      <c r="S51" s="6"/>
      <c r="T51" s="6"/>
    </row>
    <row r="52" customFormat="false" ht="35.05" hidden="false" customHeight="false" outlineLevel="0" collapsed="false">
      <c r="A52" s="6" t="n">
        <v>51</v>
      </c>
      <c r="B52" s="6" t="s">
        <v>9</v>
      </c>
      <c r="C52" s="7" t="n">
        <v>0.534722222222222</v>
      </c>
      <c r="D52" s="7"/>
      <c r="E52" s="6" t="s">
        <v>19</v>
      </c>
      <c r="F52" s="6" t="s">
        <v>192</v>
      </c>
      <c r="G52" s="6" t="s">
        <v>264</v>
      </c>
      <c r="H52" s="6" t="s">
        <v>265</v>
      </c>
      <c r="I52" s="6" t="s">
        <v>266</v>
      </c>
      <c r="J52" s="6" t="s">
        <v>267</v>
      </c>
      <c r="K52" s="6" t="n">
        <v>2</v>
      </c>
      <c r="L52" s="6"/>
      <c r="M52" s="6" t="s">
        <v>204</v>
      </c>
      <c r="N52" s="6" t="s">
        <v>63</v>
      </c>
      <c r="O52" s="6" t="s">
        <v>268</v>
      </c>
      <c r="P52" s="6"/>
      <c r="Q52" s="6"/>
      <c r="R52" s="6"/>
      <c r="S52" s="6"/>
      <c r="T52" s="6"/>
    </row>
    <row r="53" customFormat="false" ht="23.85" hidden="false" customHeight="false" outlineLevel="0" collapsed="false">
      <c r="A53" s="6" t="n">
        <v>52</v>
      </c>
      <c r="B53" s="6" t="s">
        <v>9</v>
      </c>
      <c r="C53" s="7" t="n">
        <v>0.534722222222222</v>
      </c>
      <c r="D53" s="7"/>
      <c r="E53" s="6" t="s">
        <v>13</v>
      </c>
      <c r="F53" s="6" t="s">
        <v>192</v>
      </c>
      <c r="G53" s="6" t="s">
        <v>269</v>
      </c>
      <c r="H53" s="6" t="s">
        <v>270</v>
      </c>
      <c r="I53" s="6" t="s">
        <v>271</v>
      </c>
      <c r="J53" s="6" t="s">
        <v>272</v>
      </c>
      <c r="K53" s="6" t="n">
        <v>2</v>
      </c>
      <c r="L53" s="6"/>
      <c r="M53" s="6" t="s">
        <v>62</v>
      </c>
      <c r="N53" s="6" t="s">
        <v>63</v>
      </c>
      <c r="O53" s="6" t="s">
        <v>62</v>
      </c>
      <c r="P53" s="6"/>
      <c r="Q53" s="6"/>
      <c r="R53" s="6"/>
      <c r="S53" s="6"/>
      <c r="T53" s="6"/>
    </row>
    <row r="54" customFormat="false" ht="23.85" hidden="false" customHeight="false" outlineLevel="0" collapsed="false">
      <c r="A54" s="6" t="n">
        <v>53</v>
      </c>
      <c r="B54" s="6" t="s">
        <v>9</v>
      </c>
      <c r="C54" s="7" t="n">
        <v>0.534722222222222</v>
      </c>
      <c r="D54" s="7"/>
      <c r="E54" s="6" t="s">
        <v>20</v>
      </c>
      <c r="F54" s="6" t="s">
        <v>192</v>
      </c>
      <c r="G54" s="6" t="s">
        <v>273</v>
      </c>
      <c r="H54" s="6" t="s">
        <v>274</v>
      </c>
      <c r="I54" s="6" t="s">
        <v>275</v>
      </c>
      <c r="J54" s="6" t="s">
        <v>276</v>
      </c>
      <c r="K54" s="6" t="n">
        <v>2</v>
      </c>
      <c r="L54" s="6"/>
      <c r="M54" s="6" t="s">
        <v>220</v>
      </c>
      <c r="N54" s="6" t="s">
        <v>63</v>
      </c>
      <c r="O54" s="6" t="s">
        <v>221</v>
      </c>
      <c r="P54" s="6" t="s">
        <v>277</v>
      </c>
      <c r="Q54" s="6"/>
      <c r="R54" s="6"/>
      <c r="S54" s="6"/>
      <c r="T54" s="6"/>
    </row>
    <row r="55" customFormat="false" ht="23.85" hidden="false" customHeight="false" outlineLevel="0" collapsed="false">
      <c r="A55" s="6" t="n">
        <v>54</v>
      </c>
      <c r="B55" s="6" t="s">
        <v>9</v>
      </c>
      <c r="C55" s="7" t="n">
        <v>0.534722222222222</v>
      </c>
      <c r="D55" s="7"/>
      <c r="E55" s="6" t="s">
        <v>26</v>
      </c>
      <c r="F55" s="6" t="s">
        <v>192</v>
      </c>
      <c r="G55" s="6" t="s">
        <v>278</v>
      </c>
      <c r="H55" s="6" t="s">
        <v>279</v>
      </c>
      <c r="I55" s="6" t="s">
        <v>280</v>
      </c>
      <c r="J55" s="6" t="s">
        <v>281</v>
      </c>
      <c r="K55" s="6" t="n">
        <v>1</v>
      </c>
      <c r="L55" s="6"/>
      <c r="M55" s="6" t="s">
        <v>240</v>
      </c>
      <c r="N55" s="6" t="s">
        <v>63</v>
      </c>
      <c r="O55" s="6" t="s">
        <v>240</v>
      </c>
      <c r="P55" s="6"/>
      <c r="Q55" s="6"/>
      <c r="R55" s="6"/>
      <c r="S55" s="6"/>
      <c r="T55" s="6"/>
    </row>
    <row r="56" customFormat="false" ht="23.85" hidden="false" customHeight="false" outlineLevel="0" collapsed="false">
      <c r="A56" s="6" t="n">
        <v>55</v>
      </c>
      <c r="B56" s="6" t="s">
        <v>9</v>
      </c>
      <c r="C56" s="7" t="n">
        <v>0.534722222222222</v>
      </c>
      <c r="D56" s="7"/>
      <c r="E56" s="6" t="s">
        <v>15</v>
      </c>
      <c r="F56" s="6" t="s">
        <v>199</v>
      </c>
      <c r="G56" s="6" t="s">
        <v>282</v>
      </c>
      <c r="H56" s="6" t="s">
        <v>283</v>
      </c>
      <c r="I56" s="6" t="s">
        <v>284</v>
      </c>
      <c r="J56" s="6" t="s">
        <v>285</v>
      </c>
      <c r="K56" s="6" t="n">
        <v>1</v>
      </c>
      <c r="L56" s="6"/>
      <c r="M56" s="6" t="s">
        <v>226</v>
      </c>
      <c r="N56" s="6" t="s">
        <v>55</v>
      </c>
      <c r="O56" s="6" t="s">
        <v>226</v>
      </c>
      <c r="P56" s="6"/>
      <c r="Q56" s="6"/>
      <c r="R56" s="6"/>
      <c r="S56" s="6"/>
      <c r="T56" s="6"/>
    </row>
    <row r="57" customFormat="false" ht="79.85" hidden="false" customHeight="false" outlineLevel="0" collapsed="false">
      <c r="A57" s="6" t="n">
        <v>56</v>
      </c>
      <c r="B57" s="6" t="s">
        <v>9</v>
      </c>
      <c r="C57" s="7" t="n">
        <v>0.534722222222222</v>
      </c>
      <c r="D57" s="7"/>
      <c r="E57" s="6" t="s">
        <v>23</v>
      </c>
      <c r="F57" s="6" t="s">
        <v>95</v>
      </c>
      <c r="G57" s="6" t="s">
        <v>286</v>
      </c>
      <c r="H57" s="6" t="s">
        <v>287</v>
      </c>
      <c r="I57" s="6" t="s">
        <v>288</v>
      </c>
      <c r="J57" s="6" t="s">
        <v>289</v>
      </c>
      <c r="K57" s="6" t="n">
        <v>3</v>
      </c>
      <c r="L57" s="6" t="n">
        <v>4</v>
      </c>
      <c r="M57" s="6" t="s">
        <v>180</v>
      </c>
      <c r="N57" s="6" t="s">
        <v>63</v>
      </c>
      <c r="O57" s="6" t="s">
        <v>290</v>
      </c>
      <c r="P57" s="6" t="s">
        <v>291</v>
      </c>
      <c r="Q57" s="6"/>
      <c r="R57" s="6"/>
      <c r="S57" s="6"/>
      <c r="T57" s="6"/>
    </row>
    <row r="58" customFormat="false" ht="124.6" hidden="false" customHeight="false" outlineLevel="0" collapsed="false">
      <c r="A58" s="6" t="n">
        <v>57</v>
      </c>
      <c r="B58" s="6" t="s">
        <v>9</v>
      </c>
      <c r="C58" s="7" t="n">
        <v>0.534722222222222</v>
      </c>
      <c r="D58" s="7"/>
      <c r="E58" s="6" t="s">
        <v>16</v>
      </c>
      <c r="F58" s="6" t="s">
        <v>95</v>
      </c>
      <c r="G58" s="6" t="s">
        <v>292</v>
      </c>
      <c r="H58" s="6" t="s">
        <v>293</v>
      </c>
      <c r="I58" s="6" t="s">
        <v>294</v>
      </c>
      <c r="J58" s="6" t="s">
        <v>295</v>
      </c>
      <c r="K58" s="6" t="n">
        <v>3</v>
      </c>
      <c r="L58" s="6" t="n">
        <v>3</v>
      </c>
      <c r="M58" s="6" t="s">
        <v>235</v>
      </c>
      <c r="N58" s="6" t="s">
        <v>55</v>
      </c>
      <c r="O58" s="6" t="s">
        <v>235</v>
      </c>
      <c r="P58" s="6" t="s">
        <v>296</v>
      </c>
      <c r="Q58" s="6"/>
      <c r="R58" s="6"/>
      <c r="S58" s="6"/>
      <c r="T58" s="6"/>
    </row>
    <row r="59" customFormat="false" ht="15" hidden="false" customHeight="false" outlineLevel="0" collapsed="false">
      <c r="A59" s="6" t="n">
        <v>58</v>
      </c>
      <c r="B59" s="6" t="s">
        <v>9</v>
      </c>
      <c r="C59" s="7" t="n">
        <v>0.534722222222222</v>
      </c>
      <c r="D59" s="7"/>
      <c r="E59" s="6" t="s">
        <v>25</v>
      </c>
      <c r="F59" s="6" t="s">
        <v>192</v>
      </c>
      <c r="G59" s="6" t="s">
        <v>297</v>
      </c>
      <c r="H59" s="6" t="s">
        <v>298</v>
      </c>
      <c r="I59" s="6" t="s">
        <v>299</v>
      </c>
      <c r="J59" s="6" t="s">
        <v>300</v>
      </c>
      <c r="K59" s="6" t="n">
        <v>1</v>
      </c>
      <c r="L59" s="6"/>
      <c r="M59" s="6" t="s">
        <v>245</v>
      </c>
      <c r="N59" s="6" t="s">
        <v>63</v>
      </c>
      <c r="O59" s="6" t="s">
        <v>246</v>
      </c>
      <c r="P59" s="6"/>
      <c r="Q59" s="6"/>
      <c r="R59" s="6"/>
      <c r="S59" s="6"/>
      <c r="T59" s="6"/>
    </row>
    <row r="60" customFormat="false" ht="158.2" hidden="false" customHeight="false" outlineLevel="0" collapsed="false">
      <c r="A60" s="6" t="n">
        <v>59</v>
      </c>
      <c r="B60" s="6" t="s">
        <v>9</v>
      </c>
      <c r="C60" s="7" t="n">
        <v>0.534722222222222</v>
      </c>
      <c r="D60" s="7"/>
      <c r="E60" s="6" t="s">
        <v>14</v>
      </c>
      <c r="F60" s="6" t="s">
        <v>192</v>
      </c>
      <c r="G60" s="6" t="s">
        <v>301</v>
      </c>
      <c r="H60" s="6" t="s">
        <v>302</v>
      </c>
      <c r="I60" s="6" t="s">
        <v>303</v>
      </c>
      <c r="J60" s="6" t="s">
        <v>304</v>
      </c>
      <c r="K60" s="6" t="n">
        <v>2</v>
      </c>
      <c r="L60" s="6"/>
      <c r="M60" s="6" t="s">
        <v>69</v>
      </c>
      <c r="N60" s="6" t="s">
        <v>55</v>
      </c>
      <c r="O60" s="6" t="s">
        <v>69</v>
      </c>
      <c r="P60" s="6" t="s">
        <v>305</v>
      </c>
      <c r="Q60" s="6"/>
      <c r="R60" s="6"/>
      <c r="S60" s="6"/>
      <c r="T60" s="6"/>
    </row>
    <row r="61" customFormat="false" ht="23.85" hidden="false" customHeight="false" outlineLevel="0" collapsed="false">
      <c r="A61" s="6" t="n">
        <v>60</v>
      </c>
      <c r="B61" s="6" t="s">
        <v>9</v>
      </c>
      <c r="C61" s="7" t="n">
        <v>0.534722222222222</v>
      </c>
      <c r="D61" s="7"/>
      <c r="E61" s="6" t="s">
        <v>28</v>
      </c>
      <c r="F61" s="6" t="s">
        <v>251</v>
      </c>
      <c r="G61" s="6" t="s">
        <v>306</v>
      </c>
      <c r="H61" s="6" t="s">
        <v>307</v>
      </c>
      <c r="I61" s="6" t="s">
        <v>308</v>
      </c>
      <c r="J61" s="6" t="s">
        <v>309</v>
      </c>
      <c r="K61" s="6" t="n">
        <v>1</v>
      </c>
      <c r="L61" s="6"/>
      <c r="M61" s="6" t="s">
        <v>28</v>
      </c>
      <c r="N61" s="6"/>
      <c r="O61" s="6" t="s">
        <v>28</v>
      </c>
      <c r="P61" s="6"/>
      <c r="Q61" s="6"/>
      <c r="R61" s="6"/>
      <c r="S61" s="6"/>
      <c r="T61" s="6"/>
    </row>
    <row r="62" customFormat="false" ht="23.85" hidden="false" customHeight="false" outlineLevel="0" collapsed="false">
      <c r="A62" s="6" t="n">
        <v>61</v>
      </c>
      <c r="B62" s="6" t="s">
        <v>9</v>
      </c>
      <c r="C62" s="7" t="n">
        <v>0.534722222222222</v>
      </c>
      <c r="D62" s="7"/>
      <c r="E62" s="6" t="s">
        <v>21</v>
      </c>
      <c r="F62" s="6" t="s">
        <v>192</v>
      </c>
      <c r="G62" s="6" t="s">
        <v>310</v>
      </c>
      <c r="H62" s="6" t="s">
        <v>311</v>
      </c>
      <c r="I62" s="6" t="s">
        <v>312</v>
      </c>
      <c r="J62" s="6" t="s">
        <v>313</v>
      </c>
      <c r="K62" s="6" t="n">
        <v>1</v>
      </c>
      <c r="L62" s="6"/>
      <c r="M62" s="6" t="s">
        <v>215</v>
      </c>
      <c r="N62" s="6" t="s">
        <v>63</v>
      </c>
      <c r="O62" s="6" t="s">
        <v>215</v>
      </c>
      <c r="P62" s="6"/>
      <c r="Q62" s="6"/>
      <c r="R62" s="6"/>
      <c r="S62" s="6"/>
      <c r="T62" s="6"/>
    </row>
    <row r="63" customFormat="false" ht="23.85" hidden="false" customHeight="false" outlineLevel="0" collapsed="false">
      <c r="A63" s="6" t="n">
        <v>62</v>
      </c>
      <c r="B63" s="6" t="s">
        <v>9</v>
      </c>
      <c r="C63" s="7" t="n">
        <v>0.541666666666667</v>
      </c>
      <c r="D63" s="7"/>
      <c r="E63" s="6" t="s">
        <v>29</v>
      </c>
      <c r="F63" s="6" t="s">
        <v>181</v>
      </c>
      <c r="G63" s="6" t="s">
        <v>314</v>
      </c>
      <c r="H63" s="6" t="s">
        <v>315</v>
      </c>
      <c r="I63" s="6" t="s">
        <v>316</v>
      </c>
      <c r="J63" s="6" t="s">
        <v>317</v>
      </c>
      <c r="K63" s="6" t="n">
        <v>2</v>
      </c>
      <c r="L63" s="6"/>
      <c r="M63" s="6" t="s">
        <v>186</v>
      </c>
      <c r="N63" s="6" t="s">
        <v>55</v>
      </c>
      <c r="O63" s="6" t="s">
        <v>186</v>
      </c>
      <c r="P63" s="6"/>
      <c r="Q63" s="6"/>
      <c r="R63" s="6"/>
      <c r="S63" s="6"/>
      <c r="T63" s="6"/>
    </row>
    <row r="64" customFormat="false" ht="23.85" hidden="false" customHeight="false" outlineLevel="0" collapsed="false">
      <c r="A64" s="6" t="n">
        <v>63</v>
      </c>
      <c r="B64" s="6" t="s">
        <v>9</v>
      </c>
      <c r="C64" s="7" t="n">
        <v>0.541666666666667</v>
      </c>
      <c r="D64" s="7"/>
      <c r="E64" s="6" t="s">
        <v>28</v>
      </c>
      <c r="F64" s="6" t="s">
        <v>251</v>
      </c>
      <c r="G64" s="6" t="s">
        <v>318</v>
      </c>
      <c r="H64" s="6" t="s">
        <v>319</v>
      </c>
      <c r="I64" s="6" t="s">
        <v>320</v>
      </c>
      <c r="J64" s="6" t="s">
        <v>321</v>
      </c>
      <c r="K64" s="6" t="n">
        <v>1</v>
      </c>
      <c r="L64" s="6"/>
      <c r="M64" s="6" t="s">
        <v>28</v>
      </c>
      <c r="N64" s="6"/>
      <c r="O64" s="6" t="s">
        <v>28</v>
      </c>
      <c r="P64" s="6"/>
      <c r="Q64" s="6"/>
      <c r="R64" s="6"/>
      <c r="S64" s="6"/>
      <c r="T64" s="6"/>
    </row>
    <row r="65" customFormat="false" ht="23.85" hidden="false" customHeight="false" outlineLevel="0" collapsed="false">
      <c r="A65" s="6" t="n">
        <v>64</v>
      </c>
      <c r="B65" s="6" t="s">
        <v>9</v>
      </c>
      <c r="C65" s="7" t="n">
        <v>0.545138888888889</v>
      </c>
      <c r="D65" s="7"/>
      <c r="E65" s="6" t="s">
        <v>12</v>
      </c>
      <c r="F65" s="6" t="s">
        <v>192</v>
      </c>
      <c r="G65" s="6" t="s">
        <v>322</v>
      </c>
      <c r="H65" s="6" t="s">
        <v>323</v>
      </c>
      <c r="I65" s="6" t="s">
        <v>324</v>
      </c>
      <c r="J65" s="6" t="s">
        <v>325</v>
      </c>
      <c r="K65" s="6" t="n">
        <v>1</v>
      </c>
      <c r="L65" s="6"/>
      <c r="M65" s="6" t="s">
        <v>197</v>
      </c>
      <c r="N65" s="6" t="s">
        <v>55</v>
      </c>
      <c r="O65" s="6" t="s">
        <v>198</v>
      </c>
      <c r="P65" s="6"/>
      <c r="Q65" s="6"/>
      <c r="R65" s="6"/>
      <c r="S65" s="6"/>
      <c r="T65" s="6"/>
    </row>
    <row r="66" customFormat="false" ht="57.45" hidden="false" customHeight="false" outlineLevel="0" collapsed="false">
      <c r="A66" s="6" t="n">
        <v>65</v>
      </c>
      <c r="B66" s="6" t="s">
        <v>9</v>
      </c>
      <c r="C66" s="7" t="n">
        <v>0.545138888888889</v>
      </c>
      <c r="D66" s="7"/>
      <c r="E66" s="6" t="s">
        <v>21</v>
      </c>
      <c r="F66" s="6" t="s">
        <v>95</v>
      </c>
      <c r="G66" s="6" t="s">
        <v>326</v>
      </c>
      <c r="H66" s="6" t="s">
        <v>327</v>
      </c>
      <c r="I66" s="6" t="s">
        <v>328</v>
      </c>
      <c r="J66" s="6" t="s">
        <v>329</v>
      </c>
      <c r="K66" s="6" t="n">
        <v>3</v>
      </c>
      <c r="L66" s="6" t="n">
        <v>2</v>
      </c>
      <c r="M66" s="6" t="s">
        <v>215</v>
      </c>
      <c r="N66" s="6" t="s">
        <v>63</v>
      </c>
      <c r="O66" s="6" t="s">
        <v>215</v>
      </c>
      <c r="P66" s="6" t="s">
        <v>330</v>
      </c>
      <c r="Q66" s="6"/>
      <c r="R66" s="6"/>
      <c r="S66" s="6"/>
      <c r="T66" s="6"/>
    </row>
    <row r="67" customFormat="false" ht="23.85" hidden="false" customHeight="false" outlineLevel="0" collapsed="false">
      <c r="A67" s="6" t="n">
        <v>66</v>
      </c>
      <c r="B67" s="6" t="s">
        <v>9</v>
      </c>
      <c r="C67" s="7" t="n">
        <v>0.545138888888889</v>
      </c>
      <c r="D67" s="7"/>
      <c r="E67" s="6" t="s">
        <v>13</v>
      </c>
      <c r="F67" s="6" t="s">
        <v>70</v>
      </c>
      <c r="G67" s="6" t="s">
        <v>331</v>
      </c>
      <c r="H67" s="6" t="s">
        <v>332</v>
      </c>
      <c r="I67" s="6" t="s">
        <v>333</v>
      </c>
      <c r="J67" s="6" t="s">
        <v>334</v>
      </c>
      <c r="K67" s="6" t="n">
        <v>2</v>
      </c>
      <c r="L67" s="6"/>
      <c r="M67" s="6" t="s">
        <v>62</v>
      </c>
      <c r="N67" s="6" t="s">
        <v>63</v>
      </c>
      <c r="O67" s="6" t="s">
        <v>62</v>
      </c>
      <c r="P67" s="6"/>
      <c r="Q67" s="6"/>
      <c r="R67" s="6"/>
      <c r="S67" s="6"/>
      <c r="T67" s="6"/>
    </row>
    <row r="68" customFormat="false" ht="102.2" hidden="false" customHeight="false" outlineLevel="0" collapsed="false">
      <c r="A68" s="6" t="n">
        <v>67</v>
      </c>
      <c r="B68" s="6" t="s">
        <v>9</v>
      </c>
      <c r="C68" s="7" t="n">
        <v>0.545138888888889</v>
      </c>
      <c r="D68" s="7"/>
      <c r="E68" s="6" t="s">
        <v>14</v>
      </c>
      <c r="F68" s="6" t="s">
        <v>95</v>
      </c>
      <c r="G68" s="6" t="s">
        <v>335</v>
      </c>
      <c r="H68" s="6" t="s">
        <v>336</v>
      </c>
      <c r="I68" s="6" t="s">
        <v>337</v>
      </c>
      <c r="J68" s="6" t="s">
        <v>338</v>
      </c>
      <c r="K68" s="6" t="n">
        <v>3</v>
      </c>
      <c r="L68" s="6" t="n">
        <v>2</v>
      </c>
      <c r="M68" s="6" t="s">
        <v>69</v>
      </c>
      <c r="N68" s="6" t="s">
        <v>55</v>
      </c>
      <c r="O68" s="6" t="s">
        <v>69</v>
      </c>
      <c r="P68" s="6" t="s">
        <v>339</v>
      </c>
      <c r="Q68" s="6"/>
      <c r="R68" s="6"/>
      <c r="S68" s="6"/>
      <c r="T68" s="6"/>
    </row>
    <row r="69" customFormat="false" ht="35.05" hidden="false" customHeight="false" outlineLevel="0" collapsed="false">
      <c r="A69" s="6" t="n">
        <v>68</v>
      </c>
      <c r="B69" s="6" t="s">
        <v>9</v>
      </c>
      <c r="C69" s="7" t="n">
        <v>0.545138888888889</v>
      </c>
      <c r="D69" s="7"/>
      <c r="E69" s="6" t="s">
        <v>25</v>
      </c>
      <c r="F69" s="6" t="s">
        <v>192</v>
      </c>
      <c r="G69" s="6" t="s">
        <v>340</v>
      </c>
      <c r="H69" s="6" t="s">
        <v>341</v>
      </c>
      <c r="I69" s="6" t="s">
        <v>342</v>
      </c>
      <c r="J69" s="6" t="s">
        <v>343</v>
      </c>
      <c r="K69" s="6" t="n">
        <v>2</v>
      </c>
      <c r="L69" s="6"/>
      <c r="M69" s="6" t="s">
        <v>245</v>
      </c>
      <c r="N69" s="6" t="s">
        <v>63</v>
      </c>
      <c r="O69" s="6" t="s">
        <v>246</v>
      </c>
      <c r="P69" s="6" t="s">
        <v>344</v>
      </c>
      <c r="Q69" s="6"/>
      <c r="R69" s="6"/>
      <c r="S69" s="6"/>
      <c r="T69" s="6"/>
    </row>
    <row r="70" customFormat="false" ht="79.85" hidden="false" customHeight="false" outlineLevel="0" collapsed="false">
      <c r="A70" s="6" t="n">
        <v>69</v>
      </c>
      <c r="B70" s="6" t="s">
        <v>9</v>
      </c>
      <c r="C70" s="7" t="n">
        <v>0.545138888888889</v>
      </c>
      <c r="D70" s="7"/>
      <c r="E70" s="6" t="s">
        <v>26</v>
      </c>
      <c r="F70" s="6" t="s">
        <v>199</v>
      </c>
      <c r="G70" s="6" t="s">
        <v>345</v>
      </c>
      <c r="H70" s="6" t="s">
        <v>346</v>
      </c>
      <c r="I70" s="6" t="s">
        <v>347</v>
      </c>
      <c r="J70" s="6" t="s">
        <v>348</v>
      </c>
      <c r="K70" s="6" t="n">
        <v>3</v>
      </c>
      <c r="L70" s="6" t="n">
        <v>2</v>
      </c>
      <c r="M70" s="6" t="s">
        <v>240</v>
      </c>
      <c r="N70" s="6" t="s">
        <v>63</v>
      </c>
      <c r="O70" s="6" t="s">
        <v>240</v>
      </c>
      <c r="P70" s="6" t="s">
        <v>349</v>
      </c>
      <c r="Q70" s="6"/>
      <c r="R70" s="6"/>
      <c r="S70" s="6"/>
      <c r="T70" s="6"/>
    </row>
    <row r="71" customFormat="false" ht="68.65" hidden="false" customHeight="false" outlineLevel="0" collapsed="false">
      <c r="A71" s="6" t="n">
        <v>70</v>
      </c>
      <c r="B71" s="6" t="s">
        <v>9</v>
      </c>
      <c r="C71" s="7" t="n">
        <v>0.545138888888889</v>
      </c>
      <c r="D71" s="7"/>
      <c r="E71" s="6" t="s">
        <v>20</v>
      </c>
      <c r="F71" s="6" t="s">
        <v>199</v>
      </c>
      <c r="G71" s="6" t="s">
        <v>350</v>
      </c>
      <c r="H71" s="6" t="s">
        <v>351</v>
      </c>
      <c r="I71" s="6" t="s">
        <v>352</v>
      </c>
      <c r="J71" s="6" t="s">
        <v>353</v>
      </c>
      <c r="K71" s="6" t="n">
        <v>1</v>
      </c>
      <c r="L71" s="6"/>
      <c r="M71" s="6" t="s">
        <v>220</v>
      </c>
      <c r="N71" s="6" t="s">
        <v>63</v>
      </c>
      <c r="O71" s="6" t="s">
        <v>221</v>
      </c>
      <c r="P71" s="6" t="s">
        <v>354</v>
      </c>
      <c r="Q71" s="6"/>
      <c r="R71" s="6"/>
      <c r="S71" s="6"/>
      <c r="T71" s="6"/>
    </row>
    <row r="72" customFormat="false" ht="15" hidden="false" customHeight="false" outlineLevel="0" collapsed="false">
      <c r="A72" s="6" t="n">
        <v>71</v>
      </c>
      <c r="B72" s="6" t="s">
        <v>9</v>
      </c>
      <c r="C72" s="7" t="n">
        <v>0.545138888888889</v>
      </c>
      <c r="D72" s="7"/>
      <c r="E72" s="6" t="s">
        <v>19</v>
      </c>
      <c r="F72" s="6" t="s">
        <v>192</v>
      </c>
      <c r="G72" s="6" t="s">
        <v>355</v>
      </c>
      <c r="H72" s="6" t="s">
        <v>356</v>
      </c>
      <c r="I72" s="6" t="s">
        <v>357</v>
      </c>
      <c r="J72" s="6" t="s">
        <v>358</v>
      </c>
      <c r="K72" s="6" t="n">
        <v>1</v>
      </c>
      <c r="L72" s="6"/>
      <c r="M72" s="6" t="s">
        <v>204</v>
      </c>
      <c r="N72" s="6" t="s">
        <v>63</v>
      </c>
      <c r="O72" s="6" t="s">
        <v>204</v>
      </c>
      <c r="P72" s="6" t="s">
        <v>359</v>
      </c>
      <c r="Q72" s="6"/>
      <c r="R72" s="6"/>
      <c r="S72" s="6"/>
      <c r="T72" s="6"/>
    </row>
    <row r="73" customFormat="false" ht="102.2" hidden="false" customHeight="false" outlineLevel="0" collapsed="false">
      <c r="A73" s="6" t="n">
        <v>72</v>
      </c>
      <c r="B73" s="6" t="s">
        <v>9</v>
      </c>
      <c r="C73" s="7" t="n">
        <v>0.545138888888889</v>
      </c>
      <c r="D73" s="7"/>
      <c r="E73" s="6" t="s">
        <v>15</v>
      </c>
      <c r="F73" s="6" t="s">
        <v>95</v>
      </c>
      <c r="G73" s="6" t="s">
        <v>360</v>
      </c>
      <c r="H73" s="6" t="s">
        <v>361</v>
      </c>
      <c r="I73" s="6" t="s">
        <v>362</v>
      </c>
      <c r="J73" s="6" t="s">
        <v>363</v>
      </c>
      <c r="K73" s="6" t="n">
        <v>3</v>
      </c>
      <c r="L73" s="6" t="n">
        <v>4</v>
      </c>
      <c r="M73" s="6" t="s">
        <v>226</v>
      </c>
      <c r="N73" s="6" t="s">
        <v>55</v>
      </c>
      <c r="O73" s="6" t="s">
        <v>226</v>
      </c>
      <c r="P73" s="6" t="s">
        <v>364</v>
      </c>
      <c r="Q73" s="6"/>
      <c r="R73" s="6"/>
      <c r="S73" s="6"/>
      <c r="T73" s="6"/>
    </row>
    <row r="74" customFormat="false" ht="15" hidden="false" customHeight="false" outlineLevel="0" collapsed="false">
      <c r="A74" s="6" t="n">
        <v>73</v>
      </c>
      <c r="B74" s="6" t="s">
        <v>9</v>
      </c>
      <c r="C74" s="7" t="n">
        <v>0.548611111111111</v>
      </c>
      <c r="D74" s="7"/>
      <c r="E74" s="6" t="s">
        <v>28</v>
      </c>
      <c r="F74" s="6" t="s">
        <v>251</v>
      </c>
      <c r="G74" s="6" t="s">
        <v>365</v>
      </c>
      <c r="H74" s="6" t="s">
        <v>366</v>
      </c>
      <c r="I74" s="6" t="s">
        <v>367</v>
      </c>
      <c r="J74" s="6" t="s">
        <v>368</v>
      </c>
      <c r="K74" s="6" t="n">
        <v>1</v>
      </c>
      <c r="L74" s="6"/>
      <c r="M74" s="6" t="s">
        <v>28</v>
      </c>
      <c r="N74" s="6"/>
      <c r="O74" s="6" t="s">
        <v>28</v>
      </c>
      <c r="P74" s="6"/>
      <c r="Q74" s="6"/>
      <c r="R74" s="6"/>
      <c r="S74" s="6"/>
      <c r="T74" s="6"/>
    </row>
    <row r="75" customFormat="false" ht="113.4" hidden="false" customHeight="false" outlineLevel="0" collapsed="false">
      <c r="A75" s="6" t="n">
        <v>74</v>
      </c>
      <c r="B75" s="6" t="s">
        <v>9</v>
      </c>
      <c r="C75" s="7" t="n">
        <v>0.552083333333333</v>
      </c>
      <c r="D75" s="7"/>
      <c r="E75" s="6" t="s">
        <v>29</v>
      </c>
      <c r="F75" s="6" t="s">
        <v>95</v>
      </c>
      <c r="G75" s="6" t="s">
        <v>369</v>
      </c>
      <c r="H75" s="6" t="s">
        <v>370</v>
      </c>
      <c r="I75" s="6" t="s">
        <v>371</v>
      </c>
      <c r="J75" s="6" t="s">
        <v>372</v>
      </c>
      <c r="K75" s="6" t="n">
        <v>3</v>
      </c>
      <c r="L75" s="6" t="n">
        <v>3</v>
      </c>
      <c r="M75" s="6" t="s">
        <v>186</v>
      </c>
      <c r="N75" s="6" t="s">
        <v>55</v>
      </c>
      <c r="O75" s="6" t="s">
        <v>186</v>
      </c>
      <c r="P75" s="6" t="s">
        <v>373</v>
      </c>
      <c r="Q75" s="6"/>
      <c r="R75" s="6"/>
      <c r="S75" s="6"/>
      <c r="T75" s="6"/>
    </row>
    <row r="76" customFormat="false" ht="46.25" hidden="false" customHeight="false" outlineLevel="0" collapsed="false">
      <c r="A76" s="6" t="n">
        <v>75</v>
      </c>
      <c r="B76" s="6" t="s">
        <v>9</v>
      </c>
      <c r="C76" s="7" t="n">
        <v>0.552083333333333</v>
      </c>
      <c r="D76" s="7"/>
      <c r="E76" s="6" t="s">
        <v>13</v>
      </c>
      <c r="F76" s="6" t="s">
        <v>95</v>
      </c>
      <c r="G76" s="6" t="s">
        <v>374</v>
      </c>
      <c r="H76" s="6" t="s">
        <v>375</v>
      </c>
      <c r="I76" s="6" t="s">
        <v>376</v>
      </c>
      <c r="J76" s="6" t="s">
        <v>377</v>
      </c>
      <c r="K76" s="6" t="n">
        <v>3</v>
      </c>
      <c r="L76" s="6" t="n">
        <v>1</v>
      </c>
      <c r="M76" s="6" t="s">
        <v>62</v>
      </c>
      <c r="N76" s="6" t="s">
        <v>63</v>
      </c>
      <c r="O76" s="6" t="s">
        <v>62</v>
      </c>
      <c r="P76" s="6" t="s">
        <v>378</v>
      </c>
      <c r="Q76" s="6"/>
      <c r="R76" s="6"/>
      <c r="S76" s="6"/>
      <c r="T76" s="6"/>
    </row>
    <row r="77" customFormat="false" ht="57.45" hidden="false" customHeight="false" outlineLevel="0" collapsed="false">
      <c r="A77" s="6" t="n">
        <v>76</v>
      </c>
      <c r="B77" s="6" t="s">
        <v>9</v>
      </c>
      <c r="C77" s="7" t="n">
        <v>0.555555555555556</v>
      </c>
      <c r="D77" s="7"/>
      <c r="E77" s="6" t="s">
        <v>12</v>
      </c>
      <c r="F77" s="6" t="s">
        <v>95</v>
      </c>
      <c r="G77" s="6" t="s">
        <v>379</v>
      </c>
      <c r="H77" s="6" t="s">
        <v>380</v>
      </c>
      <c r="I77" s="6" t="s">
        <v>381</v>
      </c>
      <c r="J77" s="6" t="s">
        <v>382</v>
      </c>
      <c r="K77" s="6" t="n">
        <v>3</v>
      </c>
      <c r="L77" s="6" t="n">
        <v>4</v>
      </c>
      <c r="M77" s="6" t="s">
        <v>197</v>
      </c>
      <c r="N77" s="6" t="s">
        <v>55</v>
      </c>
      <c r="O77" s="6" t="s">
        <v>197</v>
      </c>
      <c r="P77" s="6" t="s">
        <v>383</v>
      </c>
      <c r="Q77" s="6"/>
      <c r="R77" s="6"/>
      <c r="S77" s="6"/>
      <c r="T77" s="6"/>
    </row>
    <row r="78" customFormat="false" ht="113.4" hidden="false" customHeight="false" outlineLevel="0" collapsed="false">
      <c r="A78" s="6" t="n">
        <v>77</v>
      </c>
      <c r="B78" s="6" t="s">
        <v>9</v>
      </c>
      <c r="C78" s="7" t="n">
        <v>0.555555555555556</v>
      </c>
      <c r="D78" s="7"/>
      <c r="E78" s="6" t="s">
        <v>25</v>
      </c>
      <c r="F78" s="6" t="s">
        <v>95</v>
      </c>
      <c r="G78" s="6" t="s">
        <v>384</v>
      </c>
      <c r="H78" s="6" t="s">
        <v>385</v>
      </c>
      <c r="I78" s="6" t="s">
        <v>386</v>
      </c>
      <c r="J78" s="6" t="s">
        <v>387</v>
      </c>
      <c r="K78" s="6" t="n">
        <v>3</v>
      </c>
      <c r="L78" s="6" t="n">
        <v>2</v>
      </c>
      <c r="M78" s="6" t="s">
        <v>245</v>
      </c>
      <c r="N78" s="6" t="s">
        <v>63</v>
      </c>
      <c r="O78" s="6" t="s">
        <v>246</v>
      </c>
      <c r="P78" s="6" t="s">
        <v>388</v>
      </c>
      <c r="Q78" s="6"/>
      <c r="R78" s="6"/>
      <c r="S78" s="6"/>
      <c r="T78" s="6"/>
    </row>
    <row r="79" customFormat="false" ht="91" hidden="false" customHeight="false" outlineLevel="0" collapsed="false">
      <c r="A79" s="6" t="n">
        <v>78</v>
      </c>
      <c r="B79" s="6" t="s">
        <v>9</v>
      </c>
      <c r="C79" s="7" t="n">
        <v>0.555555555555556</v>
      </c>
      <c r="D79" s="7"/>
      <c r="E79" s="6" t="s">
        <v>20</v>
      </c>
      <c r="F79" s="6" t="s">
        <v>95</v>
      </c>
      <c r="G79" s="6" t="s">
        <v>389</v>
      </c>
      <c r="H79" s="6" t="s">
        <v>390</v>
      </c>
      <c r="I79" s="6" t="s">
        <v>391</v>
      </c>
      <c r="J79" s="6" t="s">
        <v>392</v>
      </c>
      <c r="K79" s="6" t="n">
        <v>3</v>
      </c>
      <c r="L79" s="6" t="n">
        <v>3</v>
      </c>
      <c r="M79" s="6" t="s">
        <v>220</v>
      </c>
      <c r="N79" s="6" t="s">
        <v>63</v>
      </c>
      <c r="O79" s="6" t="s">
        <v>221</v>
      </c>
      <c r="P79" s="6" t="s">
        <v>393</v>
      </c>
      <c r="Q79" s="6"/>
      <c r="R79" s="6"/>
      <c r="S79" s="6"/>
      <c r="T79" s="6"/>
    </row>
    <row r="80" customFormat="false" ht="68.65" hidden="false" customHeight="false" outlineLevel="0" collapsed="false">
      <c r="A80" s="6" t="n">
        <v>79</v>
      </c>
      <c r="B80" s="6" t="s">
        <v>9</v>
      </c>
      <c r="C80" s="7" t="n">
        <v>0.555555555555556</v>
      </c>
      <c r="D80" s="7"/>
      <c r="E80" s="6" t="s">
        <v>19</v>
      </c>
      <c r="F80" s="6" t="s">
        <v>95</v>
      </c>
      <c r="G80" s="6" t="s">
        <v>394</v>
      </c>
      <c r="H80" s="6" t="s">
        <v>395</v>
      </c>
      <c r="I80" s="6" t="s">
        <v>396</v>
      </c>
      <c r="J80" s="6" t="s">
        <v>397</v>
      </c>
      <c r="K80" s="6" t="n">
        <v>3</v>
      </c>
      <c r="L80" s="6" t="n">
        <v>3</v>
      </c>
      <c r="M80" s="6" t="s">
        <v>204</v>
      </c>
      <c r="N80" s="6" t="s">
        <v>63</v>
      </c>
      <c r="O80" s="6" t="s">
        <v>204</v>
      </c>
      <c r="P80" s="6" t="s">
        <v>398</v>
      </c>
      <c r="Q80" s="6"/>
      <c r="R80" s="6"/>
      <c r="S80" s="6"/>
      <c r="T80" s="6"/>
    </row>
    <row r="81" customFormat="false" ht="23.85" hidden="false" customHeight="false" outlineLevel="0" collapsed="false">
      <c r="A81" s="6" t="n">
        <v>80</v>
      </c>
      <c r="B81" s="6" t="s">
        <v>9</v>
      </c>
      <c r="C81" s="7" t="n">
        <v>0.5625</v>
      </c>
      <c r="D81" s="7"/>
      <c r="E81" s="6" t="s">
        <v>28</v>
      </c>
      <c r="F81" s="6" t="s">
        <v>251</v>
      </c>
      <c r="G81" s="6" t="s">
        <v>399</v>
      </c>
      <c r="H81" s="6" t="s">
        <v>400</v>
      </c>
      <c r="I81" s="6" t="s">
        <v>401</v>
      </c>
      <c r="J81" s="6" t="s">
        <v>402</v>
      </c>
      <c r="K81" s="6" t="n">
        <v>2</v>
      </c>
      <c r="L81" s="6"/>
      <c r="M81" s="6" t="s">
        <v>28</v>
      </c>
      <c r="N81" s="6"/>
      <c r="O81" s="6" t="s">
        <v>28</v>
      </c>
      <c r="P81" s="6"/>
      <c r="Q81" s="6"/>
      <c r="R81" s="6"/>
      <c r="S81" s="6"/>
      <c r="T81" s="6"/>
    </row>
    <row r="82" customFormat="false" ht="23.85" hidden="false" customHeight="false" outlineLevel="0" collapsed="false">
      <c r="A82" s="6" t="n">
        <v>81</v>
      </c>
      <c r="B82" s="6" t="s">
        <v>9</v>
      </c>
      <c r="C82" s="7" t="n">
        <v>0.569444444444444</v>
      </c>
      <c r="D82" s="7"/>
      <c r="E82" s="6" t="s">
        <v>28</v>
      </c>
      <c r="F82" s="6" t="s">
        <v>251</v>
      </c>
      <c r="G82" s="6" t="s">
        <v>403</v>
      </c>
      <c r="H82" s="6" t="s">
        <v>404</v>
      </c>
      <c r="I82" s="6" t="s">
        <v>405</v>
      </c>
      <c r="J82" s="6" t="s">
        <v>406</v>
      </c>
      <c r="K82" s="6" t="n">
        <v>1</v>
      </c>
      <c r="L82" s="6"/>
      <c r="M82" s="6" t="s">
        <v>28</v>
      </c>
      <c r="N82" s="6"/>
      <c r="O82" s="6" t="s">
        <v>28</v>
      </c>
      <c r="P82" s="6"/>
      <c r="Q82" s="6"/>
      <c r="R82" s="6"/>
      <c r="S82" s="6"/>
      <c r="T82" s="6"/>
    </row>
    <row r="83" customFormat="false" ht="46.25" hidden="false" customHeight="false" outlineLevel="0" collapsed="false">
      <c r="A83" s="6" t="n">
        <v>82</v>
      </c>
      <c r="B83" s="6" t="s">
        <v>9</v>
      </c>
      <c r="C83" s="7" t="n">
        <v>0.575694444444444</v>
      </c>
      <c r="D83" s="7" t="n">
        <v>0.607638888888889</v>
      </c>
      <c r="E83" s="6" t="s">
        <v>30</v>
      </c>
      <c r="F83" s="6" t="s">
        <v>30</v>
      </c>
      <c r="G83" s="6" t="s">
        <v>407</v>
      </c>
      <c r="H83" s="6" t="s">
        <v>408</v>
      </c>
      <c r="I83" s="6" t="s">
        <v>408</v>
      </c>
      <c r="J83" s="6"/>
      <c r="K83" s="6" t="n">
        <v>1</v>
      </c>
      <c r="L83" s="6"/>
      <c r="M83" s="6" t="s">
        <v>180</v>
      </c>
      <c r="N83" s="6" t="s">
        <v>63</v>
      </c>
      <c r="O83" s="6" t="s">
        <v>409</v>
      </c>
      <c r="P83" s="6"/>
      <c r="Q83" s="6" t="n">
        <v>2</v>
      </c>
      <c r="R83" s="6" t="n">
        <v>120</v>
      </c>
      <c r="S83" s="6" t="n">
        <f aca="false">R83-Q83</f>
        <v>118</v>
      </c>
      <c r="T83" s="6" t="s">
        <v>115</v>
      </c>
    </row>
    <row r="84" customFormat="false" ht="23.85" hidden="false" customHeight="false" outlineLevel="0" collapsed="false">
      <c r="A84" s="6" t="n">
        <v>83</v>
      </c>
      <c r="B84" s="6" t="s">
        <v>9</v>
      </c>
      <c r="C84" s="7" t="n">
        <v>0.576388888888889</v>
      </c>
      <c r="D84" s="7"/>
      <c r="E84" s="6" t="s">
        <v>28</v>
      </c>
      <c r="F84" s="6" t="s">
        <v>251</v>
      </c>
      <c r="G84" s="6" t="s">
        <v>410</v>
      </c>
      <c r="H84" s="6" t="s">
        <v>411</v>
      </c>
      <c r="I84" s="6" t="s">
        <v>412</v>
      </c>
      <c r="J84" s="6" t="s">
        <v>413</v>
      </c>
      <c r="K84" s="6" t="n">
        <v>1</v>
      </c>
      <c r="L84" s="6"/>
      <c r="M84" s="6" t="s">
        <v>28</v>
      </c>
      <c r="N84" s="6"/>
      <c r="O84" s="6" t="s">
        <v>28</v>
      </c>
      <c r="P84" s="6"/>
      <c r="Q84" s="6"/>
      <c r="R84" s="6"/>
      <c r="S84" s="6"/>
      <c r="T84" s="6"/>
    </row>
    <row r="85" customFormat="false" ht="23.85" hidden="false" customHeight="false" outlineLevel="0" collapsed="false">
      <c r="A85" s="6" t="n">
        <v>84</v>
      </c>
      <c r="B85" s="6" t="s">
        <v>9</v>
      </c>
      <c r="C85" s="7" t="n">
        <v>0.576388888888889</v>
      </c>
      <c r="D85" s="7" t="n">
        <v>0.607638888888889</v>
      </c>
      <c r="E85" s="6" t="s">
        <v>30</v>
      </c>
      <c r="F85" s="6" t="s">
        <v>30</v>
      </c>
      <c r="G85" s="6" t="s">
        <v>414</v>
      </c>
      <c r="H85" s="6" t="s">
        <v>415</v>
      </c>
      <c r="I85" s="6" t="s">
        <v>416</v>
      </c>
      <c r="J85" s="6"/>
      <c r="K85" s="6" t="n">
        <v>2</v>
      </c>
      <c r="L85" s="6"/>
      <c r="M85" s="6" t="s">
        <v>417</v>
      </c>
      <c r="N85" s="6" t="s">
        <v>55</v>
      </c>
      <c r="O85" s="6" t="s">
        <v>418</v>
      </c>
      <c r="P85" s="6"/>
      <c r="Q85" s="6" t="n">
        <v>5</v>
      </c>
      <c r="R85" s="6" t="n">
        <v>120</v>
      </c>
      <c r="S85" s="6" t="n">
        <f aca="false">R85-Q85</f>
        <v>115</v>
      </c>
      <c r="T85" s="6" t="s">
        <v>115</v>
      </c>
    </row>
    <row r="86" customFormat="false" ht="35.05" hidden="false" customHeight="false" outlineLevel="0" collapsed="false">
      <c r="A86" s="6" t="n">
        <v>85</v>
      </c>
      <c r="B86" s="6" t="s">
        <v>9</v>
      </c>
      <c r="C86" s="7" t="n">
        <v>0.577083333333333</v>
      </c>
      <c r="D86" s="7" t="n">
        <v>0.607638888888889</v>
      </c>
      <c r="E86" s="6" t="s">
        <v>30</v>
      </c>
      <c r="F86" s="6" t="s">
        <v>30</v>
      </c>
      <c r="G86" s="6" t="s">
        <v>419</v>
      </c>
      <c r="H86" s="6" t="s">
        <v>420</v>
      </c>
      <c r="I86" s="6" t="s">
        <v>421</v>
      </c>
      <c r="J86" s="6"/>
      <c r="K86" s="6" t="n">
        <v>3</v>
      </c>
      <c r="L86" s="6"/>
      <c r="M86" s="6" t="s">
        <v>240</v>
      </c>
      <c r="N86" s="6" t="s">
        <v>63</v>
      </c>
      <c r="O86" s="6" t="s">
        <v>240</v>
      </c>
      <c r="P86" s="6"/>
      <c r="Q86" s="6" t="n">
        <v>80</v>
      </c>
      <c r="R86" s="6" t="n">
        <v>120</v>
      </c>
      <c r="S86" s="6" t="n">
        <f aca="false">R86-Q86</f>
        <v>40</v>
      </c>
      <c r="T86" s="6" t="s">
        <v>115</v>
      </c>
    </row>
    <row r="87" customFormat="false" ht="15" hidden="false" customHeight="false" outlineLevel="0" collapsed="false">
      <c r="A87" s="6" t="n">
        <v>86</v>
      </c>
      <c r="B87" s="6" t="s">
        <v>9</v>
      </c>
      <c r="C87" s="7" t="n">
        <v>0.583333333333333</v>
      </c>
      <c r="D87" s="7"/>
      <c r="E87" s="6" t="s">
        <v>28</v>
      </c>
      <c r="F87" s="6" t="s">
        <v>251</v>
      </c>
      <c r="G87" s="6" t="s">
        <v>422</v>
      </c>
      <c r="H87" s="6" t="s">
        <v>423</v>
      </c>
      <c r="I87" s="6" t="s">
        <v>424</v>
      </c>
      <c r="J87" s="6" t="s">
        <v>425</v>
      </c>
      <c r="K87" s="6" t="n">
        <v>1</v>
      </c>
      <c r="L87" s="6"/>
      <c r="M87" s="6" t="s">
        <v>28</v>
      </c>
      <c r="N87" s="6"/>
      <c r="O87" s="6" t="s">
        <v>28</v>
      </c>
      <c r="P87" s="6"/>
      <c r="Q87" s="6"/>
      <c r="R87" s="6"/>
      <c r="S87" s="6"/>
      <c r="T87" s="6"/>
    </row>
    <row r="88" customFormat="false" ht="35.05" hidden="false" customHeight="false" outlineLevel="0" collapsed="false">
      <c r="A88" s="6" t="n">
        <v>87</v>
      </c>
      <c r="B88" s="6" t="s">
        <v>9</v>
      </c>
      <c r="C88" s="7" t="n">
        <v>0.583333333333333</v>
      </c>
      <c r="D88" s="7"/>
      <c r="E88" s="6" t="s">
        <v>13</v>
      </c>
      <c r="F88" s="6" t="s">
        <v>95</v>
      </c>
      <c r="G88" s="6" t="s">
        <v>426</v>
      </c>
      <c r="H88" s="6" t="s">
        <v>427</v>
      </c>
      <c r="I88" s="6" t="s">
        <v>428</v>
      </c>
      <c r="J88" s="6" t="s">
        <v>429</v>
      </c>
      <c r="K88" s="6" t="n">
        <v>3</v>
      </c>
      <c r="L88" s="6" t="n">
        <v>1</v>
      </c>
      <c r="M88" s="6" t="s">
        <v>62</v>
      </c>
      <c r="N88" s="6" t="s">
        <v>63</v>
      </c>
      <c r="O88" s="6" t="s">
        <v>62</v>
      </c>
      <c r="P88" s="6"/>
      <c r="Q88" s="6"/>
      <c r="R88" s="6"/>
      <c r="S88" s="6"/>
      <c r="T88" s="6"/>
    </row>
    <row r="89" customFormat="false" ht="15" hidden="false" customHeight="false" outlineLevel="0" collapsed="false">
      <c r="A89" s="6" t="n">
        <v>88</v>
      </c>
      <c r="B89" s="6" t="s">
        <v>9</v>
      </c>
      <c r="C89" s="7" t="n">
        <v>0.590277777777778</v>
      </c>
      <c r="D89" s="7"/>
      <c r="E89" s="6" t="s">
        <v>28</v>
      </c>
      <c r="F89" s="6" t="s">
        <v>251</v>
      </c>
      <c r="G89" s="6" t="s">
        <v>430</v>
      </c>
      <c r="H89" s="6" t="s">
        <v>431</v>
      </c>
      <c r="I89" s="6" t="s">
        <v>432</v>
      </c>
      <c r="J89" s="6" t="s">
        <v>433</v>
      </c>
      <c r="K89" s="6" t="n">
        <v>1</v>
      </c>
      <c r="L89" s="6"/>
      <c r="M89" s="6" t="s">
        <v>28</v>
      </c>
      <c r="N89" s="6"/>
      <c r="O89" s="6" t="s">
        <v>28</v>
      </c>
      <c r="P89" s="6"/>
      <c r="Q89" s="6"/>
      <c r="R89" s="6"/>
      <c r="S89" s="6"/>
      <c r="T89" s="6"/>
    </row>
    <row r="90" customFormat="false" ht="23.85" hidden="false" customHeight="false" outlineLevel="0" collapsed="false">
      <c r="A90" s="6" t="n">
        <v>89</v>
      </c>
      <c r="B90" s="6" t="s">
        <v>9</v>
      </c>
      <c r="C90" s="7" t="n">
        <v>0.597222222222222</v>
      </c>
      <c r="D90" s="7"/>
      <c r="E90" s="6" t="s">
        <v>28</v>
      </c>
      <c r="F90" s="6" t="s">
        <v>251</v>
      </c>
      <c r="G90" s="6" t="s">
        <v>434</v>
      </c>
      <c r="H90" s="6" t="s">
        <v>435</v>
      </c>
      <c r="I90" s="6" t="s">
        <v>436</v>
      </c>
      <c r="J90" s="6" t="s">
        <v>437</v>
      </c>
      <c r="K90" s="6" t="n">
        <v>1</v>
      </c>
      <c r="L90" s="6"/>
      <c r="M90" s="6" t="s">
        <v>28</v>
      </c>
      <c r="N90" s="6"/>
      <c r="O90" s="6" t="s">
        <v>28</v>
      </c>
      <c r="P90" s="6"/>
      <c r="Q90" s="6"/>
      <c r="R90" s="6"/>
      <c r="S90" s="6"/>
      <c r="T90" s="6"/>
    </row>
    <row r="91" customFormat="false" ht="35.05" hidden="false" customHeight="false" outlineLevel="0" collapsed="false">
      <c r="A91" s="6" t="n">
        <v>90</v>
      </c>
      <c r="B91" s="6" t="s">
        <v>9</v>
      </c>
      <c r="C91" s="7" t="n">
        <v>0.607638888888889</v>
      </c>
      <c r="D91" s="7"/>
      <c r="E91" s="6" t="s">
        <v>24</v>
      </c>
      <c r="F91" s="6" t="s">
        <v>24</v>
      </c>
      <c r="G91" s="6" t="s">
        <v>438</v>
      </c>
      <c r="H91" s="6" t="s">
        <v>51</v>
      </c>
      <c r="I91" s="6" t="s">
        <v>52</v>
      </c>
      <c r="J91" s="6" t="s">
        <v>53</v>
      </c>
      <c r="K91" s="6" t="n">
        <v>1</v>
      </c>
      <c r="L91" s="6"/>
      <c r="M91" s="6" t="s">
        <v>54</v>
      </c>
      <c r="N91" s="6" t="s">
        <v>55</v>
      </c>
      <c r="O91" s="6" t="s">
        <v>439</v>
      </c>
      <c r="P91" s="6" t="s">
        <v>174</v>
      </c>
      <c r="Q91" s="6"/>
      <c r="R91" s="6"/>
      <c r="S91" s="6"/>
      <c r="T91" s="6"/>
    </row>
    <row r="92" customFormat="false" ht="46.25" hidden="false" customHeight="false" outlineLevel="0" collapsed="false">
      <c r="A92" s="6" t="n">
        <v>91</v>
      </c>
      <c r="B92" s="6" t="s">
        <v>9</v>
      </c>
      <c r="C92" s="7" t="n">
        <v>0.649305555555556</v>
      </c>
      <c r="D92" s="7"/>
      <c r="E92" s="6" t="s">
        <v>13</v>
      </c>
      <c r="F92" s="6" t="s">
        <v>181</v>
      </c>
      <c r="G92" s="6" t="s">
        <v>440</v>
      </c>
      <c r="H92" s="6" t="s">
        <v>441</v>
      </c>
      <c r="I92" s="6" t="s">
        <v>442</v>
      </c>
      <c r="J92" s="6" t="s">
        <v>443</v>
      </c>
      <c r="K92" s="6" t="n">
        <v>2</v>
      </c>
      <c r="L92" s="6"/>
      <c r="M92" s="6" t="s">
        <v>62</v>
      </c>
      <c r="N92" s="6" t="s">
        <v>63</v>
      </c>
      <c r="O92" s="6" t="s">
        <v>444</v>
      </c>
      <c r="P92" s="6"/>
      <c r="Q92" s="6"/>
      <c r="R92" s="6"/>
      <c r="S92" s="6"/>
      <c r="T92" s="6"/>
    </row>
    <row r="93" customFormat="false" ht="23.85" hidden="false" customHeight="false" outlineLevel="0" collapsed="false">
      <c r="A93" s="6" t="n">
        <v>92</v>
      </c>
      <c r="B93" s="6" t="s">
        <v>9</v>
      </c>
      <c r="C93" s="7" t="n">
        <v>0.652777777777778</v>
      </c>
      <c r="D93" s="7"/>
      <c r="E93" s="6" t="s">
        <v>20</v>
      </c>
      <c r="F93" s="6" t="s">
        <v>181</v>
      </c>
      <c r="G93" s="6" t="s">
        <v>445</v>
      </c>
      <c r="H93" s="6" t="s">
        <v>446</v>
      </c>
      <c r="I93" s="6" t="s">
        <v>447</v>
      </c>
      <c r="J93" s="6" t="s">
        <v>448</v>
      </c>
      <c r="K93" s="6" t="n">
        <v>2</v>
      </c>
      <c r="L93" s="6"/>
      <c r="M93" s="6" t="s">
        <v>220</v>
      </c>
      <c r="N93" s="6" t="s">
        <v>63</v>
      </c>
      <c r="O93" s="6" t="s">
        <v>221</v>
      </c>
      <c r="P93" s="6"/>
      <c r="Q93" s="6"/>
      <c r="R93" s="6"/>
      <c r="S93" s="6"/>
      <c r="T93" s="6"/>
    </row>
    <row r="94" customFormat="false" ht="23.85" hidden="false" customHeight="false" outlineLevel="0" collapsed="false">
      <c r="A94" s="6" t="n">
        <v>93</v>
      </c>
      <c r="B94" s="6" t="s">
        <v>9</v>
      </c>
      <c r="C94" s="7" t="n">
        <v>0.652777777777778</v>
      </c>
      <c r="D94" s="7"/>
      <c r="E94" s="6" t="s">
        <v>19</v>
      </c>
      <c r="F94" s="6" t="s">
        <v>181</v>
      </c>
      <c r="G94" s="6" t="s">
        <v>449</v>
      </c>
      <c r="H94" s="6" t="s">
        <v>450</v>
      </c>
      <c r="I94" s="6" t="s">
        <v>451</v>
      </c>
      <c r="J94" s="6" t="s">
        <v>452</v>
      </c>
      <c r="K94" s="6" t="n">
        <v>2</v>
      </c>
      <c r="L94" s="6"/>
      <c r="M94" s="6" t="s">
        <v>204</v>
      </c>
      <c r="N94" s="6" t="s">
        <v>63</v>
      </c>
      <c r="O94" s="6" t="s">
        <v>204</v>
      </c>
      <c r="P94" s="6"/>
      <c r="Q94" s="6"/>
      <c r="R94" s="6"/>
      <c r="S94" s="6"/>
      <c r="T94" s="6"/>
    </row>
    <row r="95" customFormat="false" ht="23.85" hidden="false" customHeight="false" outlineLevel="0" collapsed="false">
      <c r="A95" s="6" t="n">
        <v>94</v>
      </c>
      <c r="B95" s="6" t="s">
        <v>9</v>
      </c>
      <c r="C95" s="7" t="n">
        <v>0.652777777777778</v>
      </c>
      <c r="D95" s="7"/>
      <c r="E95" s="6" t="s">
        <v>12</v>
      </c>
      <c r="F95" s="6" t="s">
        <v>192</v>
      </c>
      <c r="G95" s="6" t="s">
        <v>453</v>
      </c>
      <c r="H95" s="6" t="s">
        <v>454</v>
      </c>
      <c r="I95" s="6" t="s">
        <v>455</v>
      </c>
      <c r="J95" s="6" t="s">
        <v>456</v>
      </c>
      <c r="K95" s="6" t="n">
        <v>1</v>
      </c>
      <c r="L95" s="6"/>
      <c r="M95" s="6" t="s">
        <v>197</v>
      </c>
      <c r="N95" s="6" t="s">
        <v>55</v>
      </c>
      <c r="O95" s="6" t="s">
        <v>197</v>
      </c>
      <c r="P95" s="6"/>
      <c r="Q95" s="6"/>
      <c r="R95" s="6"/>
      <c r="S95" s="6"/>
      <c r="T95" s="6"/>
    </row>
    <row r="96" customFormat="false" ht="46.25" hidden="false" customHeight="false" outlineLevel="0" collapsed="false">
      <c r="A96" s="6" t="n">
        <v>95</v>
      </c>
      <c r="B96" s="6" t="s">
        <v>9</v>
      </c>
      <c r="C96" s="7" t="n">
        <v>0.652777777777778</v>
      </c>
      <c r="D96" s="7"/>
      <c r="E96" s="6" t="s">
        <v>26</v>
      </c>
      <c r="F96" s="6" t="s">
        <v>181</v>
      </c>
      <c r="G96" s="6" t="s">
        <v>457</v>
      </c>
      <c r="H96" s="6" t="s">
        <v>458</v>
      </c>
      <c r="I96" s="6" t="s">
        <v>459</v>
      </c>
      <c r="J96" s="6" t="s">
        <v>460</v>
      </c>
      <c r="K96" s="6" t="n">
        <v>3</v>
      </c>
      <c r="L96" s="6"/>
      <c r="M96" s="6" t="s">
        <v>240</v>
      </c>
      <c r="N96" s="6" t="s">
        <v>63</v>
      </c>
      <c r="O96" s="6" t="s">
        <v>240</v>
      </c>
      <c r="P96" s="6"/>
      <c r="Q96" s="6"/>
      <c r="R96" s="6"/>
      <c r="S96" s="6"/>
      <c r="T96" s="6"/>
    </row>
    <row r="97" customFormat="false" ht="35.05" hidden="false" customHeight="false" outlineLevel="0" collapsed="false">
      <c r="A97" s="6" t="n">
        <v>96</v>
      </c>
      <c r="B97" s="6" t="s">
        <v>9</v>
      </c>
      <c r="C97" s="7" t="n">
        <v>0.652777777777778</v>
      </c>
      <c r="D97" s="7"/>
      <c r="E97" s="6" t="s">
        <v>16</v>
      </c>
      <c r="F97" s="6" t="s">
        <v>181</v>
      </c>
      <c r="G97" s="6" t="s">
        <v>461</v>
      </c>
      <c r="H97" s="6" t="s">
        <v>462</v>
      </c>
      <c r="I97" s="6" t="s">
        <v>463</v>
      </c>
      <c r="J97" s="6" t="s">
        <v>464</v>
      </c>
      <c r="K97" s="6" t="n">
        <v>2</v>
      </c>
      <c r="L97" s="6"/>
      <c r="M97" s="6" t="s">
        <v>235</v>
      </c>
      <c r="N97" s="6" t="s">
        <v>55</v>
      </c>
      <c r="O97" s="6" t="s">
        <v>235</v>
      </c>
      <c r="P97" s="6"/>
      <c r="Q97" s="6"/>
      <c r="R97" s="6"/>
      <c r="S97" s="6"/>
      <c r="T97" s="6"/>
    </row>
    <row r="98" customFormat="false" ht="35.05" hidden="false" customHeight="false" outlineLevel="0" collapsed="false">
      <c r="A98" s="6" t="n">
        <v>97</v>
      </c>
      <c r="B98" s="6" t="s">
        <v>9</v>
      </c>
      <c r="C98" s="7" t="n">
        <v>0.652777777777778</v>
      </c>
      <c r="D98" s="7"/>
      <c r="E98" s="6" t="s">
        <v>29</v>
      </c>
      <c r="F98" s="6" t="s">
        <v>181</v>
      </c>
      <c r="G98" s="6" t="s">
        <v>465</v>
      </c>
      <c r="H98" s="6" t="s">
        <v>466</v>
      </c>
      <c r="I98" s="6" t="s">
        <v>467</v>
      </c>
      <c r="J98" s="6" t="s">
        <v>468</v>
      </c>
      <c r="K98" s="6" t="n">
        <v>2</v>
      </c>
      <c r="L98" s="6"/>
      <c r="M98" s="6" t="s">
        <v>186</v>
      </c>
      <c r="N98" s="6" t="s">
        <v>55</v>
      </c>
      <c r="O98" s="6" t="s">
        <v>186</v>
      </c>
      <c r="P98" s="6"/>
      <c r="Q98" s="6"/>
      <c r="R98" s="6"/>
      <c r="S98" s="6"/>
      <c r="T98" s="6"/>
    </row>
    <row r="99" customFormat="false" ht="23.85" hidden="false" customHeight="false" outlineLevel="0" collapsed="false">
      <c r="A99" s="6" t="n">
        <v>98</v>
      </c>
      <c r="B99" s="6" t="s">
        <v>9</v>
      </c>
      <c r="C99" s="7" t="n">
        <v>0.652777777777778</v>
      </c>
      <c r="D99" s="7"/>
      <c r="E99" s="6" t="s">
        <v>18</v>
      </c>
      <c r="F99" s="6" t="s">
        <v>192</v>
      </c>
      <c r="G99" s="6" t="s">
        <v>469</v>
      </c>
      <c r="H99" s="6" t="s">
        <v>470</v>
      </c>
      <c r="I99" s="6" t="s">
        <v>471</v>
      </c>
      <c r="J99" s="6" t="s">
        <v>472</v>
      </c>
      <c r="K99" s="6" t="n">
        <v>1</v>
      </c>
      <c r="L99" s="6"/>
      <c r="M99" s="6" t="s">
        <v>215</v>
      </c>
      <c r="N99" s="6" t="s">
        <v>63</v>
      </c>
      <c r="O99" s="6" t="s">
        <v>473</v>
      </c>
      <c r="P99" s="6"/>
      <c r="Q99" s="6"/>
      <c r="R99" s="6"/>
      <c r="S99" s="6"/>
      <c r="T99" s="6"/>
    </row>
    <row r="100" customFormat="false" ht="23.85" hidden="false" customHeight="false" outlineLevel="0" collapsed="false">
      <c r="A100" s="6" t="n">
        <v>99</v>
      </c>
      <c r="B100" s="6" t="s">
        <v>9</v>
      </c>
      <c r="C100" s="7" t="n">
        <v>0.652777777777778</v>
      </c>
      <c r="D100" s="7"/>
      <c r="E100" s="6" t="s">
        <v>28</v>
      </c>
      <c r="F100" s="6" t="s">
        <v>251</v>
      </c>
      <c r="G100" s="6" t="s">
        <v>474</v>
      </c>
      <c r="H100" s="6" t="s">
        <v>475</v>
      </c>
      <c r="I100" s="6" t="s">
        <v>476</v>
      </c>
      <c r="J100" s="6" t="s">
        <v>477</v>
      </c>
      <c r="K100" s="6" t="n">
        <v>1</v>
      </c>
      <c r="L100" s="6"/>
      <c r="M100" s="6" t="s">
        <v>28</v>
      </c>
      <c r="N100" s="6"/>
      <c r="O100" s="6" t="s">
        <v>28</v>
      </c>
      <c r="P100" s="6"/>
      <c r="Q100" s="6"/>
      <c r="R100" s="6"/>
      <c r="S100" s="6"/>
      <c r="T100" s="6"/>
    </row>
    <row r="101" customFormat="false" ht="35.05" hidden="false" customHeight="false" outlineLevel="0" collapsed="false">
      <c r="A101" s="6" t="n">
        <v>100</v>
      </c>
      <c r="B101" s="6" t="s">
        <v>9</v>
      </c>
      <c r="C101" s="7" t="n">
        <v>0.652777777777778</v>
      </c>
      <c r="D101" s="7"/>
      <c r="E101" s="6" t="s">
        <v>14</v>
      </c>
      <c r="F101" s="6" t="s">
        <v>181</v>
      </c>
      <c r="G101" s="6" t="s">
        <v>478</v>
      </c>
      <c r="H101" s="6" t="s">
        <v>479</v>
      </c>
      <c r="I101" s="6" t="s">
        <v>480</v>
      </c>
      <c r="J101" s="6" t="s">
        <v>481</v>
      </c>
      <c r="K101" s="6" t="n">
        <v>2</v>
      </c>
      <c r="L101" s="6"/>
      <c r="M101" s="6" t="s">
        <v>69</v>
      </c>
      <c r="N101" s="6" t="s">
        <v>55</v>
      </c>
      <c r="O101" s="6" t="s">
        <v>69</v>
      </c>
      <c r="P101" s="6"/>
      <c r="Q101" s="6"/>
      <c r="R101" s="6"/>
      <c r="S101" s="6"/>
      <c r="T101" s="6"/>
    </row>
    <row r="102" customFormat="false" ht="35.05" hidden="false" customHeight="false" outlineLevel="0" collapsed="false">
      <c r="A102" s="6" t="n">
        <v>101</v>
      </c>
      <c r="B102" s="6" t="s">
        <v>9</v>
      </c>
      <c r="C102" s="7" t="n">
        <v>0.652777777777778</v>
      </c>
      <c r="D102" s="7"/>
      <c r="E102" s="6" t="s">
        <v>25</v>
      </c>
      <c r="F102" s="6" t="s">
        <v>181</v>
      </c>
      <c r="G102" s="6" t="s">
        <v>482</v>
      </c>
      <c r="H102" s="6" t="s">
        <v>483</v>
      </c>
      <c r="I102" s="6" t="s">
        <v>484</v>
      </c>
      <c r="J102" s="6" t="s">
        <v>485</v>
      </c>
      <c r="K102" s="6" t="n">
        <v>2</v>
      </c>
      <c r="L102" s="6"/>
      <c r="M102" s="6" t="s">
        <v>245</v>
      </c>
      <c r="N102" s="6" t="s">
        <v>63</v>
      </c>
      <c r="O102" s="6" t="s">
        <v>246</v>
      </c>
      <c r="P102" s="6"/>
      <c r="Q102" s="6"/>
      <c r="R102" s="6"/>
      <c r="S102" s="6"/>
      <c r="T102" s="6"/>
    </row>
    <row r="103" customFormat="false" ht="35.05" hidden="false" customHeight="false" outlineLevel="0" collapsed="false">
      <c r="A103" s="6" t="n">
        <v>102</v>
      </c>
      <c r="B103" s="6" t="s">
        <v>9</v>
      </c>
      <c r="C103" s="7" t="n">
        <v>0.652777777777778</v>
      </c>
      <c r="D103" s="7"/>
      <c r="E103" s="6" t="s">
        <v>23</v>
      </c>
      <c r="F103" s="6" t="s">
        <v>181</v>
      </c>
      <c r="G103" s="6" t="s">
        <v>486</v>
      </c>
      <c r="H103" s="6" t="s">
        <v>487</v>
      </c>
      <c r="I103" s="6" t="s">
        <v>488</v>
      </c>
      <c r="J103" s="6" t="s">
        <v>489</v>
      </c>
      <c r="K103" s="6" t="n">
        <v>2</v>
      </c>
      <c r="L103" s="6"/>
      <c r="M103" s="6" t="s">
        <v>180</v>
      </c>
      <c r="N103" s="6" t="s">
        <v>63</v>
      </c>
      <c r="O103" s="6" t="s">
        <v>210</v>
      </c>
      <c r="P103" s="6"/>
      <c r="Q103" s="6"/>
      <c r="R103" s="6"/>
      <c r="S103" s="6"/>
      <c r="T103" s="6"/>
    </row>
    <row r="104" customFormat="false" ht="23.85" hidden="false" customHeight="false" outlineLevel="0" collapsed="false">
      <c r="A104" s="6" t="n">
        <v>103</v>
      </c>
      <c r="B104" s="6" t="s">
        <v>9</v>
      </c>
      <c r="C104" s="7" t="n">
        <v>0.659722222222222</v>
      </c>
      <c r="D104" s="7"/>
      <c r="E104" s="6" t="s">
        <v>29</v>
      </c>
      <c r="F104" s="6" t="s">
        <v>192</v>
      </c>
      <c r="G104" s="6" t="s">
        <v>490</v>
      </c>
      <c r="H104" s="6" t="s">
        <v>491</v>
      </c>
      <c r="I104" s="6" t="s">
        <v>492</v>
      </c>
      <c r="J104" s="6" t="s">
        <v>493</v>
      </c>
      <c r="K104" s="6" t="n">
        <v>1</v>
      </c>
      <c r="L104" s="6"/>
      <c r="M104" s="6" t="s">
        <v>186</v>
      </c>
      <c r="N104" s="6" t="s">
        <v>55</v>
      </c>
      <c r="O104" s="6" t="s">
        <v>186</v>
      </c>
      <c r="P104" s="6"/>
      <c r="Q104" s="6"/>
      <c r="R104" s="6"/>
      <c r="S104" s="6"/>
      <c r="T104" s="6"/>
    </row>
    <row r="105" customFormat="false" ht="23.85" hidden="false" customHeight="false" outlineLevel="0" collapsed="false">
      <c r="A105" s="6" t="n">
        <v>104</v>
      </c>
      <c r="B105" s="6" t="s">
        <v>9</v>
      </c>
      <c r="C105" s="7" t="n">
        <v>0.659722222222222</v>
      </c>
      <c r="D105" s="7"/>
      <c r="E105" s="6" t="s">
        <v>13</v>
      </c>
      <c r="F105" s="6" t="s">
        <v>192</v>
      </c>
      <c r="G105" s="6" t="s">
        <v>494</v>
      </c>
      <c r="H105" s="6" t="s">
        <v>495</v>
      </c>
      <c r="I105" s="6" t="s">
        <v>496</v>
      </c>
      <c r="J105" s="6" t="s">
        <v>497</v>
      </c>
      <c r="K105" s="6" t="n">
        <v>1</v>
      </c>
      <c r="L105" s="6"/>
      <c r="M105" s="6" t="s">
        <v>62</v>
      </c>
      <c r="N105" s="6" t="s">
        <v>63</v>
      </c>
      <c r="O105" s="6" t="s">
        <v>62</v>
      </c>
      <c r="P105" s="6"/>
      <c r="Q105" s="6"/>
      <c r="R105" s="6"/>
      <c r="S105" s="6"/>
      <c r="T105" s="6"/>
    </row>
    <row r="106" customFormat="false" ht="23.85" hidden="false" customHeight="false" outlineLevel="0" collapsed="false">
      <c r="A106" s="6" t="n">
        <v>105</v>
      </c>
      <c r="B106" s="6" t="s">
        <v>9</v>
      </c>
      <c r="C106" s="7" t="n">
        <v>0.659722222222222</v>
      </c>
      <c r="D106" s="7"/>
      <c r="E106" s="6" t="s">
        <v>28</v>
      </c>
      <c r="F106" s="6" t="s">
        <v>251</v>
      </c>
      <c r="G106" s="6" t="s">
        <v>498</v>
      </c>
      <c r="H106" s="6" t="s">
        <v>499</v>
      </c>
      <c r="I106" s="6" t="s">
        <v>500</v>
      </c>
      <c r="J106" s="6" t="s">
        <v>501</v>
      </c>
      <c r="K106" s="6" t="n">
        <v>1</v>
      </c>
      <c r="L106" s="6"/>
      <c r="M106" s="6" t="s">
        <v>28</v>
      </c>
      <c r="N106" s="6"/>
      <c r="O106" s="6" t="s">
        <v>28</v>
      </c>
      <c r="P106" s="6"/>
      <c r="Q106" s="6"/>
      <c r="R106" s="6"/>
      <c r="S106" s="6"/>
      <c r="T106" s="6"/>
    </row>
    <row r="107" customFormat="false" ht="46.25" hidden="false" customHeight="false" outlineLevel="0" collapsed="false">
      <c r="A107" s="6" t="n">
        <v>106</v>
      </c>
      <c r="B107" s="6" t="s">
        <v>9</v>
      </c>
      <c r="C107" s="7" t="n">
        <v>0.663194444444444</v>
      </c>
      <c r="D107" s="7"/>
      <c r="E107" s="6" t="s">
        <v>20</v>
      </c>
      <c r="F107" s="6" t="s">
        <v>181</v>
      </c>
      <c r="G107" s="6" t="s">
        <v>502</v>
      </c>
      <c r="H107" s="6" t="s">
        <v>503</v>
      </c>
      <c r="I107" s="6" t="s">
        <v>504</v>
      </c>
      <c r="J107" s="6" t="s">
        <v>505</v>
      </c>
      <c r="K107" s="6" t="n">
        <v>2</v>
      </c>
      <c r="L107" s="6"/>
      <c r="M107" s="6" t="s">
        <v>220</v>
      </c>
      <c r="N107" s="6" t="s">
        <v>63</v>
      </c>
      <c r="O107" s="6" t="s">
        <v>221</v>
      </c>
      <c r="P107" s="6" t="s">
        <v>506</v>
      </c>
      <c r="Q107" s="6"/>
      <c r="R107" s="6"/>
      <c r="S107" s="6"/>
      <c r="T107" s="6"/>
    </row>
    <row r="108" customFormat="false" ht="23.85" hidden="false" customHeight="false" outlineLevel="0" collapsed="false">
      <c r="A108" s="6" t="n">
        <v>107</v>
      </c>
      <c r="B108" s="6" t="s">
        <v>9</v>
      </c>
      <c r="C108" s="7" t="n">
        <v>0.663194444444444</v>
      </c>
      <c r="D108" s="7"/>
      <c r="E108" s="6" t="s">
        <v>19</v>
      </c>
      <c r="F108" s="6" t="s">
        <v>181</v>
      </c>
      <c r="G108" s="6" t="s">
        <v>507</v>
      </c>
      <c r="H108" s="6" t="s">
        <v>508</v>
      </c>
      <c r="I108" s="6" t="s">
        <v>509</v>
      </c>
      <c r="J108" s="6" t="s">
        <v>61</v>
      </c>
      <c r="K108" s="6" t="n">
        <v>1</v>
      </c>
      <c r="L108" s="6"/>
      <c r="M108" s="6" t="s">
        <v>204</v>
      </c>
      <c r="N108" s="6" t="s">
        <v>63</v>
      </c>
      <c r="O108" s="6" t="s">
        <v>510</v>
      </c>
      <c r="P108" s="6"/>
      <c r="Q108" s="6"/>
      <c r="R108" s="6"/>
      <c r="S108" s="6"/>
      <c r="T108" s="6"/>
    </row>
    <row r="109" customFormat="false" ht="35.05" hidden="false" customHeight="false" outlineLevel="0" collapsed="false">
      <c r="A109" s="6" t="n">
        <v>108</v>
      </c>
      <c r="B109" s="6" t="s">
        <v>9</v>
      </c>
      <c r="C109" s="7" t="n">
        <v>0.663194444444444</v>
      </c>
      <c r="D109" s="7"/>
      <c r="E109" s="6" t="s">
        <v>26</v>
      </c>
      <c r="F109" s="6" t="s">
        <v>192</v>
      </c>
      <c r="G109" s="6" t="s">
        <v>511</v>
      </c>
      <c r="H109" s="6" t="s">
        <v>512</v>
      </c>
      <c r="I109" s="6" t="s">
        <v>513</v>
      </c>
      <c r="J109" s="6" t="s">
        <v>514</v>
      </c>
      <c r="K109" s="6" t="n">
        <v>2</v>
      </c>
      <c r="L109" s="6"/>
      <c r="M109" s="6" t="s">
        <v>240</v>
      </c>
      <c r="N109" s="6" t="s">
        <v>63</v>
      </c>
      <c r="O109" s="6" t="s">
        <v>240</v>
      </c>
      <c r="P109" s="6"/>
      <c r="Q109" s="6"/>
      <c r="R109" s="6"/>
      <c r="S109" s="6"/>
      <c r="T109" s="6"/>
    </row>
    <row r="110" customFormat="false" ht="46.25" hidden="false" customHeight="false" outlineLevel="0" collapsed="false">
      <c r="A110" s="6" t="n">
        <v>109</v>
      </c>
      <c r="B110" s="6" t="s">
        <v>9</v>
      </c>
      <c r="C110" s="7" t="n">
        <v>0.663194444444444</v>
      </c>
      <c r="D110" s="7"/>
      <c r="E110" s="6" t="s">
        <v>23</v>
      </c>
      <c r="F110" s="6" t="s">
        <v>95</v>
      </c>
      <c r="G110" s="6" t="s">
        <v>515</v>
      </c>
      <c r="H110" s="6" t="s">
        <v>516</v>
      </c>
      <c r="I110" s="6" t="s">
        <v>517</v>
      </c>
      <c r="J110" s="6" t="s">
        <v>518</v>
      </c>
      <c r="K110" s="6" t="n">
        <v>3</v>
      </c>
      <c r="L110" s="6" t="n">
        <v>2</v>
      </c>
      <c r="M110" s="6" t="s">
        <v>180</v>
      </c>
      <c r="N110" s="6" t="s">
        <v>63</v>
      </c>
      <c r="O110" s="6" t="s">
        <v>290</v>
      </c>
      <c r="P110" s="6"/>
      <c r="Q110" s="6"/>
      <c r="R110" s="6"/>
      <c r="S110" s="6"/>
      <c r="T110" s="6"/>
    </row>
    <row r="111" customFormat="false" ht="102.2" hidden="false" customHeight="false" outlineLevel="0" collapsed="false">
      <c r="A111" s="6" t="n">
        <v>110</v>
      </c>
      <c r="B111" s="6" t="s">
        <v>9</v>
      </c>
      <c r="C111" s="7" t="n">
        <v>0.663194444444444</v>
      </c>
      <c r="D111" s="7"/>
      <c r="E111" s="6" t="s">
        <v>12</v>
      </c>
      <c r="F111" s="6" t="s">
        <v>192</v>
      </c>
      <c r="G111" s="6" t="s">
        <v>519</v>
      </c>
      <c r="H111" s="6" t="s">
        <v>520</v>
      </c>
      <c r="I111" s="6" t="s">
        <v>521</v>
      </c>
      <c r="J111" s="6" t="s">
        <v>522</v>
      </c>
      <c r="K111" s="6" t="n">
        <v>1</v>
      </c>
      <c r="L111" s="6"/>
      <c r="M111" s="6" t="s">
        <v>197</v>
      </c>
      <c r="N111" s="6" t="s">
        <v>55</v>
      </c>
      <c r="O111" s="6" t="s">
        <v>197</v>
      </c>
      <c r="P111" s="6" t="s">
        <v>523</v>
      </c>
      <c r="Q111" s="6"/>
      <c r="R111" s="6"/>
      <c r="S111" s="6"/>
      <c r="T111" s="6"/>
    </row>
    <row r="112" customFormat="false" ht="23.85" hidden="false" customHeight="false" outlineLevel="0" collapsed="false">
      <c r="A112" s="6" t="n">
        <v>111</v>
      </c>
      <c r="B112" s="6" t="s">
        <v>9</v>
      </c>
      <c r="C112" s="7" t="n">
        <v>0.663194444444444</v>
      </c>
      <c r="D112" s="7"/>
      <c r="E112" s="6" t="s">
        <v>18</v>
      </c>
      <c r="F112" s="6" t="s">
        <v>192</v>
      </c>
      <c r="G112" s="6" t="s">
        <v>524</v>
      </c>
      <c r="H112" s="6" t="s">
        <v>525</v>
      </c>
      <c r="I112" s="6" t="s">
        <v>526</v>
      </c>
      <c r="J112" s="6" t="s">
        <v>527</v>
      </c>
      <c r="K112" s="6" t="n">
        <v>1</v>
      </c>
      <c r="L112" s="6"/>
      <c r="M112" s="6" t="s">
        <v>215</v>
      </c>
      <c r="N112" s="6" t="s">
        <v>63</v>
      </c>
      <c r="O112" s="6" t="s">
        <v>473</v>
      </c>
      <c r="P112" s="6"/>
      <c r="Q112" s="6"/>
      <c r="R112" s="6"/>
      <c r="S112" s="6"/>
      <c r="T112" s="6"/>
    </row>
    <row r="113" customFormat="false" ht="23.85" hidden="false" customHeight="false" outlineLevel="0" collapsed="false">
      <c r="A113" s="6" t="n">
        <v>112</v>
      </c>
      <c r="B113" s="6" t="s">
        <v>9</v>
      </c>
      <c r="C113" s="7" t="n">
        <v>0.663194444444444</v>
      </c>
      <c r="D113" s="7"/>
      <c r="E113" s="6" t="s">
        <v>14</v>
      </c>
      <c r="F113" s="6" t="s">
        <v>192</v>
      </c>
      <c r="G113" s="6" t="s">
        <v>528</v>
      </c>
      <c r="H113" s="6" t="s">
        <v>529</v>
      </c>
      <c r="I113" s="6" t="s">
        <v>530</v>
      </c>
      <c r="J113" s="6" t="s">
        <v>531</v>
      </c>
      <c r="K113" s="6" t="n">
        <v>1</v>
      </c>
      <c r="L113" s="6"/>
      <c r="M113" s="6"/>
      <c r="N113" s="6"/>
      <c r="O113" s="6"/>
      <c r="P113" s="6"/>
      <c r="Q113" s="6"/>
      <c r="R113" s="6"/>
      <c r="S113" s="6"/>
      <c r="T113" s="6"/>
    </row>
    <row r="114" customFormat="false" ht="23.85" hidden="false" customHeight="false" outlineLevel="0" collapsed="false">
      <c r="A114" s="6" t="n">
        <v>113</v>
      </c>
      <c r="B114" s="6" t="s">
        <v>9</v>
      </c>
      <c r="C114" s="7" t="n">
        <v>0.663194444444444</v>
      </c>
      <c r="D114" s="7"/>
      <c r="E114" s="6" t="s">
        <v>25</v>
      </c>
      <c r="F114" s="6" t="s">
        <v>181</v>
      </c>
      <c r="G114" s="6" t="s">
        <v>532</v>
      </c>
      <c r="H114" s="6" t="s">
        <v>533</v>
      </c>
      <c r="I114" s="6" t="s">
        <v>534</v>
      </c>
      <c r="J114" s="6" t="s">
        <v>535</v>
      </c>
      <c r="K114" s="6" t="n">
        <v>2</v>
      </c>
      <c r="L114" s="6"/>
      <c r="M114" s="6" t="s">
        <v>245</v>
      </c>
      <c r="N114" s="6" t="s">
        <v>63</v>
      </c>
      <c r="O114" s="6" t="s">
        <v>246</v>
      </c>
      <c r="P114" s="6"/>
      <c r="Q114" s="6"/>
      <c r="R114" s="6"/>
      <c r="S114" s="6"/>
      <c r="T114" s="6"/>
    </row>
    <row r="115" customFormat="false" ht="23.85" hidden="false" customHeight="false" outlineLevel="0" collapsed="false">
      <c r="A115" s="6" t="n">
        <v>114</v>
      </c>
      <c r="B115" s="6" t="s">
        <v>9</v>
      </c>
      <c r="C115" s="7" t="n">
        <v>0.663194444444444</v>
      </c>
      <c r="D115" s="7"/>
      <c r="E115" s="6" t="s">
        <v>16</v>
      </c>
      <c r="F115" s="6" t="s">
        <v>199</v>
      </c>
      <c r="G115" s="6" t="s">
        <v>536</v>
      </c>
      <c r="H115" s="6" t="s">
        <v>537</v>
      </c>
      <c r="I115" s="6" t="s">
        <v>538</v>
      </c>
      <c r="J115" s="6" t="s">
        <v>539</v>
      </c>
      <c r="K115" s="6" t="n">
        <v>1</v>
      </c>
      <c r="L115" s="6"/>
      <c r="M115" s="6" t="s">
        <v>235</v>
      </c>
      <c r="N115" s="6" t="s">
        <v>55</v>
      </c>
      <c r="O115" s="6" t="s">
        <v>235</v>
      </c>
      <c r="P115" s="6"/>
      <c r="Q115" s="6"/>
      <c r="R115" s="6"/>
      <c r="S115" s="6"/>
      <c r="T115" s="6"/>
    </row>
    <row r="116" customFormat="false" ht="35.05" hidden="false" customHeight="false" outlineLevel="0" collapsed="false">
      <c r="A116" s="6" t="n">
        <v>115</v>
      </c>
      <c r="B116" s="6" t="s">
        <v>9</v>
      </c>
      <c r="C116" s="7" t="n">
        <v>0.666666666666667</v>
      </c>
      <c r="D116" s="7"/>
      <c r="E116" s="6" t="s">
        <v>29</v>
      </c>
      <c r="F116" s="6" t="s">
        <v>181</v>
      </c>
      <c r="G116" s="6" t="s">
        <v>540</v>
      </c>
      <c r="H116" s="6" t="s">
        <v>541</v>
      </c>
      <c r="I116" s="6" t="s">
        <v>542</v>
      </c>
      <c r="J116" s="6" t="s">
        <v>543</v>
      </c>
      <c r="K116" s="6" t="n">
        <v>2</v>
      </c>
      <c r="L116" s="6"/>
      <c r="M116" s="6" t="s">
        <v>186</v>
      </c>
      <c r="N116" s="6" t="s">
        <v>55</v>
      </c>
      <c r="O116" s="6" t="s">
        <v>186</v>
      </c>
      <c r="P116" s="6"/>
      <c r="Q116" s="6"/>
      <c r="R116" s="6"/>
      <c r="S116" s="6"/>
      <c r="T116" s="6"/>
    </row>
    <row r="117" customFormat="false" ht="23.85" hidden="false" customHeight="false" outlineLevel="0" collapsed="false">
      <c r="A117" s="6" t="n">
        <v>116</v>
      </c>
      <c r="B117" s="6" t="s">
        <v>9</v>
      </c>
      <c r="C117" s="7" t="n">
        <v>0.666666666666667</v>
      </c>
      <c r="D117" s="7"/>
      <c r="E117" s="6" t="s">
        <v>28</v>
      </c>
      <c r="F117" s="6" t="s">
        <v>251</v>
      </c>
      <c r="G117" s="6" t="s">
        <v>544</v>
      </c>
      <c r="H117" s="6" t="s">
        <v>545</v>
      </c>
      <c r="I117" s="6" t="s">
        <v>546</v>
      </c>
      <c r="J117" s="6" t="s">
        <v>547</v>
      </c>
      <c r="K117" s="6" t="n">
        <v>1</v>
      </c>
      <c r="L117" s="6"/>
      <c r="M117" s="6" t="s">
        <v>28</v>
      </c>
      <c r="N117" s="6"/>
      <c r="O117" s="6" t="s">
        <v>28</v>
      </c>
      <c r="P117" s="6"/>
      <c r="Q117" s="6"/>
      <c r="R117" s="6"/>
      <c r="S117" s="6"/>
      <c r="T117" s="6"/>
    </row>
    <row r="118" customFormat="false" ht="79.85" hidden="false" customHeight="false" outlineLevel="0" collapsed="false">
      <c r="A118" s="6" t="n">
        <v>117</v>
      </c>
      <c r="B118" s="6" t="s">
        <v>9</v>
      </c>
      <c r="C118" s="7" t="n">
        <v>0.670138888888889</v>
      </c>
      <c r="D118" s="7"/>
      <c r="E118" s="6" t="s">
        <v>13</v>
      </c>
      <c r="F118" s="6" t="s">
        <v>192</v>
      </c>
      <c r="G118" s="6" t="s">
        <v>548</v>
      </c>
      <c r="H118" s="6" t="s">
        <v>549</v>
      </c>
      <c r="I118" s="6" t="s">
        <v>550</v>
      </c>
      <c r="J118" s="6" t="s">
        <v>551</v>
      </c>
      <c r="K118" s="6" t="n">
        <v>1</v>
      </c>
      <c r="L118" s="6"/>
      <c r="M118" s="6" t="s">
        <v>62</v>
      </c>
      <c r="N118" s="6" t="s">
        <v>63</v>
      </c>
      <c r="O118" s="6" t="s">
        <v>444</v>
      </c>
      <c r="P118" s="6" t="s">
        <v>552</v>
      </c>
      <c r="Q118" s="6"/>
      <c r="R118" s="6"/>
      <c r="S118" s="6"/>
      <c r="T118" s="6"/>
    </row>
    <row r="119" customFormat="false" ht="23.85" hidden="false" customHeight="false" outlineLevel="0" collapsed="false">
      <c r="A119" s="6" t="n">
        <v>118</v>
      </c>
      <c r="B119" s="6" t="s">
        <v>9</v>
      </c>
      <c r="C119" s="7" t="n">
        <v>0.673611111111111</v>
      </c>
      <c r="D119" s="7"/>
      <c r="E119" s="6" t="s">
        <v>12</v>
      </c>
      <c r="F119" s="6" t="s">
        <v>192</v>
      </c>
      <c r="G119" s="6" t="s">
        <v>553</v>
      </c>
      <c r="H119" s="6" t="s">
        <v>554</v>
      </c>
      <c r="I119" s="6" t="s">
        <v>555</v>
      </c>
      <c r="J119" s="6" t="s">
        <v>556</v>
      </c>
      <c r="K119" s="6" t="n">
        <v>1</v>
      </c>
      <c r="L119" s="6"/>
      <c r="M119" s="6" t="s">
        <v>197</v>
      </c>
      <c r="N119" s="6" t="s">
        <v>55</v>
      </c>
      <c r="O119" s="6" t="s">
        <v>197</v>
      </c>
      <c r="P119" s="6"/>
      <c r="Q119" s="6"/>
      <c r="R119" s="6"/>
      <c r="S119" s="6"/>
      <c r="T119" s="6"/>
    </row>
    <row r="120" customFormat="false" ht="124.6" hidden="false" customHeight="false" outlineLevel="0" collapsed="false">
      <c r="A120" s="6" t="n">
        <v>119</v>
      </c>
      <c r="B120" s="6" t="s">
        <v>9</v>
      </c>
      <c r="C120" s="7" t="n">
        <v>0.673611111111111</v>
      </c>
      <c r="D120" s="7"/>
      <c r="E120" s="6" t="s">
        <v>20</v>
      </c>
      <c r="F120" s="6" t="s">
        <v>95</v>
      </c>
      <c r="G120" s="6" t="s">
        <v>557</v>
      </c>
      <c r="H120" s="6" t="s">
        <v>558</v>
      </c>
      <c r="I120" s="6" t="s">
        <v>559</v>
      </c>
      <c r="J120" s="6" t="s">
        <v>560</v>
      </c>
      <c r="K120" s="6" t="n">
        <v>3</v>
      </c>
      <c r="L120" s="6" t="n">
        <v>2</v>
      </c>
      <c r="M120" s="6" t="s">
        <v>220</v>
      </c>
      <c r="N120" s="6" t="s">
        <v>63</v>
      </c>
      <c r="O120" s="6" t="s">
        <v>221</v>
      </c>
      <c r="P120" s="6" t="s">
        <v>561</v>
      </c>
      <c r="Q120" s="6"/>
      <c r="R120" s="6"/>
      <c r="S120" s="6"/>
      <c r="T120" s="6"/>
    </row>
    <row r="121" customFormat="false" ht="23.85" hidden="false" customHeight="false" outlineLevel="0" collapsed="false">
      <c r="A121" s="6" t="n">
        <v>120</v>
      </c>
      <c r="B121" s="6" t="s">
        <v>9</v>
      </c>
      <c r="C121" s="7" t="n">
        <v>0.673611111111111</v>
      </c>
      <c r="D121" s="7"/>
      <c r="E121" s="6" t="s">
        <v>28</v>
      </c>
      <c r="F121" s="6" t="s">
        <v>251</v>
      </c>
      <c r="G121" s="6" t="s">
        <v>562</v>
      </c>
      <c r="H121" s="6" t="s">
        <v>563</v>
      </c>
      <c r="I121" s="6" t="s">
        <v>564</v>
      </c>
      <c r="J121" s="6" t="s">
        <v>565</v>
      </c>
      <c r="K121" s="6" t="n">
        <v>1</v>
      </c>
      <c r="L121" s="6"/>
      <c r="M121" s="6" t="s">
        <v>28</v>
      </c>
      <c r="N121" s="6"/>
      <c r="O121" s="6" t="s">
        <v>28</v>
      </c>
      <c r="P121" s="6"/>
      <c r="Q121" s="6"/>
      <c r="R121" s="6"/>
      <c r="S121" s="6"/>
      <c r="T121" s="6"/>
    </row>
    <row r="122" customFormat="false" ht="68.65" hidden="false" customHeight="false" outlineLevel="0" collapsed="false">
      <c r="A122" s="6" t="n">
        <v>121</v>
      </c>
      <c r="B122" s="6" t="s">
        <v>9</v>
      </c>
      <c r="C122" s="7" t="n">
        <v>0.673611111111111</v>
      </c>
      <c r="D122" s="7"/>
      <c r="E122" s="6" t="s">
        <v>26</v>
      </c>
      <c r="F122" s="6" t="s">
        <v>199</v>
      </c>
      <c r="G122" s="6" t="s">
        <v>566</v>
      </c>
      <c r="H122" s="6" t="s">
        <v>567</v>
      </c>
      <c r="I122" s="6" t="s">
        <v>568</v>
      </c>
      <c r="J122" s="6" t="s">
        <v>569</v>
      </c>
      <c r="K122" s="6" t="n">
        <v>3</v>
      </c>
      <c r="L122" s="6" t="n">
        <v>1</v>
      </c>
      <c r="M122" s="6" t="s">
        <v>240</v>
      </c>
      <c r="N122" s="6" t="s">
        <v>63</v>
      </c>
      <c r="O122" s="6" t="s">
        <v>240</v>
      </c>
      <c r="P122" s="6" t="s">
        <v>570</v>
      </c>
      <c r="Q122" s="6"/>
      <c r="R122" s="6"/>
      <c r="S122" s="6"/>
      <c r="T122" s="6"/>
    </row>
    <row r="123" customFormat="false" ht="68.65" hidden="false" customHeight="false" outlineLevel="0" collapsed="false">
      <c r="A123" s="6" t="n">
        <v>122</v>
      </c>
      <c r="B123" s="6" t="s">
        <v>9</v>
      </c>
      <c r="C123" s="7" t="n">
        <v>0.673611111111111</v>
      </c>
      <c r="D123" s="7"/>
      <c r="E123" s="6" t="s">
        <v>25</v>
      </c>
      <c r="F123" s="6" t="s">
        <v>95</v>
      </c>
      <c r="G123" s="6" t="s">
        <v>571</v>
      </c>
      <c r="H123" s="6" t="s">
        <v>572</v>
      </c>
      <c r="I123" s="6" t="s">
        <v>573</v>
      </c>
      <c r="J123" s="6" t="s">
        <v>574</v>
      </c>
      <c r="K123" s="6" t="n">
        <v>3</v>
      </c>
      <c r="L123" s="6" t="n">
        <v>2</v>
      </c>
      <c r="M123" s="6" t="s">
        <v>245</v>
      </c>
      <c r="N123" s="6" t="s">
        <v>63</v>
      </c>
      <c r="O123" s="6" t="s">
        <v>246</v>
      </c>
      <c r="P123" s="6" t="s">
        <v>575</v>
      </c>
      <c r="Q123" s="6"/>
      <c r="R123" s="6"/>
      <c r="S123" s="6"/>
      <c r="T123" s="6"/>
    </row>
    <row r="124" customFormat="false" ht="23.85" hidden="false" customHeight="false" outlineLevel="0" collapsed="false">
      <c r="A124" s="6" t="n">
        <v>123</v>
      </c>
      <c r="B124" s="6" t="s">
        <v>9</v>
      </c>
      <c r="C124" s="7" t="n">
        <v>0.673611111111111</v>
      </c>
      <c r="D124" s="7"/>
      <c r="E124" s="6" t="s">
        <v>19</v>
      </c>
      <c r="F124" s="6" t="s">
        <v>192</v>
      </c>
      <c r="G124" s="6" t="s">
        <v>576</v>
      </c>
      <c r="H124" s="6" t="s">
        <v>577</v>
      </c>
      <c r="I124" s="6" t="s">
        <v>578</v>
      </c>
      <c r="J124" s="6" t="s">
        <v>579</v>
      </c>
      <c r="K124" s="6" t="n">
        <v>1</v>
      </c>
      <c r="L124" s="6"/>
      <c r="M124" s="6" t="s">
        <v>204</v>
      </c>
      <c r="N124" s="6" t="s">
        <v>63</v>
      </c>
      <c r="O124" s="6" t="s">
        <v>510</v>
      </c>
      <c r="P124" s="6"/>
      <c r="Q124" s="6"/>
      <c r="R124" s="6"/>
      <c r="S124" s="6"/>
      <c r="T124" s="6"/>
    </row>
    <row r="125" customFormat="false" ht="91" hidden="false" customHeight="false" outlineLevel="0" collapsed="false">
      <c r="A125" s="6" t="n">
        <v>124</v>
      </c>
      <c r="B125" s="6" t="s">
        <v>9</v>
      </c>
      <c r="C125" s="7" t="n">
        <v>0.673611111111111</v>
      </c>
      <c r="D125" s="7"/>
      <c r="E125" s="6" t="s">
        <v>14</v>
      </c>
      <c r="F125" s="6" t="s">
        <v>95</v>
      </c>
      <c r="G125" s="6" t="s">
        <v>580</v>
      </c>
      <c r="H125" s="6" t="s">
        <v>581</v>
      </c>
      <c r="I125" s="6" t="s">
        <v>582</v>
      </c>
      <c r="J125" s="6" t="s">
        <v>583</v>
      </c>
      <c r="K125" s="6" t="n">
        <v>3</v>
      </c>
      <c r="L125" s="6" t="n">
        <v>3</v>
      </c>
      <c r="M125" s="6" t="s">
        <v>69</v>
      </c>
      <c r="N125" s="6" t="s">
        <v>55</v>
      </c>
      <c r="O125" s="6" t="s">
        <v>69</v>
      </c>
      <c r="P125" s="6" t="s">
        <v>584</v>
      </c>
      <c r="Q125" s="6"/>
      <c r="R125" s="6"/>
      <c r="S125" s="6"/>
      <c r="T125" s="6"/>
    </row>
    <row r="126" customFormat="false" ht="68.65" hidden="false" customHeight="false" outlineLevel="0" collapsed="false">
      <c r="A126" s="6" t="n">
        <v>125</v>
      </c>
      <c r="B126" s="6" t="s">
        <v>9</v>
      </c>
      <c r="C126" s="7" t="n">
        <v>0.673611111111111</v>
      </c>
      <c r="D126" s="7"/>
      <c r="E126" s="6" t="s">
        <v>18</v>
      </c>
      <c r="F126" s="6" t="s">
        <v>95</v>
      </c>
      <c r="G126" s="6" t="s">
        <v>585</v>
      </c>
      <c r="H126" s="6" t="s">
        <v>586</v>
      </c>
      <c r="I126" s="6" t="s">
        <v>587</v>
      </c>
      <c r="J126" s="6" t="s">
        <v>588</v>
      </c>
      <c r="K126" s="6" t="n">
        <v>3</v>
      </c>
      <c r="L126" s="6" t="n">
        <v>2</v>
      </c>
      <c r="M126" s="6" t="s">
        <v>215</v>
      </c>
      <c r="N126" s="6" t="s">
        <v>63</v>
      </c>
      <c r="O126" s="6" t="s">
        <v>215</v>
      </c>
      <c r="P126" s="6" t="s">
        <v>589</v>
      </c>
      <c r="Q126" s="6"/>
      <c r="R126" s="6"/>
      <c r="S126" s="6"/>
      <c r="T126" s="6"/>
    </row>
    <row r="127" customFormat="false" ht="113.4" hidden="false" customHeight="false" outlineLevel="0" collapsed="false">
      <c r="A127" s="6" t="n">
        <v>126</v>
      </c>
      <c r="B127" s="6" t="s">
        <v>9</v>
      </c>
      <c r="C127" s="7" t="n">
        <v>0.673611111111111</v>
      </c>
      <c r="D127" s="7"/>
      <c r="E127" s="6" t="s">
        <v>16</v>
      </c>
      <c r="F127" s="6" t="s">
        <v>95</v>
      </c>
      <c r="G127" s="6" t="s">
        <v>590</v>
      </c>
      <c r="H127" s="6" t="s">
        <v>591</v>
      </c>
      <c r="I127" s="6" t="s">
        <v>592</v>
      </c>
      <c r="J127" s="6" t="s">
        <v>593</v>
      </c>
      <c r="K127" s="6" t="n">
        <v>3</v>
      </c>
      <c r="L127" s="6" t="n">
        <v>2</v>
      </c>
      <c r="M127" s="6" t="s">
        <v>235</v>
      </c>
      <c r="N127" s="6" t="s">
        <v>55</v>
      </c>
      <c r="O127" s="6" t="s">
        <v>235</v>
      </c>
      <c r="P127" s="6" t="s">
        <v>594</v>
      </c>
      <c r="Q127" s="6"/>
      <c r="R127" s="6"/>
      <c r="S127" s="6"/>
      <c r="T127" s="6"/>
    </row>
    <row r="128" customFormat="false" ht="23.85" hidden="false" customHeight="false" outlineLevel="0" collapsed="false">
      <c r="A128" s="6" t="n">
        <v>127</v>
      </c>
      <c r="B128" s="6" t="s">
        <v>9</v>
      </c>
      <c r="C128" s="7" t="n">
        <v>0.677083333333333</v>
      </c>
      <c r="D128" s="7"/>
      <c r="E128" s="6" t="s">
        <v>29</v>
      </c>
      <c r="F128" s="6" t="s">
        <v>192</v>
      </c>
      <c r="G128" s="6" t="s">
        <v>595</v>
      </c>
      <c r="H128" s="6" t="s">
        <v>596</v>
      </c>
      <c r="I128" s="6" t="s">
        <v>597</v>
      </c>
      <c r="J128" s="6" t="s">
        <v>598</v>
      </c>
      <c r="K128" s="6" t="n">
        <v>1</v>
      </c>
      <c r="L128" s="6"/>
      <c r="M128" s="6" t="s">
        <v>186</v>
      </c>
      <c r="N128" s="6" t="s">
        <v>55</v>
      </c>
      <c r="O128" s="6" t="s">
        <v>186</v>
      </c>
      <c r="P128" s="6"/>
      <c r="Q128" s="6"/>
      <c r="R128" s="6"/>
      <c r="S128" s="6"/>
      <c r="T128" s="6"/>
    </row>
    <row r="129" customFormat="false" ht="23.85" hidden="false" customHeight="false" outlineLevel="0" collapsed="false">
      <c r="A129" s="6" t="n">
        <v>128</v>
      </c>
      <c r="B129" s="6" t="s">
        <v>9</v>
      </c>
      <c r="C129" s="7" t="n">
        <v>0.680555555555556</v>
      </c>
      <c r="D129" s="7"/>
      <c r="E129" s="6" t="s">
        <v>28</v>
      </c>
      <c r="F129" s="6" t="s">
        <v>251</v>
      </c>
      <c r="G129" s="6" t="s">
        <v>599</v>
      </c>
      <c r="H129" s="6" t="s">
        <v>600</v>
      </c>
      <c r="I129" s="6" t="s">
        <v>601</v>
      </c>
      <c r="J129" s="6" t="s">
        <v>602</v>
      </c>
      <c r="K129" s="6" t="n">
        <v>1</v>
      </c>
      <c r="L129" s="6"/>
      <c r="M129" s="6" t="s">
        <v>28</v>
      </c>
      <c r="N129" s="6"/>
      <c r="O129" s="6" t="s">
        <v>28</v>
      </c>
      <c r="P129" s="6"/>
      <c r="Q129" s="6"/>
      <c r="R129" s="6"/>
      <c r="S129" s="6"/>
      <c r="T129" s="6"/>
    </row>
    <row r="130" customFormat="false" ht="68.65" hidden="false" customHeight="false" outlineLevel="0" collapsed="false">
      <c r="A130" s="6" t="n">
        <v>129</v>
      </c>
      <c r="B130" s="6" t="s">
        <v>9</v>
      </c>
      <c r="C130" s="7" t="n">
        <v>0.680555555555556</v>
      </c>
      <c r="D130" s="7"/>
      <c r="E130" s="6" t="s">
        <v>13</v>
      </c>
      <c r="F130" s="6" t="s">
        <v>95</v>
      </c>
      <c r="G130" s="6" t="s">
        <v>603</v>
      </c>
      <c r="H130" s="6" t="s">
        <v>604</v>
      </c>
      <c r="I130" s="6" t="s">
        <v>605</v>
      </c>
      <c r="J130" s="6" t="s">
        <v>606</v>
      </c>
      <c r="K130" s="6" t="n">
        <v>3</v>
      </c>
      <c r="L130" s="6" t="n">
        <v>2</v>
      </c>
      <c r="M130" s="6" t="s">
        <v>62</v>
      </c>
      <c r="N130" s="6" t="s">
        <v>63</v>
      </c>
      <c r="O130" s="6" t="s">
        <v>62</v>
      </c>
      <c r="P130" s="6" t="s">
        <v>607</v>
      </c>
      <c r="Q130" s="6"/>
      <c r="R130" s="6"/>
      <c r="S130" s="6"/>
      <c r="T130" s="6"/>
    </row>
    <row r="131" customFormat="false" ht="35.05" hidden="false" customHeight="false" outlineLevel="0" collapsed="false">
      <c r="A131" s="6" t="n">
        <v>130</v>
      </c>
      <c r="B131" s="6" t="s">
        <v>9</v>
      </c>
      <c r="C131" s="7" t="n">
        <v>0.684027777777778</v>
      </c>
      <c r="D131" s="7"/>
      <c r="E131" s="6" t="s">
        <v>29</v>
      </c>
      <c r="F131" s="6" t="s">
        <v>192</v>
      </c>
      <c r="G131" s="6" t="s">
        <v>608</v>
      </c>
      <c r="H131" s="6" t="s">
        <v>609</v>
      </c>
      <c r="I131" s="6" t="s">
        <v>610</v>
      </c>
      <c r="J131" s="6" t="s">
        <v>611</v>
      </c>
      <c r="K131" s="6" t="n">
        <v>1</v>
      </c>
      <c r="L131" s="6"/>
      <c r="M131" s="6" t="s">
        <v>186</v>
      </c>
      <c r="N131" s="6" t="s">
        <v>55</v>
      </c>
      <c r="O131" s="6" t="s">
        <v>186</v>
      </c>
      <c r="P131" s="6"/>
      <c r="Q131" s="6"/>
      <c r="R131" s="6"/>
      <c r="S131" s="6"/>
      <c r="T131" s="6"/>
    </row>
    <row r="132" customFormat="false" ht="57.45" hidden="false" customHeight="false" outlineLevel="0" collapsed="false">
      <c r="A132" s="6" t="n">
        <v>131</v>
      </c>
      <c r="B132" s="6" t="s">
        <v>9</v>
      </c>
      <c r="C132" s="7" t="n">
        <v>0.684027777777778</v>
      </c>
      <c r="D132" s="7"/>
      <c r="E132" s="6" t="s">
        <v>19</v>
      </c>
      <c r="F132" s="6" t="s">
        <v>95</v>
      </c>
      <c r="G132" s="6" t="s">
        <v>612</v>
      </c>
      <c r="H132" s="6" t="s">
        <v>613</v>
      </c>
      <c r="I132" s="6" t="s">
        <v>614</v>
      </c>
      <c r="J132" s="6" t="s">
        <v>615</v>
      </c>
      <c r="K132" s="6" t="n">
        <v>3</v>
      </c>
      <c r="L132" s="6" t="n">
        <v>1</v>
      </c>
      <c r="M132" s="6" t="s">
        <v>204</v>
      </c>
      <c r="N132" s="6" t="s">
        <v>63</v>
      </c>
      <c r="O132" s="6" t="s">
        <v>204</v>
      </c>
      <c r="P132" s="6" t="s">
        <v>616</v>
      </c>
      <c r="Q132" s="6"/>
      <c r="R132" s="6"/>
      <c r="S132" s="6"/>
      <c r="T132" s="6"/>
    </row>
    <row r="133" customFormat="false" ht="35.05" hidden="false" customHeight="false" outlineLevel="0" collapsed="false">
      <c r="A133" s="6" t="n">
        <v>132</v>
      </c>
      <c r="B133" s="6" t="s">
        <v>9</v>
      </c>
      <c r="C133" s="7" t="n">
        <v>0.684027777777778</v>
      </c>
      <c r="D133" s="7"/>
      <c r="E133" s="6" t="s">
        <v>12</v>
      </c>
      <c r="F133" s="6" t="s">
        <v>95</v>
      </c>
      <c r="G133" s="6" t="s">
        <v>617</v>
      </c>
      <c r="H133" s="6" t="s">
        <v>618</v>
      </c>
      <c r="I133" s="6" t="s">
        <v>619</v>
      </c>
      <c r="J133" s="6" t="s">
        <v>620</v>
      </c>
      <c r="K133" s="6" t="n">
        <v>3</v>
      </c>
      <c r="L133" s="6" t="n">
        <v>3</v>
      </c>
      <c r="M133" s="6" t="s">
        <v>197</v>
      </c>
      <c r="N133" s="6" t="s">
        <v>55</v>
      </c>
      <c r="O133" s="6" t="s">
        <v>197</v>
      </c>
      <c r="P133" s="6"/>
      <c r="Q133" s="6"/>
      <c r="R133" s="6"/>
      <c r="S133" s="6"/>
      <c r="T133" s="6"/>
    </row>
    <row r="134" customFormat="false" ht="23.85" hidden="false" customHeight="false" outlineLevel="0" collapsed="false">
      <c r="A134" s="6" t="n">
        <v>133</v>
      </c>
      <c r="B134" s="6" t="s">
        <v>9</v>
      </c>
      <c r="C134" s="7" t="n">
        <v>0.6875</v>
      </c>
      <c r="D134" s="7"/>
      <c r="E134" s="6" t="s">
        <v>28</v>
      </c>
      <c r="F134" s="6" t="s">
        <v>251</v>
      </c>
      <c r="G134" s="6" t="s">
        <v>621</v>
      </c>
      <c r="H134" s="6" t="s">
        <v>622</v>
      </c>
      <c r="I134" s="6" t="s">
        <v>623</v>
      </c>
      <c r="J134" s="6" t="s">
        <v>624</v>
      </c>
      <c r="K134" s="6" t="n">
        <v>1</v>
      </c>
      <c r="L134" s="6"/>
      <c r="M134" s="6" t="s">
        <v>28</v>
      </c>
      <c r="N134" s="6"/>
      <c r="O134" s="6" t="s">
        <v>28</v>
      </c>
      <c r="P134" s="6"/>
      <c r="Q134" s="6"/>
      <c r="R134" s="6"/>
      <c r="S134" s="6"/>
      <c r="T134" s="6"/>
    </row>
    <row r="135" customFormat="false" ht="79.85" hidden="false" customHeight="false" outlineLevel="0" collapsed="false">
      <c r="A135" s="6" t="n">
        <v>134</v>
      </c>
      <c r="B135" s="6" t="s">
        <v>9</v>
      </c>
      <c r="C135" s="7" t="n">
        <v>0.690972222222222</v>
      </c>
      <c r="D135" s="7"/>
      <c r="E135" s="6" t="s">
        <v>29</v>
      </c>
      <c r="F135" s="6" t="s">
        <v>95</v>
      </c>
      <c r="G135" s="6" t="s">
        <v>625</v>
      </c>
      <c r="H135" s="6" t="s">
        <v>626</v>
      </c>
      <c r="I135" s="6" t="s">
        <v>627</v>
      </c>
      <c r="J135" s="6" t="s">
        <v>628</v>
      </c>
      <c r="K135" s="6" t="n">
        <v>3</v>
      </c>
      <c r="L135" s="6" t="n">
        <v>2</v>
      </c>
      <c r="M135" s="6" t="s">
        <v>186</v>
      </c>
      <c r="N135" s="6" t="s">
        <v>55</v>
      </c>
      <c r="O135" s="6" t="s">
        <v>186</v>
      </c>
      <c r="P135" s="6" t="s">
        <v>629</v>
      </c>
      <c r="Q135" s="6"/>
      <c r="R135" s="6"/>
      <c r="S135" s="6"/>
      <c r="T135" s="6"/>
    </row>
    <row r="136" customFormat="false" ht="23.85" hidden="false" customHeight="false" outlineLevel="0" collapsed="false">
      <c r="A136" s="6" t="n">
        <v>135</v>
      </c>
      <c r="B136" s="6" t="s">
        <v>9</v>
      </c>
      <c r="C136" s="7" t="n">
        <v>0.694444444444444</v>
      </c>
      <c r="D136" s="7"/>
      <c r="E136" s="6" t="s">
        <v>28</v>
      </c>
      <c r="F136" s="6" t="s">
        <v>251</v>
      </c>
      <c r="G136" s="6" t="s">
        <v>630</v>
      </c>
      <c r="H136" s="6" t="s">
        <v>631</v>
      </c>
      <c r="I136" s="6" t="s">
        <v>632</v>
      </c>
      <c r="J136" s="6" t="s">
        <v>633</v>
      </c>
      <c r="K136" s="6" t="n">
        <v>1</v>
      </c>
      <c r="L136" s="6"/>
      <c r="M136" s="6" t="s">
        <v>28</v>
      </c>
      <c r="N136" s="6"/>
      <c r="O136" s="6" t="s">
        <v>28</v>
      </c>
      <c r="P136" s="6"/>
      <c r="Q136" s="6"/>
      <c r="R136" s="6"/>
      <c r="S136" s="6"/>
      <c r="T136" s="6"/>
    </row>
    <row r="137" customFormat="false" ht="15" hidden="false" customHeight="false" outlineLevel="0" collapsed="false">
      <c r="A137" s="6" t="n">
        <v>136</v>
      </c>
      <c r="B137" s="6" t="s">
        <v>9</v>
      </c>
      <c r="C137" s="7" t="n">
        <v>0.694444444444444</v>
      </c>
      <c r="D137" s="7"/>
      <c r="E137" s="6" t="s">
        <v>23</v>
      </c>
      <c r="F137" s="6" t="s">
        <v>175</v>
      </c>
      <c r="G137" s="6" t="s">
        <v>634</v>
      </c>
      <c r="H137" s="6" t="s">
        <v>177</v>
      </c>
      <c r="I137" s="6" t="s">
        <v>178</v>
      </c>
      <c r="J137" s="6" t="s">
        <v>179</v>
      </c>
      <c r="K137" s="6" t="n">
        <v>1</v>
      </c>
      <c r="L137" s="6"/>
      <c r="M137" s="6" t="s">
        <v>180</v>
      </c>
      <c r="N137" s="6" t="s">
        <v>63</v>
      </c>
      <c r="O137" s="6" t="s">
        <v>290</v>
      </c>
      <c r="P137" s="6"/>
      <c r="Q137" s="6"/>
      <c r="R137" s="6"/>
      <c r="S137" s="6"/>
      <c r="T137" s="6"/>
    </row>
    <row r="138" customFormat="false" ht="23.85" hidden="false" customHeight="false" outlineLevel="0" collapsed="false">
      <c r="A138" s="6" t="n">
        <v>137</v>
      </c>
      <c r="B138" s="6" t="s">
        <v>9</v>
      </c>
      <c r="C138" s="7" t="n">
        <v>0.711805555555556</v>
      </c>
      <c r="D138" s="7"/>
      <c r="E138" s="6" t="s">
        <v>13</v>
      </c>
      <c r="F138" s="6" t="s">
        <v>192</v>
      </c>
      <c r="G138" s="6" t="s">
        <v>635</v>
      </c>
      <c r="H138" s="6" t="s">
        <v>636</v>
      </c>
      <c r="I138" s="6" t="s">
        <v>637</v>
      </c>
      <c r="J138" s="6" t="s">
        <v>638</v>
      </c>
      <c r="K138" s="6" t="n">
        <v>2</v>
      </c>
      <c r="L138" s="6"/>
      <c r="M138" s="6" t="s">
        <v>62</v>
      </c>
      <c r="N138" s="6" t="s">
        <v>63</v>
      </c>
      <c r="O138" s="6" t="s">
        <v>62</v>
      </c>
      <c r="P138" s="6"/>
      <c r="Q138" s="6"/>
      <c r="R138" s="6"/>
      <c r="S138" s="6"/>
      <c r="T138" s="6"/>
    </row>
    <row r="139" customFormat="false" ht="91" hidden="false" customHeight="false" outlineLevel="0" collapsed="false">
      <c r="A139" s="6" t="n">
        <v>138</v>
      </c>
      <c r="B139" s="6" t="s">
        <v>9</v>
      </c>
      <c r="C139" s="7" t="n">
        <v>0.722222222222222</v>
      </c>
      <c r="D139" s="7"/>
      <c r="E139" s="6" t="s">
        <v>13</v>
      </c>
      <c r="F139" s="6" t="s">
        <v>95</v>
      </c>
      <c r="G139" s="6" t="s">
        <v>639</v>
      </c>
      <c r="H139" s="6" t="s">
        <v>640</v>
      </c>
      <c r="I139" s="6" t="s">
        <v>641</v>
      </c>
      <c r="J139" s="6" t="s">
        <v>642</v>
      </c>
      <c r="K139" s="6" t="n">
        <v>3</v>
      </c>
      <c r="L139" s="6" t="n">
        <v>2</v>
      </c>
      <c r="M139" s="6" t="s">
        <v>62</v>
      </c>
      <c r="N139" s="6" t="s">
        <v>63</v>
      </c>
      <c r="O139" s="6" t="s">
        <v>62</v>
      </c>
      <c r="P139" s="6" t="s">
        <v>643</v>
      </c>
      <c r="Q139" s="6"/>
      <c r="R139" s="6"/>
      <c r="S139" s="6"/>
      <c r="T13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7"/>
    <col collapsed="false" customWidth="true" hidden="false" outlineLevel="0" max="5" min="5" style="0" width="20"/>
    <col collapsed="false" customWidth="true" hidden="false" outlineLevel="0" max="6" min="6" style="0" width="14"/>
    <col collapsed="false" customWidth="true" hidden="false" outlineLevel="0" max="7" min="7" style="0" width="50"/>
    <col collapsed="false" customWidth="true" hidden="false" outlineLevel="0" max="8" min="8" style="0" width="55"/>
    <col collapsed="false" customWidth="true" hidden="false" outlineLevel="0" max="10" min="9" style="0" width="35"/>
    <col collapsed="false" customWidth="true" hidden="false" outlineLevel="0" max="11" min="11" style="0" width="9"/>
    <col collapsed="false" customWidth="true" hidden="false" outlineLevel="0" max="12" min="12" style="0" width="12"/>
    <col collapsed="false" customWidth="true" hidden="false" outlineLevel="0" max="13" min="13" style="0" width="26"/>
    <col collapsed="false" customWidth="true" hidden="false" outlineLevel="0" max="14" min="14" style="0" width="11"/>
    <col collapsed="false" customWidth="true" hidden="false" outlineLevel="0" max="15" min="15" style="0" width="26"/>
    <col collapsed="false" customWidth="true" hidden="false" outlineLevel="0" max="16" min="16" style="0" width="80"/>
    <col collapsed="false" customWidth="true" hidden="false" outlineLevel="0" max="17" min="17" style="0" width="10"/>
    <col collapsed="false" customWidth="true" hidden="false" outlineLevel="0" max="19" min="18" style="0" width="9"/>
    <col collapsed="false" customWidth="true" hidden="false" outlineLevel="0" max="20" min="20" style="0" width="13"/>
  </cols>
  <sheetData>
    <row r="1" customFormat="false" ht="30" hidden="false" customHeight="true" outlineLevel="0" collapsed="false">
      <c r="A1" s="5" t="s">
        <v>31</v>
      </c>
      <c r="B1" s="5" t="s">
        <v>32</v>
      </c>
      <c r="C1" s="5" t="s">
        <v>33</v>
      </c>
      <c r="D1" s="5" t="s">
        <v>34</v>
      </c>
      <c r="E1" s="5" t="s">
        <v>8</v>
      </c>
      <c r="F1" s="5" t="s">
        <v>35</v>
      </c>
      <c r="G1" s="5" t="s">
        <v>36</v>
      </c>
      <c r="H1" s="5" t="s">
        <v>37</v>
      </c>
      <c r="I1" s="5" t="s">
        <v>38</v>
      </c>
      <c r="J1" s="5" t="s">
        <v>39</v>
      </c>
      <c r="K1" s="5" t="s">
        <v>40</v>
      </c>
      <c r="L1" s="5" t="s">
        <v>41</v>
      </c>
      <c r="M1" s="5" t="s">
        <v>42</v>
      </c>
      <c r="N1" s="5" t="s">
        <v>43</v>
      </c>
      <c r="O1" s="5" t="s">
        <v>44</v>
      </c>
      <c r="P1" s="5" t="s">
        <v>45</v>
      </c>
      <c r="Q1" s="5" t="s">
        <v>46</v>
      </c>
      <c r="R1" s="5" t="s">
        <v>47</v>
      </c>
      <c r="S1" s="5" t="s">
        <v>48</v>
      </c>
      <c r="T1" s="5" t="s">
        <v>49</v>
      </c>
    </row>
    <row r="2" customFormat="false" ht="23.85" hidden="false" customHeight="false" outlineLevel="0" collapsed="false">
      <c r="A2" s="6" t="n">
        <v>1</v>
      </c>
      <c r="B2" s="6" t="s">
        <v>10</v>
      </c>
      <c r="C2" s="7"/>
      <c r="D2" s="7"/>
      <c r="E2" s="6" t="s">
        <v>24</v>
      </c>
      <c r="F2" s="6" t="s">
        <v>24</v>
      </c>
      <c r="G2" s="6" t="s">
        <v>644</v>
      </c>
      <c r="H2" s="6" t="s">
        <v>51</v>
      </c>
      <c r="I2" s="6" t="s">
        <v>52</v>
      </c>
      <c r="J2" s="6" t="s">
        <v>53</v>
      </c>
      <c r="K2" s="6" t="n">
        <v>1</v>
      </c>
      <c r="L2" s="6"/>
      <c r="M2" s="6" t="s">
        <v>54</v>
      </c>
      <c r="N2" s="6" t="s">
        <v>55</v>
      </c>
      <c r="O2" s="6" t="s">
        <v>439</v>
      </c>
      <c r="P2" s="6"/>
      <c r="Q2" s="6"/>
      <c r="R2" s="6"/>
      <c r="S2" s="6"/>
      <c r="T2" s="6"/>
    </row>
    <row r="3" customFormat="false" ht="35.05" hidden="false" customHeight="false" outlineLevel="0" collapsed="false">
      <c r="A3" s="6" t="n">
        <v>2</v>
      </c>
      <c r="B3" s="6" t="s">
        <v>10</v>
      </c>
      <c r="C3" s="7" t="n">
        <v>0.395833333333333</v>
      </c>
      <c r="D3" s="7"/>
      <c r="E3" s="6" t="s">
        <v>13</v>
      </c>
      <c r="F3" s="6" t="s">
        <v>199</v>
      </c>
      <c r="G3" s="6" t="s">
        <v>645</v>
      </c>
      <c r="H3" s="6" t="s">
        <v>646</v>
      </c>
      <c r="I3" s="6" t="s">
        <v>647</v>
      </c>
      <c r="J3" s="6" t="s">
        <v>648</v>
      </c>
      <c r="K3" s="6" t="n">
        <v>2</v>
      </c>
      <c r="L3" s="6"/>
      <c r="M3" s="6" t="s">
        <v>62</v>
      </c>
      <c r="N3" s="6" t="s">
        <v>63</v>
      </c>
      <c r="O3" s="6" t="s">
        <v>62</v>
      </c>
      <c r="P3" s="6"/>
      <c r="Q3" s="6"/>
      <c r="R3" s="6"/>
      <c r="S3" s="6"/>
      <c r="T3" s="6"/>
    </row>
    <row r="4" customFormat="false" ht="35.05" hidden="false" customHeight="false" outlineLevel="0" collapsed="false">
      <c r="A4" s="6" t="n">
        <v>3</v>
      </c>
      <c r="B4" s="6" t="s">
        <v>10</v>
      </c>
      <c r="C4" s="7" t="n">
        <v>0.40625</v>
      </c>
      <c r="D4" s="7"/>
      <c r="E4" s="6" t="s">
        <v>17</v>
      </c>
      <c r="F4" s="6" t="s">
        <v>70</v>
      </c>
      <c r="G4" s="6" t="s">
        <v>649</v>
      </c>
      <c r="H4" s="6" t="s">
        <v>650</v>
      </c>
      <c r="I4" s="6" t="s">
        <v>651</v>
      </c>
      <c r="J4" s="6" t="s">
        <v>652</v>
      </c>
      <c r="K4" s="6" t="n">
        <v>2</v>
      </c>
      <c r="L4" s="6"/>
      <c r="M4" s="6" t="s">
        <v>69</v>
      </c>
      <c r="N4" s="6" t="s">
        <v>55</v>
      </c>
      <c r="O4" s="6" t="s">
        <v>69</v>
      </c>
      <c r="P4" s="6"/>
      <c r="Q4" s="6"/>
      <c r="R4" s="6"/>
      <c r="S4" s="6"/>
      <c r="T4" s="6"/>
    </row>
    <row r="5" customFormat="false" ht="23.85" hidden="false" customHeight="false" outlineLevel="0" collapsed="false">
      <c r="A5" s="6" t="n">
        <v>4</v>
      </c>
      <c r="B5" s="6" t="s">
        <v>10</v>
      </c>
      <c r="C5" s="7" t="n">
        <v>0.40625</v>
      </c>
      <c r="D5" s="7"/>
      <c r="E5" s="6" t="s">
        <v>13</v>
      </c>
      <c r="F5" s="6" t="s">
        <v>181</v>
      </c>
      <c r="G5" s="6" t="s">
        <v>653</v>
      </c>
      <c r="H5" s="6" t="s">
        <v>654</v>
      </c>
      <c r="I5" s="6" t="s">
        <v>655</v>
      </c>
      <c r="J5" s="6" t="s">
        <v>656</v>
      </c>
      <c r="K5" s="6" t="n">
        <v>2</v>
      </c>
      <c r="L5" s="6"/>
      <c r="M5" s="6" t="s">
        <v>62</v>
      </c>
      <c r="N5" s="6" t="s">
        <v>63</v>
      </c>
      <c r="O5" s="6" t="s">
        <v>62</v>
      </c>
      <c r="P5" s="6"/>
      <c r="Q5" s="6"/>
      <c r="R5" s="6"/>
      <c r="S5" s="6"/>
      <c r="T5" s="6"/>
    </row>
    <row r="6" customFormat="false" ht="68.65" hidden="false" customHeight="false" outlineLevel="0" collapsed="false">
      <c r="A6" s="6" t="n">
        <v>5</v>
      </c>
      <c r="B6" s="6" t="s">
        <v>10</v>
      </c>
      <c r="C6" s="7" t="n">
        <v>0.416666666666667</v>
      </c>
      <c r="D6" s="7"/>
      <c r="E6" s="6" t="s">
        <v>17</v>
      </c>
      <c r="F6" s="6" t="s">
        <v>95</v>
      </c>
      <c r="G6" s="6" t="s">
        <v>657</v>
      </c>
      <c r="H6" s="6" t="s">
        <v>658</v>
      </c>
      <c r="I6" s="6" t="s">
        <v>659</v>
      </c>
      <c r="J6" s="6" t="s">
        <v>660</v>
      </c>
      <c r="K6" s="6" t="n">
        <v>3</v>
      </c>
      <c r="L6" s="6" t="n">
        <v>1</v>
      </c>
      <c r="M6" s="6" t="s">
        <v>69</v>
      </c>
      <c r="N6" s="6" t="s">
        <v>55</v>
      </c>
      <c r="O6" s="6" t="s">
        <v>69</v>
      </c>
      <c r="P6" s="6" t="s">
        <v>661</v>
      </c>
      <c r="Q6" s="6"/>
      <c r="R6" s="6"/>
      <c r="S6" s="6"/>
      <c r="T6" s="6"/>
    </row>
    <row r="7" customFormat="false" ht="35.05" hidden="false" customHeight="false" outlineLevel="0" collapsed="false">
      <c r="A7" s="6" t="n">
        <v>6</v>
      </c>
      <c r="B7" s="6" t="s">
        <v>10</v>
      </c>
      <c r="C7" s="7" t="n">
        <v>0.416666666666667</v>
      </c>
      <c r="D7" s="7"/>
      <c r="E7" s="6" t="s">
        <v>13</v>
      </c>
      <c r="F7" s="6" t="s">
        <v>95</v>
      </c>
      <c r="G7" s="6" t="s">
        <v>662</v>
      </c>
      <c r="H7" s="6" t="s">
        <v>663</v>
      </c>
      <c r="I7" s="6" t="s">
        <v>664</v>
      </c>
      <c r="J7" s="6" t="s">
        <v>665</v>
      </c>
      <c r="K7" s="6" t="n">
        <v>3</v>
      </c>
      <c r="L7" s="6" t="n">
        <v>2</v>
      </c>
      <c r="M7" s="6" t="s">
        <v>62</v>
      </c>
      <c r="N7" s="6" t="s">
        <v>63</v>
      </c>
      <c r="O7" s="6" t="s">
        <v>62</v>
      </c>
      <c r="P7" s="6"/>
      <c r="Q7" s="6"/>
      <c r="R7" s="6"/>
      <c r="S7" s="6"/>
      <c r="T7" s="6"/>
    </row>
    <row r="8" customFormat="false" ht="35.05" hidden="false" customHeight="false" outlineLevel="0" collapsed="false">
      <c r="A8" s="6" t="n">
        <v>7</v>
      </c>
      <c r="B8" s="6" t="s">
        <v>10</v>
      </c>
      <c r="C8" s="7" t="n">
        <v>0.447916666666667</v>
      </c>
      <c r="D8" s="7"/>
      <c r="E8" s="6" t="s">
        <v>24</v>
      </c>
      <c r="F8" s="6" t="s">
        <v>24</v>
      </c>
      <c r="G8" s="6" t="s">
        <v>666</v>
      </c>
      <c r="H8" s="6" t="s">
        <v>51</v>
      </c>
      <c r="I8" s="6" t="s">
        <v>52</v>
      </c>
      <c r="J8" s="6" t="s">
        <v>53</v>
      </c>
      <c r="K8" s="6" t="n">
        <v>1</v>
      </c>
      <c r="L8" s="6"/>
      <c r="M8" s="6" t="s">
        <v>54</v>
      </c>
      <c r="N8" s="6" t="s">
        <v>55</v>
      </c>
      <c r="O8" s="6" t="s">
        <v>439</v>
      </c>
      <c r="P8" s="6" t="s">
        <v>174</v>
      </c>
      <c r="Q8" s="6"/>
      <c r="R8" s="6"/>
      <c r="S8" s="6"/>
      <c r="T8" s="6"/>
    </row>
    <row r="9" customFormat="false" ht="15" hidden="false" customHeight="false" outlineLevel="0" collapsed="false">
      <c r="A9" s="6" t="n">
        <v>8</v>
      </c>
      <c r="B9" s="6" t="s">
        <v>10</v>
      </c>
      <c r="C9" s="7" t="n">
        <v>0.493055555555556</v>
      </c>
      <c r="D9" s="7"/>
      <c r="E9" s="6" t="s">
        <v>28</v>
      </c>
      <c r="F9" s="6" t="s">
        <v>251</v>
      </c>
      <c r="G9" s="6" t="s">
        <v>667</v>
      </c>
      <c r="H9" s="6" t="s">
        <v>668</v>
      </c>
      <c r="I9" s="6" t="s">
        <v>669</v>
      </c>
      <c r="J9" s="6" t="s">
        <v>670</v>
      </c>
      <c r="K9" s="6" t="n">
        <v>1</v>
      </c>
      <c r="L9" s="6"/>
      <c r="M9" s="6" t="s">
        <v>28</v>
      </c>
      <c r="N9" s="6"/>
      <c r="O9" s="6" t="s">
        <v>28</v>
      </c>
      <c r="P9" s="6"/>
      <c r="Q9" s="6"/>
      <c r="R9" s="6"/>
      <c r="S9" s="6"/>
      <c r="T9" s="6"/>
    </row>
    <row r="10" customFormat="false" ht="15" hidden="false" customHeight="false" outlineLevel="0" collapsed="false">
      <c r="A10" s="6" t="n">
        <v>9</v>
      </c>
      <c r="B10" s="6" t="s">
        <v>10</v>
      </c>
      <c r="C10" s="7" t="n">
        <v>0.496527777777778</v>
      </c>
      <c r="D10" s="7"/>
      <c r="E10" s="6" t="s">
        <v>23</v>
      </c>
      <c r="F10" s="6" t="s">
        <v>175</v>
      </c>
      <c r="G10" s="6" t="s">
        <v>176</v>
      </c>
      <c r="H10" s="6" t="s">
        <v>177</v>
      </c>
      <c r="I10" s="6" t="s">
        <v>178</v>
      </c>
      <c r="J10" s="6" t="s">
        <v>179</v>
      </c>
      <c r="K10" s="6" t="n">
        <v>1</v>
      </c>
      <c r="L10" s="6"/>
      <c r="M10" s="6" t="s">
        <v>180</v>
      </c>
      <c r="N10" s="6" t="s">
        <v>63</v>
      </c>
      <c r="O10" s="6" t="s">
        <v>290</v>
      </c>
      <c r="P10" s="6"/>
      <c r="Q10" s="6"/>
      <c r="R10" s="6"/>
      <c r="S10" s="6"/>
      <c r="T10" s="6"/>
    </row>
    <row r="11" customFormat="false" ht="35.05" hidden="false" customHeight="false" outlineLevel="0" collapsed="false">
      <c r="A11" s="6" t="n">
        <v>10</v>
      </c>
      <c r="B11" s="6" t="s">
        <v>10</v>
      </c>
      <c r="C11" s="7" t="n">
        <v>0.5</v>
      </c>
      <c r="D11" s="7"/>
      <c r="E11" s="6" t="s">
        <v>20</v>
      </c>
      <c r="F11" s="6" t="s">
        <v>181</v>
      </c>
      <c r="G11" s="6" t="s">
        <v>671</v>
      </c>
      <c r="H11" s="6" t="s">
        <v>672</v>
      </c>
      <c r="I11" s="6" t="s">
        <v>673</v>
      </c>
      <c r="J11" s="6" t="s">
        <v>674</v>
      </c>
      <c r="K11" s="6" t="n">
        <v>2</v>
      </c>
      <c r="L11" s="6"/>
      <c r="M11" s="6" t="s">
        <v>220</v>
      </c>
      <c r="N11" s="6" t="s">
        <v>63</v>
      </c>
      <c r="O11" s="6" t="s">
        <v>221</v>
      </c>
      <c r="P11" s="6"/>
      <c r="Q11" s="6"/>
      <c r="R11" s="6"/>
      <c r="S11" s="6"/>
      <c r="T11" s="6"/>
    </row>
    <row r="12" customFormat="false" ht="23.85" hidden="false" customHeight="false" outlineLevel="0" collapsed="false">
      <c r="A12" s="6" t="n">
        <v>11</v>
      </c>
      <c r="B12" s="6" t="s">
        <v>10</v>
      </c>
      <c r="C12" s="7" t="n">
        <v>0.5</v>
      </c>
      <c r="D12" s="7"/>
      <c r="E12" s="6" t="s">
        <v>28</v>
      </c>
      <c r="F12" s="6" t="s">
        <v>251</v>
      </c>
      <c r="G12" s="6" t="s">
        <v>675</v>
      </c>
      <c r="H12" s="6" t="s">
        <v>676</v>
      </c>
      <c r="I12" s="6" t="s">
        <v>677</v>
      </c>
      <c r="J12" s="6" t="s">
        <v>678</v>
      </c>
      <c r="K12" s="6" t="n">
        <v>1</v>
      </c>
      <c r="L12" s="6"/>
      <c r="M12" s="6" t="s">
        <v>28</v>
      </c>
      <c r="N12" s="6"/>
      <c r="O12" s="6" t="s">
        <v>28</v>
      </c>
      <c r="P12" s="6"/>
      <c r="Q12" s="6"/>
      <c r="R12" s="6"/>
      <c r="S12" s="6"/>
      <c r="T12" s="6"/>
    </row>
    <row r="13" customFormat="false" ht="23.85" hidden="false" customHeight="false" outlineLevel="0" collapsed="false">
      <c r="A13" s="6" t="n">
        <v>12</v>
      </c>
      <c r="B13" s="6" t="s">
        <v>10</v>
      </c>
      <c r="C13" s="7" t="n">
        <v>0.5</v>
      </c>
      <c r="D13" s="7"/>
      <c r="E13" s="6" t="s">
        <v>13</v>
      </c>
      <c r="F13" s="6" t="s">
        <v>70</v>
      </c>
      <c r="G13" s="6" t="s">
        <v>679</v>
      </c>
      <c r="H13" s="6" t="s">
        <v>680</v>
      </c>
      <c r="I13" s="6" t="s">
        <v>681</v>
      </c>
      <c r="J13" s="6" t="s">
        <v>682</v>
      </c>
      <c r="K13" s="6" t="n">
        <v>2</v>
      </c>
      <c r="L13" s="6"/>
      <c r="M13" s="6" t="s">
        <v>62</v>
      </c>
      <c r="N13" s="6" t="s">
        <v>63</v>
      </c>
      <c r="O13" s="6" t="s">
        <v>62</v>
      </c>
      <c r="P13" s="6"/>
      <c r="Q13" s="6"/>
      <c r="R13" s="6"/>
      <c r="S13" s="6"/>
      <c r="T13" s="6"/>
    </row>
    <row r="14" customFormat="false" ht="35.05" hidden="false" customHeight="false" outlineLevel="0" collapsed="false">
      <c r="A14" s="6" t="n">
        <v>13</v>
      </c>
      <c r="B14" s="6" t="s">
        <v>10</v>
      </c>
      <c r="C14" s="7" t="n">
        <v>0.5</v>
      </c>
      <c r="D14" s="7"/>
      <c r="E14" s="6" t="s">
        <v>14</v>
      </c>
      <c r="F14" s="6" t="s">
        <v>181</v>
      </c>
      <c r="G14" s="6" t="s">
        <v>683</v>
      </c>
      <c r="H14" s="6" t="s">
        <v>684</v>
      </c>
      <c r="I14" s="6" t="s">
        <v>685</v>
      </c>
      <c r="J14" s="6" t="s">
        <v>686</v>
      </c>
      <c r="K14" s="6" t="n">
        <v>2</v>
      </c>
      <c r="L14" s="6"/>
      <c r="M14" s="6" t="s">
        <v>69</v>
      </c>
      <c r="N14" s="6" t="s">
        <v>55</v>
      </c>
      <c r="O14" s="6" t="s">
        <v>69</v>
      </c>
      <c r="P14" s="6"/>
      <c r="Q14" s="6"/>
      <c r="R14" s="6"/>
      <c r="S14" s="6"/>
      <c r="T14" s="6"/>
    </row>
    <row r="15" customFormat="false" ht="23.85" hidden="false" customHeight="false" outlineLevel="0" collapsed="false">
      <c r="A15" s="6" t="n">
        <v>14</v>
      </c>
      <c r="B15" s="6" t="s">
        <v>10</v>
      </c>
      <c r="C15" s="7" t="n">
        <v>0.5</v>
      </c>
      <c r="D15" s="7"/>
      <c r="E15" s="6" t="s">
        <v>23</v>
      </c>
      <c r="F15" s="6" t="s">
        <v>192</v>
      </c>
      <c r="G15" s="6" t="s">
        <v>687</v>
      </c>
      <c r="H15" s="6" t="s">
        <v>688</v>
      </c>
      <c r="I15" s="6" t="s">
        <v>689</v>
      </c>
      <c r="J15" s="6" t="s">
        <v>690</v>
      </c>
      <c r="K15" s="6" t="n">
        <v>1</v>
      </c>
      <c r="L15" s="6"/>
      <c r="M15" s="6" t="s">
        <v>180</v>
      </c>
      <c r="N15" s="6" t="s">
        <v>63</v>
      </c>
      <c r="O15" s="6" t="s">
        <v>290</v>
      </c>
      <c r="P15" s="6"/>
      <c r="Q15" s="6"/>
      <c r="R15" s="6"/>
      <c r="S15" s="6"/>
      <c r="T15" s="6"/>
    </row>
    <row r="16" customFormat="false" ht="23.85" hidden="false" customHeight="false" outlineLevel="0" collapsed="false">
      <c r="A16" s="6" t="n">
        <v>15</v>
      </c>
      <c r="B16" s="6" t="s">
        <v>10</v>
      </c>
      <c r="C16" s="7" t="n">
        <v>0.5</v>
      </c>
      <c r="D16" s="7"/>
      <c r="E16" s="6" t="s">
        <v>12</v>
      </c>
      <c r="F16" s="6" t="s">
        <v>199</v>
      </c>
      <c r="G16" s="6" t="s">
        <v>691</v>
      </c>
      <c r="H16" s="6" t="s">
        <v>692</v>
      </c>
      <c r="I16" s="6" t="s">
        <v>693</v>
      </c>
      <c r="J16" s="6" t="s">
        <v>694</v>
      </c>
      <c r="K16" s="6" t="n">
        <v>1</v>
      </c>
      <c r="L16" s="6"/>
      <c r="M16" s="6" t="s">
        <v>197</v>
      </c>
      <c r="N16" s="6" t="s">
        <v>55</v>
      </c>
      <c r="O16" s="6" t="s">
        <v>197</v>
      </c>
      <c r="P16" s="6"/>
      <c r="Q16" s="6"/>
      <c r="R16" s="6"/>
      <c r="S16" s="6"/>
      <c r="T16" s="6"/>
    </row>
    <row r="17" customFormat="false" ht="35.05" hidden="false" customHeight="false" outlineLevel="0" collapsed="false">
      <c r="A17" s="6" t="n">
        <v>16</v>
      </c>
      <c r="B17" s="6" t="s">
        <v>10</v>
      </c>
      <c r="C17" s="7" t="n">
        <v>0.5</v>
      </c>
      <c r="D17" s="7"/>
      <c r="E17" s="6" t="s">
        <v>26</v>
      </c>
      <c r="F17" s="6" t="s">
        <v>192</v>
      </c>
      <c r="G17" s="6" t="s">
        <v>695</v>
      </c>
      <c r="H17" s="6" t="s">
        <v>696</v>
      </c>
      <c r="I17" s="6" t="s">
        <v>697</v>
      </c>
      <c r="J17" s="6" t="s">
        <v>698</v>
      </c>
      <c r="K17" s="6" t="n">
        <v>2</v>
      </c>
      <c r="L17" s="6"/>
      <c r="M17" s="6" t="s">
        <v>240</v>
      </c>
      <c r="N17" s="6" t="s">
        <v>63</v>
      </c>
      <c r="O17" s="6" t="s">
        <v>240</v>
      </c>
      <c r="P17" s="6"/>
      <c r="Q17" s="6"/>
      <c r="R17" s="6"/>
      <c r="S17" s="6"/>
      <c r="T17" s="6"/>
    </row>
    <row r="18" customFormat="false" ht="23.85" hidden="false" customHeight="false" outlineLevel="0" collapsed="false">
      <c r="A18" s="6" t="n">
        <v>17</v>
      </c>
      <c r="B18" s="6" t="s">
        <v>10</v>
      </c>
      <c r="C18" s="7" t="n">
        <v>0.5</v>
      </c>
      <c r="D18" s="7"/>
      <c r="E18" s="6" t="s">
        <v>15</v>
      </c>
      <c r="F18" s="6" t="s">
        <v>192</v>
      </c>
      <c r="G18" s="6" t="s">
        <v>699</v>
      </c>
      <c r="H18" s="6" t="s">
        <v>700</v>
      </c>
      <c r="I18" s="6" t="s">
        <v>701</v>
      </c>
      <c r="J18" s="6" t="s">
        <v>702</v>
      </c>
      <c r="K18" s="6" t="n">
        <v>1</v>
      </c>
      <c r="L18" s="6"/>
      <c r="M18" s="6" t="s">
        <v>226</v>
      </c>
      <c r="N18" s="6" t="s">
        <v>55</v>
      </c>
      <c r="O18" s="6" t="s">
        <v>226</v>
      </c>
      <c r="P18" s="6" t="s">
        <v>703</v>
      </c>
      <c r="Q18" s="6"/>
      <c r="R18" s="6"/>
      <c r="S18" s="6"/>
      <c r="T18" s="6"/>
    </row>
    <row r="19" customFormat="false" ht="23.85" hidden="false" customHeight="false" outlineLevel="0" collapsed="false">
      <c r="A19" s="6" t="n">
        <v>18</v>
      </c>
      <c r="B19" s="6" t="s">
        <v>10</v>
      </c>
      <c r="C19" s="7" t="n">
        <v>0.506944444444444</v>
      </c>
      <c r="D19" s="7"/>
      <c r="E19" s="6" t="s">
        <v>28</v>
      </c>
      <c r="F19" s="6" t="s">
        <v>251</v>
      </c>
      <c r="G19" s="6" t="s">
        <v>704</v>
      </c>
      <c r="H19" s="6" t="s">
        <v>705</v>
      </c>
      <c r="I19" s="6" t="s">
        <v>706</v>
      </c>
      <c r="J19" s="6" t="s">
        <v>707</v>
      </c>
      <c r="K19" s="6" t="n">
        <v>1</v>
      </c>
      <c r="L19" s="6"/>
      <c r="M19" s="6" t="s">
        <v>28</v>
      </c>
      <c r="N19" s="6"/>
      <c r="O19" s="6" t="s">
        <v>28</v>
      </c>
      <c r="P19" s="6"/>
      <c r="Q19" s="6"/>
      <c r="R19" s="6"/>
      <c r="S19" s="6"/>
      <c r="T19" s="6"/>
    </row>
    <row r="20" customFormat="false" ht="23.85" hidden="false" customHeight="false" outlineLevel="0" collapsed="false">
      <c r="A20" s="6" t="n">
        <v>19</v>
      </c>
      <c r="B20" s="6" t="s">
        <v>10</v>
      </c>
      <c r="C20" s="7" t="n">
        <v>0.510416666666667</v>
      </c>
      <c r="D20" s="7"/>
      <c r="E20" s="6" t="s">
        <v>12</v>
      </c>
      <c r="F20" s="6" t="s">
        <v>192</v>
      </c>
      <c r="G20" s="6" t="s">
        <v>708</v>
      </c>
      <c r="H20" s="6" t="s">
        <v>709</v>
      </c>
      <c r="I20" s="6" t="s">
        <v>710</v>
      </c>
      <c r="J20" s="6" t="s">
        <v>711</v>
      </c>
      <c r="K20" s="6" t="n">
        <v>1</v>
      </c>
      <c r="L20" s="6"/>
      <c r="M20" s="6" t="s">
        <v>197</v>
      </c>
      <c r="N20" s="6" t="s">
        <v>55</v>
      </c>
      <c r="O20" s="6" t="s">
        <v>197</v>
      </c>
      <c r="P20" s="6"/>
      <c r="Q20" s="6"/>
      <c r="R20" s="6"/>
      <c r="S20" s="6"/>
      <c r="T20" s="6"/>
    </row>
    <row r="21" customFormat="false" ht="102.2" hidden="false" customHeight="false" outlineLevel="0" collapsed="false">
      <c r="A21" s="6" t="n">
        <v>20</v>
      </c>
      <c r="B21" s="6" t="s">
        <v>10</v>
      </c>
      <c r="C21" s="7" t="n">
        <v>0.510416666666667</v>
      </c>
      <c r="D21" s="7"/>
      <c r="E21" s="6" t="s">
        <v>15</v>
      </c>
      <c r="F21" s="6" t="s">
        <v>95</v>
      </c>
      <c r="G21" s="6" t="s">
        <v>712</v>
      </c>
      <c r="H21" s="6" t="s">
        <v>713</v>
      </c>
      <c r="I21" s="6" t="s">
        <v>714</v>
      </c>
      <c r="J21" s="6" t="s">
        <v>715</v>
      </c>
      <c r="K21" s="6" t="n">
        <v>3</v>
      </c>
      <c r="L21" s="6"/>
      <c r="M21" s="6" t="s">
        <v>226</v>
      </c>
      <c r="N21" s="6" t="s">
        <v>55</v>
      </c>
      <c r="O21" s="6" t="s">
        <v>226</v>
      </c>
      <c r="P21" s="6" t="s">
        <v>716</v>
      </c>
      <c r="Q21" s="6"/>
      <c r="R21" s="6"/>
      <c r="S21" s="6"/>
      <c r="T21" s="6"/>
    </row>
    <row r="22" customFormat="false" ht="158.2" hidden="false" customHeight="false" outlineLevel="0" collapsed="false">
      <c r="A22" s="6" t="n">
        <v>21</v>
      </c>
      <c r="B22" s="6" t="s">
        <v>10</v>
      </c>
      <c r="C22" s="7" t="n">
        <v>0.510416666666667</v>
      </c>
      <c r="D22" s="7"/>
      <c r="E22" s="6" t="s">
        <v>26</v>
      </c>
      <c r="F22" s="6" t="s">
        <v>181</v>
      </c>
      <c r="G22" s="6" t="s">
        <v>717</v>
      </c>
      <c r="H22" s="6" t="s">
        <v>718</v>
      </c>
      <c r="I22" s="6" t="s">
        <v>719</v>
      </c>
      <c r="J22" s="6" t="s">
        <v>720</v>
      </c>
      <c r="K22" s="6" t="n">
        <v>2</v>
      </c>
      <c r="L22" s="6"/>
      <c r="M22" s="6" t="s">
        <v>240</v>
      </c>
      <c r="N22" s="6" t="s">
        <v>63</v>
      </c>
      <c r="O22" s="6" t="s">
        <v>240</v>
      </c>
      <c r="P22" s="6" t="s">
        <v>721</v>
      </c>
      <c r="Q22" s="6"/>
      <c r="R22" s="6"/>
      <c r="S22" s="6"/>
      <c r="T22" s="6"/>
    </row>
    <row r="23" customFormat="false" ht="23.85" hidden="false" customHeight="false" outlineLevel="0" collapsed="false">
      <c r="A23" s="6" t="n">
        <v>22</v>
      </c>
      <c r="B23" s="6" t="s">
        <v>10</v>
      </c>
      <c r="C23" s="7" t="n">
        <v>0.510416666666667</v>
      </c>
      <c r="D23" s="7"/>
      <c r="E23" s="6" t="s">
        <v>20</v>
      </c>
      <c r="F23" s="6" t="s">
        <v>199</v>
      </c>
      <c r="G23" s="6" t="s">
        <v>722</v>
      </c>
      <c r="H23" s="6" t="s">
        <v>723</v>
      </c>
      <c r="I23" s="6" t="s">
        <v>724</v>
      </c>
      <c r="J23" s="6" t="s">
        <v>725</v>
      </c>
      <c r="K23" s="6" t="n">
        <v>1</v>
      </c>
      <c r="L23" s="6"/>
      <c r="M23" s="6" t="s">
        <v>220</v>
      </c>
      <c r="N23" s="6" t="s">
        <v>63</v>
      </c>
      <c r="O23" s="6" t="s">
        <v>221</v>
      </c>
      <c r="P23" s="6"/>
      <c r="Q23" s="6"/>
      <c r="R23" s="6"/>
      <c r="S23" s="6"/>
      <c r="T23" s="6"/>
    </row>
    <row r="24" customFormat="false" ht="35.05" hidden="false" customHeight="false" outlineLevel="0" collapsed="false">
      <c r="A24" s="6" t="n">
        <v>23</v>
      </c>
      <c r="B24" s="6" t="s">
        <v>10</v>
      </c>
      <c r="C24" s="7" t="n">
        <v>0.510416666666667</v>
      </c>
      <c r="D24" s="7"/>
      <c r="E24" s="6" t="s">
        <v>14</v>
      </c>
      <c r="F24" s="6" t="s">
        <v>192</v>
      </c>
      <c r="G24" s="6" t="s">
        <v>726</v>
      </c>
      <c r="H24" s="6" t="s">
        <v>727</v>
      </c>
      <c r="I24" s="6" t="s">
        <v>728</v>
      </c>
      <c r="J24" s="6" t="s">
        <v>729</v>
      </c>
      <c r="K24" s="6" t="n">
        <v>1</v>
      </c>
      <c r="L24" s="6"/>
      <c r="M24" s="6" t="s">
        <v>69</v>
      </c>
      <c r="N24" s="6" t="s">
        <v>55</v>
      </c>
      <c r="O24" s="6" t="s">
        <v>69</v>
      </c>
      <c r="P24" s="6"/>
      <c r="Q24" s="6"/>
      <c r="R24" s="6"/>
      <c r="S24" s="6"/>
      <c r="T24" s="6"/>
    </row>
    <row r="25" customFormat="false" ht="57.45" hidden="false" customHeight="false" outlineLevel="0" collapsed="false">
      <c r="A25" s="6" t="n">
        <v>24</v>
      </c>
      <c r="B25" s="6" t="s">
        <v>10</v>
      </c>
      <c r="C25" s="7" t="n">
        <v>0.510416666666667</v>
      </c>
      <c r="D25" s="7"/>
      <c r="E25" s="6" t="s">
        <v>23</v>
      </c>
      <c r="F25" s="6" t="s">
        <v>192</v>
      </c>
      <c r="G25" s="6" t="s">
        <v>730</v>
      </c>
      <c r="H25" s="6" t="s">
        <v>731</v>
      </c>
      <c r="I25" s="6" t="s">
        <v>732</v>
      </c>
      <c r="J25" s="6" t="s">
        <v>733</v>
      </c>
      <c r="K25" s="6" t="n">
        <v>2</v>
      </c>
      <c r="L25" s="6"/>
      <c r="M25" s="6" t="s">
        <v>180</v>
      </c>
      <c r="N25" s="6" t="s">
        <v>63</v>
      </c>
      <c r="O25" s="6" t="s">
        <v>290</v>
      </c>
      <c r="P25" s="6" t="s">
        <v>734</v>
      </c>
      <c r="Q25" s="6"/>
      <c r="R25" s="6"/>
      <c r="S25" s="6"/>
      <c r="T25" s="6"/>
    </row>
    <row r="26" customFormat="false" ht="15" hidden="false" customHeight="false" outlineLevel="0" collapsed="false">
      <c r="A26" s="6" t="n">
        <v>25</v>
      </c>
      <c r="B26" s="6" t="s">
        <v>10</v>
      </c>
      <c r="C26" s="7" t="n">
        <v>0.513888888888889</v>
      </c>
      <c r="D26" s="7"/>
      <c r="E26" s="6" t="s">
        <v>28</v>
      </c>
      <c r="F26" s="6" t="s">
        <v>251</v>
      </c>
      <c r="G26" s="6" t="s">
        <v>735</v>
      </c>
      <c r="H26" s="6" t="s">
        <v>736</v>
      </c>
      <c r="I26" s="6" t="s">
        <v>737</v>
      </c>
      <c r="J26" s="6" t="s">
        <v>738</v>
      </c>
      <c r="K26" s="6" t="n">
        <v>1</v>
      </c>
      <c r="L26" s="6"/>
      <c r="M26" s="6" t="s">
        <v>28</v>
      </c>
      <c r="N26" s="6"/>
      <c r="O26" s="6" t="s">
        <v>28</v>
      </c>
      <c r="P26" s="6"/>
      <c r="Q26" s="6"/>
      <c r="R26" s="6"/>
      <c r="S26" s="6"/>
      <c r="T26" s="6"/>
    </row>
    <row r="27" customFormat="false" ht="68.65" hidden="false" customHeight="false" outlineLevel="0" collapsed="false">
      <c r="A27" s="6" t="n">
        <v>26</v>
      </c>
      <c r="B27" s="6" t="s">
        <v>10</v>
      </c>
      <c r="C27" s="7" t="n">
        <v>0.520833333333333</v>
      </c>
      <c r="D27" s="7"/>
      <c r="E27" s="6" t="s">
        <v>20</v>
      </c>
      <c r="F27" s="6" t="s">
        <v>95</v>
      </c>
      <c r="G27" s="6" t="s">
        <v>739</v>
      </c>
      <c r="H27" s="6" t="s">
        <v>740</v>
      </c>
      <c r="I27" s="6" t="s">
        <v>741</v>
      </c>
      <c r="J27" s="6" t="s">
        <v>742</v>
      </c>
      <c r="K27" s="6" t="n">
        <v>3</v>
      </c>
      <c r="L27" s="6" t="n">
        <v>2</v>
      </c>
      <c r="M27" s="6" t="s">
        <v>220</v>
      </c>
      <c r="N27" s="6" t="s">
        <v>63</v>
      </c>
      <c r="O27" s="6" t="s">
        <v>221</v>
      </c>
      <c r="P27" s="6" t="s">
        <v>743</v>
      </c>
      <c r="Q27" s="6"/>
      <c r="R27" s="6"/>
      <c r="S27" s="6"/>
      <c r="T27" s="6"/>
    </row>
    <row r="28" customFormat="false" ht="91" hidden="false" customHeight="false" outlineLevel="0" collapsed="false">
      <c r="A28" s="6" t="n">
        <v>27</v>
      </c>
      <c r="B28" s="6" t="s">
        <v>10</v>
      </c>
      <c r="C28" s="7" t="n">
        <v>0.520833333333333</v>
      </c>
      <c r="D28" s="7"/>
      <c r="E28" s="6" t="s">
        <v>26</v>
      </c>
      <c r="F28" s="6" t="s">
        <v>95</v>
      </c>
      <c r="G28" s="6" t="s">
        <v>744</v>
      </c>
      <c r="H28" s="6" t="s">
        <v>745</v>
      </c>
      <c r="I28" s="6" t="s">
        <v>746</v>
      </c>
      <c r="J28" s="6" t="s">
        <v>747</v>
      </c>
      <c r="K28" s="6" t="n">
        <v>3</v>
      </c>
      <c r="L28" s="6" t="n">
        <v>1</v>
      </c>
      <c r="M28" s="6" t="s">
        <v>240</v>
      </c>
      <c r="N28" s="6" t="s">
        <v>63</v>
      </c>
      <c r="O28" s="6" t="s">
        <v>240</v>
      </c>
      <c r="P28" s="6" t="s">
        <v>748</v>
      </c>
      <c r="Q28" s="6"/>
      <c r="R28" s="6"/>
      <c r="S28" s="6"/>
      <c r="T28" s="6"/>
    </row>
    <row r="29" customFormat="false" ht="113.4" hidden="false" customHeight="false" outlineLevel="0" collapsed="false">
      <c r="A29" s="6" t="n">
        <v>28</v>
      </c>
      <c r="B29" s="6" t="s">
        <v>10</v>
      </c>
      <c r="C29" s="7" t="n">
        <v>0.520833333333333</v>
      </c>
      <c r="D29" s="7"/>
      <c r="E29" s="6" t="s">
        <v>14</v>
      </c>
      <c r="F29" s="6" t="s">
        <v>95</v>
      </c>
      <c r="G29" s="6" t="s">
        <v>749</v>
      </c>
      <c r="H29" s="6" t="s">
        <v>750</v>
      </c>
      <c r="I29" s="6" t="s">
        <v>751</v>
      </c>
      <c r="J29" s="6" t="s">
        <v>752</v>
      </c>
      <c r="K29" s="6" t="n">
        <v>3</v>
      </c>
      <c r="L29" s="6" t="n">
        <v>2</v>
      </c>
      <c r="M29" s="6" t="s">
        <v>69</v>
      </c>
      <c r="N29" s="6" t="s">
        <v>55</v>
      </c>
      <c r="O29" s="6" t="s">
        <v>69</v>
      </c>
      <c r="P29" s="6" t="s">
        <v>753</v>
      </c>
      <c r="Q29" s="6"/>
      <c r="R29" s="6"/>
      <c r="S29" s="6"/>
      <c r="T29" s="6"/>
    </row>
    <row r="30" customFormat="false" ht="57.45" hidden="false" customHeight="false" outlineLevel="0" collapsed="false">
      <c r="A30" s="6" t="n">
        <v>29</v>
      </c>
      <c r="B30" s="6" t="s">
        <v>10</v>
      </c>
      <c r="C30" s="7" t="n">
        <v>0.520833333333333</v>
      </c>
      <c r="D30" s="7"/>
      <c r="E30" s="6" t="s">
        <v>23</v>
      </c>
      <c r="F30" s="6" t="s">
        <v>199</v>
      </c>
      <c r="G30" s="6" t="s">
        <v>754</v>
      </c>
      <c r="H30" s="6" t="s">
        <v>755</v>
      </c>
      <c r="I30" s="6" t="s">
        <v>756</v>
      </c>
      <c r="J30" s="6" t="s">
        <v>757</v>
      </c>
      <c r="K30" s="6" t="n">
        <v>3</v>
      </c>
      <c r="L30" s="6" t="n">
        <v>3</v>
      </c>
      <c r="M30" s="6" t="s">
        <v>180</v>
      </c>
      <c r="N30" s="6" t="s">
        <v>63</v>
      </c>
      <c r="O30" s="6" t="s">
        <v>290</v>
      </c>
      <c r="P30" s="6" t="s">
        <v>758</v>
      </c>
      <c r="Q30" s="6"/>
      <c r="R30" s="6"/>
      <c r="S30" s="6"/>
      <c r="T30" s="6"/>
    </row>
    <row r="31" customFormat="false" ht="158.2" hidden="false" customHeight="false" outlineLevel="0" collapsed="false">
      <c r="A31" s="6" t="n">
        <v>30</v>
      </c>
      <c r="B31" s="6" t="s">
        <v>10</v>
      </c>
      <c r="C31" s="7" t="n">
        <v>0.520833333333333</v>
      </c>
      <c r="D31" s="7"/>
      <c r="E31" s="6" t="s">
        <v>12</v>
      </c>
      <c r="F31" s="6" t="s">
        <v>192</v>
      </c>
      <c r="G31" s="6" t="s">
        <v>759</v>
      </c>
      <c r="H31" s="6" t="s">
        <v>760</v>
      </c>
      <c r="I31" s="6" t="s">
        <v>761</v>
      </c>
      <c r="J31" s="6" t="s">
        <v>762</v>
      </c>
      <c r="K31" s="6" t="n">
        <v>2</v>
      </c>
      <c r="L31" s="6"/>
      <c r="M31" s="6" t="s">
        <v>197</v>
      </c>
      <c r="N31" s="6" t="s">
        <v>55</v>
      </c>
      <c r="O31" s="6" t="s">
        <v>197</v>
      </c>
      <c r="P31" s="6" t="s">
        <v>763</v>
      </c>
      <c r="Q31" s="6"/>
      <c r="R31" s="6"/>
      <c r="S31" s="6"/>
      <c r="T31" s="6"/>
    </row>
    <row r="32" customFormat="false" ht="15" hidden="false" customHeight="false" outlineLevel="0" collapsed="false">
      <c r="A32" s="6" t="n">
        <v>31</v>
      </c>
      <c r="B32" s="6" t="s">
        <v>10</v>
      </c>
      <c r="C32" s="7" t="n">
        <v>0.520833333333333</v>
      </c>
      <c r="D32" s="7"/>
      <c r="E32" s="6" t="s">
        <v>28</v>
      </c>
      <c r="F32" s="6" t="s">
        <v>251</v>
      </c>
      <c r="G32" s="6" t="s">
        <v>764</v>
      </c>
      <c r="H32" s="6" t="s">
        <v>765</v>
      </c>
      <c r="I32" s="6" t="s">
        <v>766</v>
      </c>
      <c r="J32" s="6" t="s">
        <v>767</v>
      </c>
      <c r="K32" s="6" t="n">
        <v>1</v>
      </c>
      <c r="L32" s="6"/>
      <c r="M32" s="6" t="s">
        <v>28</v>
      </c>
      <c r="N32" s="6"/>
      <c r="O32" s="6" t="s">
        <v>28</v>
      </c>
      <c r="P32" s="6"/>
      <c r="Q32" s="6"/>
      <c r="R32" s="6"/>
      <c r="S32" s="6"/>
      <c r="T32" s="6"/>
    </row>
    <row r="33" customFormat="false" ht="15" hidden="false" customHeight="false" outlineLevel="0" collapsed="false">
      <c r="A33" s="6" t="n">
        <v>32</v>
      </c>
      <c r="B33" s="6" t="s">
        <v>10</v>
      </c>
      <c r="C33" s="7" t="n">
        <v>0.527777777777778</v>
      </c>
      <c r="D33" s="7"/>
      <c r="E33" s="6" t="s">
        <v>28</v>
      </c>
      <c r="F33" s="6" t="s">
        <v>251</v>
      </c>
      <c r="G33" s="6" t="s">
        <v>768</v>
      </c>
      <c r="H33" s="6" t="s">
        <v>769</v>
      </c>
      <c r="I33" s="6" t="s">
        <v>770</v>
      </c>
      <c r="J33" s="6" t="s">
        <v>771</v>
      </c>
      <c r="K33" s="6" t="n">
        <v>1</v>
      </c>
      <c r="L33" s="6"/>
      <c r="M33" s="6" t="s">
        <v>28</v>
      </c>
      <c r="N33" s="6"/>
      <c r="O33" s="6" t="s">
        <v>28</v>
      </c>
      <c r="P33" s="6"/>
      <c r="Q33" s="6"/>
      <c r="R33" s="6"/>
      <c r="S33" s="6"/>
      <c r="T33" s="6"/>
    </row>
    <row r="34" customFormat="false" ht="57.45" hidden="false" customHeight="false" outlineLevel="0" collapsed="false">
      <c r="A34" s="6" t="n">
        <v>33</v>
      </c>
      <c r="B34" s="6" t="s">
        <v>10</v>
      </c>
      <c r="C34" s="7" t="n">
        <v>0.53125</v>
      </c>
      <c r="D34" s="7"/>
      <c r="E34" s="6" t="s">
        <v>12</v>
      </c>
      <c r="F34" s="6" t="s">
        <v>95</v>
      </c>
      <c r="G34" s="6" t="s">
        <v>772</v>
      </c>
      <c r="H34" s="6" t="s">
        <v>773</v>
      </c>
      <c r="I34" s="6" t="s">
        <v>774</v>
      </c>
      <c r="J34" s="6" t="s">
        <v>775</v>
      </c>
      <c r="K34" s="6" t="n">
        <v>3</v>
      </c>
      <c r="L34" s="6" t="n">
        <v>2</v>
      </c>
      <c r="M34" s="6" t="s">
        <v>197</v>
      </c>
      <c r="N34" s="6" t="s">
        <v>55</v>
      </c>
      <c r="O34" s="6" t="s">
        <v>197</v>
      </c>
      <c r="P34" s="6" t="s">
        <v>776</v>
      </c>
      <c r="Q34" s="6"/>
      <c r="R34" s="6"/>
      <c r="S34" s="6"/>
      <c r="T34" s="6"/>
    </row>
    <row r="35" customFormat="false" ht="23.85" hidden="false" customHeight="false" outlineLevel="0" collapsed="false">
      <c r="A35" s="6" t="n">
        <v>34</v>
      </c>
      <c r="B35" s="6" t="s">
        <v>10</v>
      </c>
      <c r="C35" s="7" t="n">
        <v>0.534722222222222</v>
      </c>
      <c r="D35" s="7"/>
      <c r="E35" s="6" t="s">
        <v>28</v>
      </c>
      <c r="F35" s="6" t="s">
        <v>251</v>
      </c>
      <c r="G35" s="6" t="s">
        <v>777</v>
      </c>
      <c r="H35" s="6" t="s">
        <v>778</v>
      </c>
      <c r="I35" s="6" t="s">
        <v>779</v>
      </c>
      <c r="J35" s="6" t="s">
        <v>780</v>
      </c>
      <c r="K35" s="6" t="n">
        <v>1</v>
      </c>
      <c r="L35" s="6"/>
      <c r="M35" s="6" t="s">
        <v>28</v>
      </c>
      <c r="N35" s="6"/>
      <c r="O35" s="6" t="s">
        <v>28</v>
      </c>
      <c r="P35" s="6"/>
      <c r="Q35" s="6"/>
      <c r="R35" s="6"/>
      <c r="S35" s="6"/>
      <c r="T35" s="6"/>
    </row>
    <row r="36" customFormat="false" ht="15" hidden="false" customHeight="false" outlineLevel="0" collapsed="false">
      <c r="A36" s="6" t="n">
        <v>35</v>
      </c>
      <c r="B36" s="6" t="s">
        <v>10</v>
      </c>
      <c r="C36" s="7" t="n">
        <v>0.541666666666667</v>
      </c>
      <c r="D36" s="7"/>
      <c r="E36" s="6" t="s">
        <v>28</v>
      </c>
      <c r="F36" s="6" t="s">
        <v>251</v>
      </c>
      <c r="G36" s="6" t="s">
        <v>781</v>
      </c>
      <c r="H36" s="6" t="s">
        <v>782</v>
      </c>
      <c r="I36" s="6" t="s">
        <v>783</v>
      </c>
      <c r="J36" s="6" t="s">
        <v>784</v>
      </c>
      <c r="K36" s="6" t="n">
        <v>1</v>
      </c>
      <c r="L36" s="6"/>
      <c r="M36" s="6" t="s">
        <v>28</v>
      </c>
      <c r="N36" s="6"/>
      <c r="O36" s="6" t="s">
        <v>28</v>
      </c>
      <c r="P36" s="6"/>
      <c r="Q36" s="6"/>
      <c r="R36" s="6"/>
      <c r="S36" s="6"/>
      <c r="T36" s="6"/>
    </row>
    <row r="37" customFormat="false" ht="15" hidden="false" customHeight="false" outlineLevel="0" collapsed="false">
      <c r="A37" s="6" t="n">
        <v>36</v>
      </c>
      <c r="B37" s="6" t="s">
        <v>10</v>
      </c>
      <c r="C37" s="7" t="n">
        <v>0.548611111111111</v>
      </c>
      <c r="D37" s="7"/>
      <c r="E37" s="6" t="s">
        <v>28</v>
      </c>
      <c r="F37" s="6" t="s">
        <v>251</v>
      </c>
      <c r="G37" s="6" t="s">
        <v>785</v>
      </c>
      <c r="H37" s="6" t="s">
        <v>786</v>
      </c>
      <c r="I37" s="6" t="s">
        <v>787</v>
      </c>
      <c r="J37" s="6" t="s">
        <v>788</v>
      </c>
      <c r="K37" s="6" t="n">
        <v>1</v>
      </c>
      <c r="L37" s="6"/>
      <c r="M37" s="6" t="s">
        <v>28</v>
      </c>
      <c r="N37" s="6"/>
      <c r="O37" s="6" t="s">
        <v>28</v>
      </c>
      <c r="P37" s="6"/>
      <c r="Q37" s="6"/>
      <c r="R37" s="6"/>
      <c r="S37" s="6"/>
      <c r="T37" s="6"/>
    </row>
    <row r="38" customFormat="false" ht="68.65" hidden="false" customHeight="false" outlineLevel="0" collapsed="false">
      <c r="A38" s="6" t="n">
        <v>37</v>
      </c>
      <c r="B38" s="6" t="s">
        <v>10</v>
      </c>
      <c r="C38" s="7" t="n">
        <v>0.552083333333333</v>
      </c>
      <c r="D38" s="7" t="n">
        <v>0.59375</v>
      </c>
      <c r="E38" s="6" t="s">
        <v>30</v>
      </c>
      <c r="F38" s="6" t="s">
        <v>30</v>
      </c>
      <c r="G38" s="6" t="s">
        <v>789</v>
      </c>
      <c r="H38" s="6" t="s">
        <v>790</v>
      </c>
      <c r="I38" s="6" t="s">
        <v>791</v>
      </c>
      <c r="J38" s="6"/>
      <c r="K38" s="6" t="n">
        <v>6</v>
      </c>
      <c r="L38" s="6"/>
      <c r="M38" s="6" t="s">
        <v>240</v>
      </c>
      <c r="N38" s="6" t="s">
        <v>63</v>
      </c>
      <c r="O38" s="6" t="s">
        <v>792</v>
      </c>
      <c r="P38" s="6"/>
      <c r="Q38" s="6" t="n">
        <v>26</v>
      </c>
      <c r="R38" s="6" t="n">
        <v>50</v>
      </c>
      <c r="S38" s="6" t="n">
        <f aca="false">R38-Q38</f>
        <v>24</v>
      </c>
      <c r="T38" s="6" t="s">
        <v>115</v>
      </c>
    </row>
    <row r="39" customFormat="false" ht="23.85" hidden="false" customHeight="false" outlineLevel="0" collapsed="false">
      <c r="A39" s="6" t="n">
        <v>38</v>
      </c>
      <c r="B39" s="6" t="s">
        <v>10</v>
      </c>
      <c r="C39" s="7" t="n">
        <v>0.555555555555556</v>
      </c>
      <c r="D39" s="7"/>
      <c r="E39" s="6" t="s">
        <v>28</v>
      </c>
      <c r="F39" s="6" t="s">
        <v>251</v>
      </c>
      <c r="G39" s="6" t="s">
        <v>793</v>
      </c>
      <c r="H39" s="6" t="s">
        <v>794</v>
      </c>
      <c r="I39" s="6" t="s">
        <v>795</v>
      </c>
      <c r="J39" s="6" t="s">
        <v>796</v>
      </c>
      <c r="K39" s="6" t="n">
        <v>1</v>
      </c>
      <c r="L39" s="6"/>
      <c r="M39" s="6" t="s">
        <v>28</v>
      </c>
      <c r="N39" s="6"/>
      <c r="O39" s="6" t="s">
        <v>28</v>
      </c>
      <c r="P39" s="6"/>
      <c r="Q39" s="6"/>
      <c r="R39" s="6"/>
      <c r="S39" s="6"/>
      <c r="T39" s="6"/>
    </row>
    <row r="40" customFormat="false" ht="79.85" hidden="false" customHeight="false" outlineLevel="0" collapsed="false">
      <c r="A40" s="6" t="n">
        <v>39</v>
      </c>
      <c r="B40" s="6" t="s">
        <v>10</v>
      </c>
      <c r="C40" s="7" t="n">
        <v>0.5625</v>
      </c>
      <c r="D40" s="7"/>
      <c r="E40" s="6" t="s">
        <v>13</v>
      </c>
      <c r="F40" s="6" t="s">
        <v>797</v>
      </c>
      <c r="G40" s="6" t="s">
        <v>798</v>
      </c>
      <c r="H40" s="6" t="s">
        <v>799</v>
      </c>
      <c r="I40" s="6" t="s">
        <v>800</v>
      </c>
      <c r="J40" s="6" t="s">
        <v>801</v>
      </c>
      <c r="K40" s="6" t="n">
        <v>3</v>
      </c>
      <c r="L40" s="6" t="n">
        <v>7</v>
      </c>
      <c r="M40" s="6" t="s">
        <v>62</v>
      </c>
      <c r="N40" s="6" t="s">
        <v>63</v>
      </c>
      <c r="O40" s="6" t="s">
        <v>802</v>
      </c>
      <c r="P40" s="6" t="s">
        <v>803</v>
      </c>
      <c r="Q40" s="6"/>
      <c r="R40" s="6"/>
      <c r="S40" s="6"/>
      <c r="T40" s="6"/>
    </row>
    <row r="41" customFormat="false" ht="15" hidden="false" customHeight="false" outlineLevel="0" collapsed="false">
      <c r="A41" s="6" t="n">
        <v>40</v>
      </c>
      <c r="B41" s="6" t="s">
        <v>10</v>
      </c>
      <c r="C41" s="7" t="n">
        <v>0.5625</v>
      </c>
      <c r="D41" s="7"/>
      <c r="E41" s="6" t="s">
        <v>28</v>
      </c>
      <c r="F41" s="6" t="s">
        <v>251</v>
      </c>
      <c r="G41" s="6" t="s">
        <v>804</v>
      </c>
      <c r="H41" s="6" t="s">
        <v>805</v>
      </c>
      <c r="I41" s="6" t="s">
        <v>806</v>
      </c>
      <c r="J41" s="6" t="s">
        <v>807</v>
      </c>
      <c r="K41" s="6" t="n">
        <v>1</v>
      </c>
      <c r="L41" s="6"/>
      <c r="M41" s="6" t="s">
        <v>28</v>
      </c>
      <c r="N41" s="6"/>
      <c r="O41" s="6" t="s">
        <v>28</v>
      </c>
      <c r="P41" s="6"/>
      <c r="Q41" s="6"/>
      <c r="R41" s="6"/>
      <c r="S41" s="6"/>
      <c r="T41" s="6"/>
    </row>
    <row r="42" customFormat="false" ht="23.85" hidden="false" customHeight="false" outlineLevel="0" collapsed="false">
      <c r="A42" s="6" t="n">
        <v>41</v>
      </c>
      <c r="B42" s="6" t="s">
        <v>10</v>
      </c>
      <c r="C42" s="7" t="n">
        <v>0.5625</v>
      </c>
      <c r="D42" s="7" t="n">
        <v>0.579861111111111</v>
      </c>
      <c r="E42" s="6" t="s">
        <v>27</v>
      </c>
      <c r="F42" s="6" t="s">
        <v>27</v>
      </c>
      <c r="G42" s="6" t="s">
        <v>808</v>
      </c>
      <c r="H42" s="6" t="s">
        <v>809</v>
      </c>
      <c r="I42" s="6" t="s">
        <v>809</v>
      </c>
      <c r="J42" s="6"/>
      <c r="K42" s="6" t="n">
        <v>1</v>
      </c>
      <c r="L42" s="6"/>
      <c r="M42" s="6" t="s">
        <v>113</v>
      </c>
      <c r="N42" s="6" t="s">
        <v>55</v>
      </c>
      <c r="O42" s="6" t="s">
        <v>810</v>
      </c>
      <c r="P42" s="6"/>
      <c r="Q42" s="6" t="n">
        <v>36</v>
      </c>
      <c r="R42" s="6" t="n">
        <v>40</v>
      </c>
      <c r="S42" s="6" t="n">
        <f aca="false">R42-Q42</f>
        <v>4</v>
      </c>
      <c r="T42" s="6" t="s">
        <v>115</v>
      </c>
    </row>
    <row r="43" customFormat="false" ht="23.85" hidden="false" customHeight="false" outlineLevel="0" collapsed="false">
      <c r="A43" s="6" t="n">
        <v>42</v>
      </c>
      <c r="B43" s="6" t="s">
        <v>10</v>
      </c>
      <c r="C43" s="7" t="n">
        <v>0.5625</v>
      </c>
      <c r="D43" s="7" t="n">
        <v>0.579861111111111</v>
      </c>
      <c r="E43" s="6" t="s">
        <v>27</v>
      </c>
      <c r="F43" s="6" t="s">
        <v>27</v>
      </c>
      <c r="G43" s="6" t="s">
        <v>811</v>
      </c>
      <c r="H43" s="6" t="s">
        <v>812</v>
      </c>
      <c r="I43" s="6" t="s">
        <v>812</v>
      </c>
      <c r="J43" s="6"/>
      <c r="K43" s="6" t="n">
        <v>1</v>
      </c>
      <c r="L43" s="6"/>
      <c r="M43" s="6" t="s">
        <v>113</v>
      </c>
      <c r="N43" s="6" t="s">
        <v>55</v>
      </c>
      <c r="O43" s="6" t="s">
        <v>810</v>
      </c>
      <c r="P43" s="6"/>
      <c r="Q43" s="6" t="n">
        <v>39</v>
      </c>
      <c r="R43" s="6" t="n">
        <v>50</v>
      </c>
      <c r="S43" s="6" t="n">
        <f aca="false">R43-Q43</f>
        <v>11</v>
      </c>
      <c r="T43" s="6" t="s">
        <v>115</v>
      </c>
    </row>
    <row r="44" customFormat="false" ht="46.25" hidden="false" customHeight="false" outlineLevel="0" collapsed="false">
      <c r="A44" s="6" t="n">
        <v>43</v>
      </c>
      <c r="B44" s="6" t="s">
        <v>10</v>
      </c>
      <c r="C44" s="7" t="n">
        <v>0.576388888888889</v>
      </c>
      <c r="D44" s="7"/>
      <c r="E44" s="6" t="s">
        <v>22</v>
      </c>
      <c r="F44" s="6" t="s">
        <v>199</v>
      </c>
      <c r="G44" s="6" t="s">
        <v>813</v>
      </c>
      <c r="H44" s="6" t="s">
        <v>814</v>
      </c>
      <c r="I44" s="6" t="s">
        <v>815</v>
      </c>
      <c r="J44" s="6" t="s">
        <v>816</v>
      </c>
      <c r="K44" s="6" t="n">
        <v>3</v>
      </c>
      <c r="L44" s="6" t="n">
        <v>3</v>
      </c>
      <c r="M44" s="6" t="s">
        <v>28</v>
      </c>
      <c r="N44" s="6"/>
      <c r="O44" s="6" t="s">
        <v>28</v>
      </c>
      <c r="P44" s="6"/>
      <c r="Q44" s="6"/>
      <c r="R44" s="6"/>
      <c r="S44" s="6"/>
      <c r="T44" s="6"/>
    </row>
    <row r="45" customFormat="false" ht="23.85" hidden="false" customHeight="false" outlineLevel="0" collapsed="false">
      <c r="A45" s="6" t="n">
        <v>44</v>
      </c>
      <c r="B45" s="6" t="s">
        <v>10</v>
      </c>
      <c r="C45" s="7" t="n">
        <v>0.583333333333333</v>
      </c>
      <c r="D45" s="7"/>
      <c r="E45" s="6" t="s">
        <v>20</v>
      </c>
      <c r="F45" s="6" t="s">
        <v>181</v>
      </c>
      <c r="G45" s="6" t="s">
        <v>817</v>
      </c>
      <c r="H45" s="6" t="s">
        <v>818</v>
      </c>
      <c r="I45" s="6" t="s">
        <v>819</v>
      </c>
      <c r="J45" s="6" t="s">
        <v>820</v>
      </c>
      <c r="K45" s="6" t="n">
        <v>2</v>
      </c>
      <c r="L45" s="6"/>
      <c r="M45" s="6" t="s">
        <v>220</v>
      </c>
      <c r="N45" s="6" t="s">
        <v>63</v>
      </c>
      <c r="O45" s="6" t="s">
        <v>221</v>
      </c>
      <c r="P45" s="6"/>
      <c r="Q45" s="6"/>
      <c r="R45" s="6"/>
      <c r="S45" s="6"/>
      <c r="T45" s="6"/>
    </row>
    <row r="46" customFormat="false" ht="23.85" hidden="false" customHeight="false" outlineLevel="0" collapsed="false">
      <c r="A46" s="6" t="n">
        <v>45</v>
      </c>
      <c r="B46" s="6" t="s">
        <v>10</v>
      </c>
      <c r="C46" s="7" t="n">
        <v>0.583333333333333</v>
      </c>
      <c r="D46" s="7"/>
      <c r="E46" s="6" t="s">
        <v>23</v>
      </c>
      <c r="F46" s="6" t="s">
        <v>181</v>
      </c>
      <c r="G46" s="6" t="s">
        <v>821</v>
      </c>
      <c r="H46" s="6" t="s">
        <v>822</v>
      </c>
      <c r="I46" s="6" t="s">
        <v>823</v>
      </c>
      <c r="J46" s="6" t="s">
        <v>824</v>
      </c>
      <c r="K46" s="6" t="n">
        <v>2</v>
      </c>
      <c r="L46" s="6"/>
      <c r="M46" s="6" t="s">
        <v>180</v>
      </c>
      <c r="N46" s="6" t="s">
        <v>63</v>
      </c>
      <c r="O46" s="6" t="s">
        <v>180</v>
      </c>
      <c r="P46" s="6"/>
      <c r="Q46" s="6"/>
      <c r="R46" s="6"/>
      <c r="S46" s="6"/>
      <c r="T46" s="6"/>
    </row>
    <row r="47" customFormat="false" ht="46.25" hidden="false" customHeight="false" outlineLevel="0" collapsed="false">
      <c r="A47" s="6" t="n">
        <v>46</v>
      </c>
      <c r="B47" s="6" t="s">
        <v>10</v>
      </c>
      <c r="C47" s="7" t="n">
        <v>0.583333333333333</v>
      </c>
      <c r="D47" s="7"/>
      <c r="E47" s="6" t="s">
        <v>14</v>
      </c>
      <c r="F47" s="6" t="s">
        <v>181</v>
      </c>
      <c r="G47" s="6" t="s">
        <v>825</v>
      </c>
      <c r="H47" s="6" t="s">
        <v>826</v>
      </c>
      <c r="I47" s="6" t="s">
        <v>827</v>
      </c>
      <c r="J47" s="6" t="s">
        <v>828</v>
      </c>
      <c r="K47" s="6" t="n">
        <v>2</v>
      </c>
      <c r="L47" s="6"/>
      <c r="M47" s="6" t="s">
        <v>69</v>
      </c>
      <c r="N47" s="6" t="s">
        <v>55</v>
      </c>
      <c r="O47" s="6" t="s">
        <v>69</v>
      </c>
      <c r="P47" s="6"/>
      <c r="Q47" s="6"/>
      <c r="R47" s="6"/>
      <c r="S47" s="6"/>
      <c r="T47" s="6"/>
    </row>
    <row r="48" customFormat="false" ht="35.05" hidden="false" customHeight="false" outlineLevel="0" collapsed="false">
      <c r="A48" s="6" t="n">
        <v>47</v>
      </c>
      <c r="B48" s="6" t="s">
        <v>10</v>
      </c>
      <c r="C48" s="7" t="n">
        <v>0.583333333333333</v>
      </c>
      <c r="D48" s="7"/>
      <c r="E48" s="6" t="s">
        <v>12</v>
      </c>
      <c r="F48" s="6" t="s">
        <v>181</v>
      </c>
      <c r="G48" s="6" t="s">
        <v>829</v>
      </c>
      <c r="H48" s="6" t="s">
        <v>830</v>
      </c>
      <c r="I48" s="6" t="s">
        <v>831</v>
      </c>
      <c r="J48" s="6" t="s">
        <v>832</v>
      </c>
      <c r="K48" s="6" t="n">
        <v>2</v>
      </c>
      <c r="L48" s="6"/>
      <c r="M48" s="6" t="s">
        <v>197</v>
      </c>
      <c r="N48" s="6" t="s">
        <v>55</v>
      </c>
      <c r="O48" s="6" t="s">
        <v>197</v>
      </c>
      <c r="P48" s="6"/>
      <c r="Q48" s="6"/>
      <c r="R48" s="6"/>
      <c r="S48" s="6"/>
      <c r="T48" s="6"/>
    </row>
    <row r="49" customFormat="false" ht="23.85" hidden="false" customHeight="false" outlineLevel="0" collapsed="false">
      <c r="A49" s="6" t="n">
        <v>48</v>
      </c>
      <c r="B49" s="6" t="s">
        <v>10</v>
      </c>
      <c r="C49" s="7" t="n">
        <v>0.59375</v>
      </c>
      <c r="D49" s="7"/>
      <c r="E49" s="6" t="s">
        <v>12</v>
      </c>
      <c r="F49" s="6" t="s">
        <v>199</v>
      </c>
      <c r="G49" s="6" t="s">
        <v>833</v>
      </c>
      <c r="H49" s="6" t="s">
        <v>834</v>
      </c>
      <c r="I49" s="6" t="s">
        <v>835</v>
      </c>
      <c r="J49" s="6" t="s">
        <v>836</v>
      </c>
      <c r="K49" s="6" t="n">
        <v>2</v>
      </c>
      <c r="L49" s="6"/>
      <c r="M49" s="6" t="s">
        <v>197</v>
      </c>
      <c r="N49" s="6" t="s">
        <v>55</v>
      </c>
      <c r="O49" s="6" t="s">
        <v>197</v>
      </c>
      <c r="P49" s="6"/>
      <c r="Q49" s="6"/>
      <c r="R49" s="6"/>
      <c r="S49" s="6"/>
      <c r="T49" s="6"/>
    </row>
    <row r="50" customFormat="false" ht="124.6" hidden="false" customHeight="false" outlineLevel="0" collapsed="false">
      <c r="A50" s="6" t="n">
        <v>49</v>
      </c>
      <c r="B50" s="6" t="s">
        <v>10</v>
      </c>
      <c r="C50" s="7" t="n">
        <v>0.59375</v>
      </c>
      <c r="D50" s="7"/>
      <c r="E50" s="6" t="s">
        <v>14</v>
      </c>
      <c r="F50" s="6" t="s">
        <v>95</v>
      </c>
      <c r="G50" s="6" t="s">
        <v>837</v>
      </c>
      <c r="H50" s="6" t="s">
        <v>838</v>
      </c>
      <c r="I50" s="6" t="s">
        <v>839</v>
      </c>
      <c r="J50" s="6" t="s">
        <v>840</v>
      </c>
      <c r="K50" s="6" t="n">
        <v>3</v>
      </c>
      <c r="L50" s="6" t="n">
        <v>5</v>
      </c>
      <c r="M50" s="6" t="s">
        <v>69</v>
      </c>
      <c r="N50" s="6" t="s">
        <v>55</v>
      </c>
      <c r="O50" s="6" t="s">
        <v>69</v>
      </c>
      <c r="P50" s="6" t="s">
        <v>841</v>
      </c>
      <c r="Q50" s="6"/>
      <c r="R50" s="6"/>
      <c r="S50" s="6"/>
      <c r="T50" s="6"/>
    </row>
    <row r="51" customFormat="false" ht="91" hidden="false" customHeight="false" outlineLevel="0" collapsed="false">
      <c r="A51" s="6" t="n">
        <v>50</v>
      </c>
      <c r="B51" s="6" t="s">
        <v>10</v>
      </c>
      <c r="C51" s="7" t="n">
        <v>0.59375</v>
      </c>
      <c r="D51" s="7"/>
      <c r="E51" s="6" t="s">
        <v>23</v>
      </c>
      <c r="F51" s="6" t="s">
        <v>199</v>
      </c>
      <c r="G51" s="6" t="s">
        <v>842</v>
      </c>
      <c r="H51" s="6" t="s">
        <v>843</v>
      </c>
      <c r="I51" s="6" t="s">
        <v>844</v>
      </c>
      <c r="J51" s="6" t="s">
        <v>845</v>
      </c>
      <c r="K51" s="6" t="n">
        <v>3</v>
      </c>
      <c r="L51" s="6"/>
      <c r="M51" s="6" t="s">
        <v>180</v>
      </c>
      <c r="N51" s="6" t="s">
        <v>63</v>
      </c>
      <c r="O51" s="6" t="s">
        <v>290</v>
      </c>
      <c r="P51" s="6" t="s">
        <v>846</v>
      </c>
      <c r="Q51" s="6"/>
      <c r="R51" s="6"/>
      <c r="S51" s="6"/>
      <c r="T51" s="6"/>
    </row>
    <row r="52" customFormat="false" ht="57.45" hidden="false" customHeight="false" outlineLevel="0" collapsed="false">
      <c r="A52" s="6" t="n">
        <v>51</v>
      </c>
      <c r="B52" s="6" t="s">
        <v>10</v>
      </c>
      <c r="C52" s="7" t="n">
        <v>0.59375</v>
      </c>
      <c r="D52" s="7"/>
      <c r="E52" s="6" t="s">
        <v>20</v>
      </c>
      <c r="F52" s="6" t="s">
        <v>95</v>
      </c>
      <c r="G52" s="6" t="s">
        <v>847</v>
      </c>
      <c r="H52" s="6" t="s">
        <v>848</v>
      </c>
      <c r="I52" s="6" t="s">
        <v>849</v>
      </c>
      <c r="J52" s="6" t="s">
        <v>850</v>
      </c>
      <c r="K52" s="6" t="n">
        <v>3</v>
      </c>
      <c r="L52" s="6" t="n">
        <v>2</v>
      </c>
      <c r="M52" s="6" t="s">
        <v>220</v>
      </c>
      <c r="N52" s="6" t="s">
        <v>63</v>
      </c>
      <c r="O52" s="6" t="s">
        <v>221</v>
      </c>
      <c r="P52" s="6" t="s">
        <v>851</v>
      </c>
      <c r="Q52" s="6"/>
      <c r="R52" s="6"/>
      <c r="S52" s="6"/>
      <c r="T52" s="6"/>
    </row>
    <row r="53" customFormat="false" ht="46.25" hidden="false" customHeight="false" outlineLevel="0" collapsed="false">
      <c r="A53" s="6" t="n">
        <v>52</v>
      </c>
      <c r="B53" s="6" t="s">
        <v>10</v>
      </c>
      <c r="C53" s="7" t="n">
        <v>0.604166666666667</v>
      </c>
      <c r="D53" s="7"/>
      <c r="E53" s="6" t="s">
        <v>12</v>
      </c>
      <c r="F53" s="6" t="s">
        <v>199</v>
      </c>
      <c r="G53" s="6" t="s">
        <v>852</v>
      </c>
      <c r="H53" s="6" t="s">
        <v>853</v>
      </c>
      <c r="I53" s="6" t="s">
        <v>854</v>
      </c>
      <c r="J53" s="6" t="s">
        <v>855</v>
      </c>
      <c r="K53" s="6" t="n">
        <v>3</v>
      </c>
      <c r="L53" s="6" t="n">
        <v>1</v>
      </c>
      <c r="M53" s="6" t="s">
        <v>197</v>
      </c>
      <c r="N53" s="6" t="s">
        <v>55</v>
      </c>
      <c r="O53" s="6" t="s">
        <v>197</v>
      </c>
      <c r="P53" s="6"/>
      <c r="Q53" s="6"/>
      <c r="R53" s="6"/>
      <c r="S53" s="6"/>
      <c r="T53" s="6"/>
    </row>
    <row r="54" customFormat="false" ht="79.85" hidden="false" customHeight="false" outlineLevel="0" collapsed="false">
      <c r="A54" s="6" t="n">
        <v>53</v>
      </c>
      <c r="B54" s="6" t="s">
        <v>10</v>
      </c>
      <c r="C54" s="7" t="n">
        <v>0.604166666666667</v>
      </c>
      <c r="D54" s="7"/>
      <c r="E54" s="6" t="s">
        <v>13</v>
      </c>
      <c r="F54" s="6" t="s">
        <v>95</v>
      </c>
      <c r="G54" s="6" t="s">
        <v>856</v>
      </c>
      <c r="H54" s="6" t="s">
        <v>857</v>
      </c>
      <c r="I54" s="6" t="s">
        <v>858</v>
      </c>
      <c r="J54" s="6" t="s">
        <v>859</v>
      </c>
      <c r="K54" s="6" t="n">
        <v>3</v>
      </c>
      <c r="L54" s="6" t="n">
        <v>3</v>
      </c>
      <c r="M54" s="6" t="s">
        <v>62</v>
      </c>
      <c r="N54" s="6" t="s">
        <v>63</v>
      </c>
      <c r="O54" s="6" t="s">
        <v>62</v>
      </c>
      <c r="P54" s="6" t="s">
        <v>860</v>
      </c>
      <c r="Q54" s="6"/>
      <c r="R54" s="6"/>
      <c r="S54" s="6"/>
      <c r="T54" s="6"/>
    </row>
    <row r="55" customFormat="false" ht="15" hidden="false" customHeight="false" outlineLevel="0" collapsed="false">
      <c r="A55" s="6" t="n">
        <v>54</v>
      </c>
      <c r="B55" s="6" t="s">
        <v>10</v>
      </c>
      <c r="C55" s="7" t="n">
        <v>0.614583333333333</v>
      </c>
      <c r="D55" s="7"/>
      <c r="E55" s="6" t="s">
        <v>28</v>
      </c>
      <c r="F55" s="6" t="s">
        <v>251</v>
      </c>
      <c r="G55" s="6" t="s">
        <v>861</v>
      </c>
      <c r="H55" s="6" t="s">
        <v>862</v>
      </c>
      <c r="I55" s="6" t="s">
        <v>863</v>
      </c>
      <c r="J55" s="6" t="s">
        <v>864</v>
      </c>
      <c r="K55" s="6" t="n">
        <v>1</v>
      </c>
      <c r="L55" s="6"/>
      <c r="M55" s="6" t="s">
        <v>28</v>
      </c>
      <c r="N55" s="6"/>
      <c r="O55" s="6" t="s">
        <v>28</v>
      </c>
      <c r="P55" s="6"/>
      <c r="Q55" s="6"/>
      <c r="R55" s="6"/>
      <c r="S55" s="6"/>
      <c r="T55" s="6"/>
    </row>
    <row r="56" customFormat="false" ht="46.25" hidden="false" customHeight="false" outlineLevel="0" collapsed="false">
      <c r="A56" s="6" t="n">
        <v>55</v>
      </c>
      <c r="B56" s="6" t="s">
        <v>10</v>
      </c>
      <c r="C56" s="7" t="n">
        <v>0.635416666666667</v>
      </c>
      <c r="D56" s="7"/>
      <c r="E56" s="6" t="s">
        <v>13</v>
      </c>
      <c r="F56" s="6" t="s">
        <v>797</v>
      </c>
      <c r="G56" s="6" t="s">
        <v>865</v>
      </c>
      <c r="H56" s="6" t="s">
        <v>866</v>
      </c>
      <c r="I56" s="6" t="s">
        <v>867</v>
      </c>
      <c r="J56" s="6" t="s">
        <v>868</v>
      </c>
      <c r="K56" s="6" t="n">
        <v>3</v>
      </c>
      <c r="L56" s="6" t="n">
        <v>6</v>
      </c>
      <c r="M56" s="6" t="s">
        <v>62</v>
      </c>
      <c r="N56" s="6" t="s">
        <v>63</v>
      </c>
      <c r="O56" s="6" t="s">
        <v>802</v>
      </c>
      <c r="P56" s="6"/>
      <c r="Q56" s="6"/>
      <c r="R56" s="6"/>
      <c r="S56" s="6"/>
      <c r="T5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7"/>
    <col collapsed="false" customWidth="true" hidden="false" outlineLevel="0" max="5" min="5" style="0" width="20"/>
    <col collapsed="false" customWidth="true" hidden="false" outlineLevel="0" max="6" min="6" style="0" width="14"/>
    <col collapsed="false" customWidth="true" hidden="false" outlineLevel="0" max="7" min="7" style="0" width="50"/>
    <col collapsed="false" customWidth="true" hidden="false" outlineLevel="0" max="8" min="8" style="0" width="55"/>
    <col collapsed="false" customWidth="true" hidden="false" outlineLevel="0" max="10" min="9" style="0" width="35"/>
    <col collapsed="false" customWidth="true" hidden="false" outlineLevel="0" max="11" min="11" style="0" width="9"/>
    <col collapsed="false" customWidth="true" hidden="false" outlineLevel="0" max="12" min="12" style="0" width="12"/>
    <col collapsed="false" customWidth="true" hidden="false" outlineLevel="0" max="13" min="13" style="0" width="26"/>
    <col collapsed="false" customWidth="true" hidden="false" outlineLevel="0" max="14" min="14" style="0" width="11"/>
    <col collapsed="false" customWidth="true" hidden="false" outlineLevel="0" max="15" min="15" style="0" width="26"/>
    <col collapsed="false" customWidth="true" hidden="false" outlineLevel="0" max="16" min="16" style="0" width="80"/>
    <col collapsed="false" customWidth="true" hidden="false" outlineLevel="0" max="17" min="17" style="0" width="10"/>
    <col collapsed="false" customWidth="true" hidden="false" outlineLevel="0" max="19" min="18" style="0" width="9"/>
    <col collapsed="false" customWidth="true" hidden="false" outlineLevel="0" max="20" min="20" style="0" width="13"/>
  </cols>
  <sheetData>
    <row r="1" customFormat="false" ht="30" hidden="false" customHeight="true" outlineLevel="0" collapsed="false">
      <c r="A1" s="5" t="s">
        <v>31</v>
      </c>
      <c r="B1" s="5" t="s">
        <v>32</v>
      </c>
      <c r="C1" s="5" t="s">
        <v>33</v>
      </c>
      <c r="D1" s="5" t="s">
        <v>34</v>
      </c>
      <c r="E1" s="5" t="s">
        <v>8</v>
      </c>
      <c r="F1" s="5" t="s">
        <v>35</v>
      </c>
      <c r="G1" s="5" t="s">
        <v>36</v>
      </c>
      <c r="H1" s="5" t="s">
        <v>37</v>
      </c>
      <c r="I1" s="5" t="s">
        <v>38</v>
      </c>
      <c r="J1" s="5" t="s">
        <v>39</v>
      </c>
      <c r="K1" s="5" t="s">
        <v>40</v>
      </c>
      <c r="L1" s="5" t="s">
        <v>41</v>
      </c>
      <c r="M1" s="5" t="s">
        <v>42</v>
      </c>
      <c r="N1" s="5" t="s">
        <v>43</v>
      </c>
      <c r="O1" s="5" t="s">
        <v>44</v>
      </c>
      <c r="P1" s="5" t="s">
        <v>45</v>
      </c>
      <c r="Q1" s="5" t="s">
        <v>46</v>
      </c>
      <c r="R1" s="5" t="s">
        <v>47</v>
      </c>
      <c r="S1" s="5" t="s">
        <v>48</v>
      </c>
      <c r="T1" s="5" t="s">
        <v>49</v>
      </c>
    </row>
    <row r="2" customFormat="false" ht="23.85" hidden="false" customHeight="false" outlineLevel="0" collapsed="false">
      <c r="A2" s="6" t="n">
        <v>1</v>
      </c>
      <c r="B2" s="6" t="s">
        <v>9</v>
      </c>
      <c r="C2" s="7" t="n">
        <v>0.34375</v>
      </c>
      <c r="D2" s="7"/>
      <c r="E2" s="6" t="s">
        <v>24</v>
      </c>
      <c r="F2" s="6" t="s">
        <v>24</v>
      </c>
      <c r="G2" s="6" t="s">
        <v>50</v>
      </c>
      <c r="H2" s="6" t="s">
        <v>51</v>
      </c>
      <c r="I2" s="6" t="s">
        <v>52</v>
      </c>
      <c r="J2" s="6" t="s">
        <v>53</v>
      </c>
      <c r="K2" s="6" t="n">
        <v>1</v>
      </c>
      <c r="L2" s="6"/>
      <c r="M2" s="6" t="s">
        <v>54</v>
      </c>
      <c r="N2" s="6" t="s">
        <v>55</v>
      </c>
      <c r="O2" s="6" t="s">
        <v>56</v>
      </c>
      <c r="P2" s="6"/>
      <c r="Q2" s="6"/>
      <c r="R2" s="6"/>
      <c r="S2" s="6"/>
      <c r="T2" s="6"/>
    </row>
    <row r="3" customFormat="false" ht="15" hidden="false" customHeight="false" outlineLevel="0" collapsed="false">
      <c r="A3" s="6" t="n">
        <v>2</v>
      </c>
      <c r="B3" s="6" t="s">
        <v>9</v>
      </c>
      <c r="C3" s="7" t="n">
        <v>0.381944444444444</v>
      </c>
      <c r="D3" s="7"/>
      <c r="E3" s="6" t="s">
        <v>13</v>
      </c>
      <c r="F3" s="6" t="s">
        <v>57</v>
      </c>
      <c r="G3" s="6" t="s">
        <v>58</v>
      </c>
      <c r="H3" s="6" t="s">
        <v>59</v>
      </c>
      <c r="I3" s="6" t="s">
        <v>60</v>
      </c>
      <c r="J3" s="6" t="s">
        <v>61</v>
      </c>
      <c r="K3" s="6" t="n">
        <v>1</v>
      </c>
      <c r="L3" s="6"/>
      <c r="M3" s="6" t="s">
        <v>62</v>
      </c>
      <c r="N3" s="6" t="s">
        <v>63</v>
      </c>
      <c r="O3" s="6" t="s">
        <v>64</v>
      </c>
      <c r="P3" s="6"/>
      <c r="Q3" s="6"/>
      <c r="R3" s="6"/>
      <c r="S3" s="6"/>
      <c r="T3" s="6"/>
    </row>
    <row r="4" customFormat="false" ht="23.85" hidden="false" customHeight="false" outlineLevel="0" collapsed="false">
      <c r="A4" s="6" t="n">
        <v>3</v>
      </c>
      <c r="B4" s="6" t="s">
        <v>9</v>
      </c>
      <c r="C4" s="7" t="n">
        <v>0.385416666666667</v>
      </c>
      <c r="D4" s="7"/>
      <c r="E4" s="6" t="s">
        <v>17</v>
      </c>
      <c r="F4" s="6" t="s">
        <v>57</v>
      </c>
      <c r="G4" s="6" t="s">
        <v>65</v>
      </c>
      <c r="H4" s="6" t="s">
        <v>66</v>
      </c>
      <c r="I4" s="6" t="s">
        <v>67</v>
      </c>
      <c r="J4" s="6" t="s">
        <v>68</v>
      </c>
      <c r="K4" s="6" t="n">
        <v>1</v>
      </c>
      <c r="L4" s="6"/>
      <c r="M4" s="6" t="s">
        <v>69</v>
      </c>
      <c r="N4" s="6" t="s">
        <v>55</v>
      </c>
      <c r="O4" s="6" t="s">
        <v>69</v>
      </c>
      <c r="P4" s="6"/>
      <c r="Q4" s="6"/>
      <c r="R4" s="6"/>
      <c r="S4" s="6"/>
      <c r="T4" s="6"/>
    </row>
    <row r="5" customFormat="false" ht="23.85" hidden="false" customHeight="false" outlineLevel="0" collapsed="false">
      <c r="A5" s="6" t="n">
        <v>4</v>
      </c>
      <c r="B5" s="6" t="s">
        <v>9</v>
      </c>
      <c r="C5" s="7" t="n">
        <v>0.388888888888889</v>
      </c>
      <c r="D5" s="7"/>
      <c r="E5" s="6" t="s">
        <v>17</v>
      </c>
      <c r="F5" s="6" t="s">
        <v>70</v>
      </c>
      <c r="G5" s="6" t="s">
        <v>71</v>
      </c>
      <c r="H5" s="6" t="s">
        <v>72</v>
      </c>
      <c r="I5" s="6" t="s">
        <v>73</v>
      </c>
      <c r="J5" s="6" t="s">
        <v>74</v>
      </c>
      <c r="K5" s="6" t="n">
        <v>2</v>
      </c>
      <c r="L5" s="6"/>
      <c r="M5" s="6" t="s">
        <v>69</v>
      </c>
      <c r="N5" s="6" t="s">
        <v>55</v>
      </c>
      <c r="O5" s="6" t="s">
        <v>69</v>
      </c>
      <c r="P5" s="6"/>
      <c r="Q5" s="6"/>
      <c r="R5" s="6"/>
      <c r="S5" s="6"/>
      <c r="T5" s="6"/>
    </row>
    <row r="6" customFormat="false" ht="23.85" hidden="false" customHeight="false" outlineLevel="0" collapsed="false">
      <c r="A6" s="6" t="n">
        <v>5</v>
      </c>
      <c r="B6" s="6" t="s">
        <v>9</v>
      </c>
      <c r="C6" s="7" t="n">
        <v>0.388888888888889</v>
      </c>
      <c r="D6" s="7"/>
      <c r="E6" s="6" t="s">
        <v>13</v>
      </c>
      <c r="F6" s="6" t="s">
        <v>70</v>
      </c>
      <c r="G6" s="6" t="s">
        <v>75</v>
      </c>
      <c r="H6" s="6" t="s">
        <v>76</v>
      </c>
      <c r="I6" s="6" t="s">
        <v>77</v>
      </c>
      <c r="J6" s="6" t="s">
        <v>78</v>
      </c>
      <c r="K6" s="6" t="n">
        <v>2</v>
      </c>
      <c r="L6" s="6"/>
      <c r="M6" s="6" t="s">
        <v>62</v>
      </c>
      <c r="N6" s="6" t="s">
        <v>63</v>
      </c>
      <c r="O6" s="6" t="s">
        <v>62</v>
      </c>
      <c r="P6" s="6"/>
      <c r="Q6" s="6"/>
      <c r="R6" s="6"/>
      <c r="S6" s="6"/>
      <c r="T6" s="6"/>
    </row>
    <row r="7" customFormat="false" ht="23.85" hidden="false" customHeight="false" outlineLevel="0" collapsed="false">
      <c r="A7" s="6" t="n">
        <v>6</v>
      </c>
      <c r="B7" s="6" t="s">
        <v>9</v>
      </c>
      <c r="C7" s="7" t="n">
        <v>0.395833333333333</v>
      </c>
      <c r="D7" s="7"/>
      <c r="E7" s="6" t="s">
        <v>13</v>
      </c>
      <c r="F7" s="6" t="s">
        <v>70</v>
      </c>
      <c r="G7" s="6" t="s">
        <v>79</v>
      </c>
      <c r="H7" s="6" t="s">
        <v>80</v>
      </c>
      <c r="I7" s="6" t="s">
        <v>81</v>
      </c>
      <c r="J7" s="6" t="s">
        <v>82</v>
      </c>
      <c r="K7" s="6" t="n">
        <v>2</v>
      </c>
      <c r="L7" s="6"/>
      <c r="M7" s="6" t="s">
        <v>62</v>
      </c>
      <c r="N7" s="6" t="s">
        <v>63</v>
      </c>
      <c r="O7" s="6" t="s">
        <v>62</v>
      </c>
      <c r="P7" s="6"/>
      <c r="Q7" s="6"/>
      <c r="R7" s="6"/>
      <c r="S7" s="6"/>
      <c r="T7" s="6"/>
    </row>
    <row r="8" customFormat="false" ht="35.05" hidden="false" customHeight="false" outlineLevel="0" collapsed="false">
      <c r="A8" s="6" t="n">
        <v>7</v>
      </c>
      <c r="B8" s="6" t="s">
        <v>9</v>
      </c>
      <c r="C8" s="7" t="n">
        <v>0.395833333333333</v>
      </c>
      <c r="D8" s="7"/>
      <c r="E8" s="6" t="s">
        <v>17</v>
      </c>
      <c r="F8" s="6" t="s">
        <v>70</v>
      </c>
      <c r="G8" s="6" t="s">
        <v>83</v>
      </c>
      <c r="H8" s="6" t="s">
        <v>84</v>
      </c>
      <c r="I8" s="6" t="s">
        <v>85</v>
      </c>
      <c r="J8" s="6" t="s">
        <v>86</v>
      </c>
      <c r="K8" s="6" t="n">
        <v>2</v>
      </c>
      <c r="L8" s="6"/>
      <c r="M8" s="6" t="s">
        <v>69</v>
      </c>
      <c r="N8" s="6" t="s">
        <v>55</v>
      </c>
      <c r="O8" s="6" t="s">
        <v>69</v>
      </c>
      <c r="P8" s="6"/>
      <c r="Q8" s="6"/>
      <c r="R8" s="6"/>
      <c r="S8" s="6"/>
      <c r="T8" s="6"/>
    </row>
    <row r="9" customFormat="false" ht="35.05" hidden="false" customHeight="false" outlineLevel="0" collapsed="false">
      <c r="A9" s="6" t="n">
        <v>8</v>
      </c>
      <c r="B9" s="6" t="s">
        <v>9</v>
      </c>
      <c r="C9" s="7" t="n">
        <v>0.402777777777778</v>
      </c>
      <c r="D9" s="7"/>
      <c r="E9" s="6" t="s">
        <v>17</v>
      </c>
      <c r="F9" s="6" t="s">
        <v>70</v>
      </c>
      <c r="G9" s="6" t="s">
        <v>87</v>
      </c>
      <c r="H9" s="6" t="s">
        <v>88</v>
      </c>
      <c r="I9" s="6" t="s">
        <v>89</v>
      </c>
      <c r="J9" s="6" t="s">
        <v>90</v>
      </c>
      <c r="K9" s="6" t="n">
        <v>2</v>
      </c>
      <c r="L9" s="6"/>
      <c r="M9" s="6" t="s">
        <v>69</v>
      </c>
      <c r="N9" s="6" t="s">
        <v>55</v>
      </c>
      <c r="O9" s="6" t="s">
        <v>69</v>
      </c>
      <c r="P9" s="6"/>
      <c r="Q9" s="6"/>
      <c r="R9" s="6"/>
      <c r="S9" s="6"/>
      <c r="T9" s="6"/>
    </row>
    <row r="10" customFormat="false" ht="23.85" hidden="false" customHeight="false" outlineLevel="0" collapsed="false">
      <c r="A10" s="6" t="n">
        <v>9</v>
      </c>
      <c r="B10" s="6" t="s">
        <v>9</v>
      </c>
      <c r="C10" s="7" t="n">
        <v>0.402777777777778</v>
      </c>
      <c r="D10" s="7"/>
      <c r="E10" s="6" t="s">
        <v>13</v>
      </c>
      <c r="F10" s="6" t="s">
        <v>70</v>
      </c>
      <c r="G10" s="6" t="s">
        <v>91</v>
      </c>
      <c r="H10" s="6" t="s">
        <v>92</v>
      </c>
      <c r="I10" s="6" t="s">
        <v>93</v>
      </c>
      <c r="J10" s="6" t="s">
        <v>94</v>
      </c>
      <c r="K10" s="6" t="n">
        <v>2</v>
      </c>
      <c r="L10" s="6"/>
      <c r="M10" s="6" t="s">
        <v>62</v>
      </c>
      <c r="N10" s="6" t="s">
        <v>63</v>
      </c>
      <c r="O10" s="6" t="s">
        <v>62</v>
      </c>
      <c r="P10" s="6"/>
      <c r="Q10" s="6"/>
      <c r="R10" s="6"/>
      <c r="S10" s="6"/>
      <c r="T10" s="6"/>
    </row>
    <row r="11" customFormat="false" ht="68.65" hidden="false" customHeight="false" outlineLevel="0" collapsed="false">
      <c r="A11" s="6" t="n">
        <v>10</v>
      </c>
      <c r="B11" s="6" t="s">
        <v>9</v>
      </c>
      <c r="C11" s="7" t="n">
        <v>0.409722222222222</v>
      </c>
      <c r="D11" s="7"/>
      <c r="E11" s="6" t="s">
        <v>13</v>
      </c>
      <c r="F11" s="6" t="s">
        <v>95</v>
      </c>
      <c r="G11" s="6" t="s">
        <v>96</v>
      </c>
      <c r="H11" s="6" t="s">
        <v>97</v>
      </c>
      <c r="I11" s="6" t="s">
        <v>98</v>
      </c>
      <c r="J11" s="6" t="s">
        <v>99</v>
      </c>
      <c r="K11" s="6" t="n">
        <v>3</v>
      </c>
      <c r="L11" s="6" t="n">
        <v>1</v>
      </c>
      <c r="M11" s="6" t="s">
        <v>62</v>
      </c>
      <c r="N11" s="6" t="s">
        <v>63</v>
      </c>
      <c r="O11" s="6" t="s">
        <v>62</v>
      </c>
      <c r="P11" s="6" t="s">
        <v>100</v>
      </c>
      <c r="Q11" s="6"/>
      <c r="R11" s="6"/>
      <c r="S11" s="6"/>
      <c r="T11" s="6"/>
    </row>
    <row r="12" customFormat="false" ht="23.85" hidden="false" customHeight="false" outlineLevel="0" collapsed="false">
      <c r="A12" s="6" t="n">
        <v>11</v>
      </c>
      <c r="B12" s="6" t="s">
        <v>9</v>
      </c>
      <c r="C12" s="7" t="n">
        <v>0.409722222222222</v>
      </c>
      <c r="D12" s="7"/>
      <c r="E12" s="6" t="s">
        <v>17</v>
      </c>
      <c r="F12" s="6" t="s">
        <v>70</v>
      </c>
      <c r="G12" s="6" t="s">
        <v>101</v>
      </c>
      <c r="H12" s="6" t="s">
        <v>102</v>
      </c>
      <c r="I12" s="6" t="s">
        <v>103</v>
      </c>
      <c r="J12" s="6" t="s">
        <v>104</v>
      </c>
      <c r="K12" s="6" t="n">
        <v>2</v>
      </c>
      <c r="L12" s="6"/>
      <c r="M12" s="6" t="s">
        <v>69</v>
      </c>
      <c r="N12" s="6" t="s">
        <v>55</v>
      </c>
      <c r="O12" s="6" t="s">
        <v>69</v>
      </c>
      <c r="P12" s="6"/>
      <c r="Q12" s="6"/>
      <c r="R12" s="6"/>
      <c r="S12" s="6"/>
      <c r="T12" s="6"/>
    </row>
    <row r="13" customFormat="false" ht="113.4" hidden="false" customHeight="false" outlineLevel="0" collapsed="false">
      <c r="A13" s="6" t="n">
        <v>12</v>
      </c>
      <c r="B13" s="6" t="s">
        <v>9</v>
      </c>
      <c r="C13" s="7" t="n">
        <v>0.416666666666667</v>
      </c>
      <c r="D13" s="7"/>
      <c r="E13" s="6" t="s">
        <v>17</v>
      </c>
      <c r="F13" s="6" t="s">
        <v>95</v>
      </c>
      <c r="G13" s="6" t="s">
        <v>105</v>
      </c>
      <c r="H13" s="6" t="s">
        <v>106</v>
      </c>
      <c r="I13" s="6" t="s">
        <v>107</v>
      </c>
      <c r="J13" s="6" t="s">
        <v>108</v>
      </c>
      <c r="K13" s="6" t="n">
        <v>3</v>
      </c>
      <c r="L13" s="6" t="n">
        <v>2</v>
      </c>
      <c r="M13" s="6" t="s">
        <v>69</v>
      </c>
      <c r="N13" s="6" t="s">
        <v>55</v>
      </c>
      <c r="O13" s="6" t="s">
        <v>69</v>
      </c>
      <c r="P13" s="6" t="s">
        <v>109</v>
      </c>
      <c r="Q13" s="6"/>
      <c r="R13" s="6"/>
      <c r="S13" s="6"/>
      <c r="T13" s="6"/>
    </row>
    <row r="14" customFormat="false" ht="23.85" hidden="false" customHeight="false" outlineLevel="0" collapsed="false">
      <c r="A14" s="6" t="n">
        <v>13</v>
      </c>
      <c r="B14" s="6" t="s">
        <v>9</v>
      </c>
      <c r="C14" s="7" t="n">
        <v>0.447916666666667</v>
      </c>
      <c r="D14" s="7" t="n">
        <v>0.479166666666667</v>
      </c>
      <c r="E14" s="6" t="s">
        <v>27</v>
      </c>
      <c r="F14" s="6" t="s">
        <v>27</v>
      </c>
      <c r="G14" s="6" t="s">
        <v>110</v>
      </c>
      <c r="H14" s="6" t="s">
        <v>111</v>
      </c>
      <c r="I14" s="6" t="s">
        <v>112</v>
      </c>
      <c r="J14" s="6"/>
      <c r="K14" s="6" t="n">
        <v>2</v>
      </c>
      <c r="L14" s="6"/>
      <c r="M14" s="6" t="s">
        <v>113</v>
      </c>
      <c r="N14" s="6" t="s">
        <v>55</v>
      </c>
      <c r="O14" s="6" t="s">
        <v>114</v>
      </c>
      <c r="P14" s="6"/>
      <c r="Q14" s="6" t="n">
        <v>36</v>
      </c>
      <c r="R14" s="6" t="n">
        <v>40</v>
      </c>
      <c r="S14" s="6" t="n">
        <f aca="false">R14-Q14</f>
        <v>4</v>
      </c>
      <c r="T14" s="6" t="s">
        <v>115</v>
      </c>
    </row>
    <row r="15" customFormat="false" ht="23.85" hidden="false" customHeight="false" outlineLevel="0" collapsed="false">
      <c r="A15" s="6" t="n">
        <v>14</v>
      </c>
      <c r="B15" s="6" t="s">
        <v>9</v>
      </c>
      <c r="C15" s="7" t="n">
        <v>0.447916666666667</v>
      </c>
      <c r="D15" s="7" t="n">
        <v>0.479166666666667</v>
      </c>
      <c r="E15" s="6" t="s">
        <v>27</v>
      </c>
      <c r="F15" s="6" t="s">
        <v>27</v>
      </c>
      <c r="G15" s="6" t="s">
        <v>116</v>
      </c>
      <c r="H15" s="6" t="s">
        <v>117</v>
      </c>
      <c r="I15" s="6" t="s">
        <v>118</v>
      </c>
      <c r="J15" s="6"/>
      <c r="K15" s="6" t="n">
        <v>2</v>
      </c>
      <c r="L15" s="6"/>
      <c r="M15" s="6" t="s">
        <v>113</v>
      </c>
      <c r="N15" s="6" t="s">
        <v>55</v>
      </c>
      <c r="O15" s="6" t="s">
        <v>114</v>
      </c>
      <c r="P15" s="6"/>
      <c r="Q15" s="6" t="n">
        <v>12</v>
      </c>
      <c r="R15" s="6" t="n">
        <v>40</v>
      </c>
      <c r="S15" s="6" t="n">
        <f aca="false">R15-Q15</f>
        <v>28</v>
      </c>
      <c r="T15" s="6" t="s">
        <v>115</v>
      </c>
    </row>
    <row r="16" customFormat="false" ht="23.85" hidden="false" customHeight="false" outlineLevel="0" collapsed="false">
      <c r="A16" s="6" t="n">
        <v>15</v>
      </c>
      <c r="B16" s="6" t="s">
        <v>9</v>
      </c>
      <c r="C16" s="7" t="n">
        <v>0.447916666666667</v>
      </c>
      <c r="D16" s="7" t="n">
        <v>0.479166666666667</v>
      </c>
      <c r="E16" s="6" t="s">
        <v>27</v>
      </c>
      <c r="F16" s="6" t="s">
        <v>27</v>
      </c>
      <c r="G16" s="6" t="s">
        <v>119</v>
      </c>
      <c r="H16" s="6" t="s">
        <v>120</v>
      </c>
      <c r="I16" s="6" t="s">
        <v>121</v>
      </c>
      <c r="J16" s="6"/>
      <c r="K16" s="6" t="n">
        <v>2</v>
      </c>
      <c r="L16" s="6"/>
      <c r="M16" s="6" t="s">
        <v>113</v>
      </c>
      <c r="N16" s="6" t="s">
        <v>55</v>
      </c>
      <c r="O16" s="6" t="s">
        <v>114</v>
      </c>
      <c r="P16" s="6"/>
      <c r="Q16" s="6" t="n">
        <v>50</v>
      </c>
      <c r="R16" s="6" t="n">
        <v>50</v>
      </c>
      <c r="S16" s="6" t="n">
        <f aca="false">R16-Q16</f>
        <v>0</v>
      </c>
      <c r="T16" s="6" t="s">
        <v>122</v>
      </c>
    </row>
    <row r="17" customFormat="false" ht="23.85" hidden="false" customHeight="false" outlineLevel="0" collapsed="false">
      <c r="A17" s="6" t="n">
        <v>16</v>
      </c>
      <c r="B17" s="6" t="s">
        <v>9</v>
      </c>
      <c r="C17" s="7" t="n">
        <v>0.447916666666667</v>
      </c>
      <c r="D17" s="7" t="n">
        <v>0.479166666666667</v>
      </c>
      <c r="E17" s="6" t="s">
        <v>27</v>
      </c>
      <c r="F17" s="6" t="s">
        <v>27</v>
      </c>
      <c r="G17" s="6" t="s">
        <v>123</v>
      </c>
      <c r="H17" s="6" t="s">
        <v>124</v>
      </c>
      <c r="I17" s="6" t="s">
        <v>125</v>
      </c>
      <c r="J17" s="6"/>
      <c r="K17" s="6" t="n">
        <v>2</v>
      </c>
      <c r="L17" s="6"/>
      <c r="M17" s="6" t="s">
        <v>113</v>
      </c>
      <c r="N17" s="6" t="s">
        <v>55</v>
      </c>
      <c r="O17" s="6" t="s">
        <v>114</v>
      </c>
      <c r="P17" s="6"/>
      <c r="Q17" s="6" t="n">
        <v>7</v>
      </c>
      <c r="R17" s="6" t="n">
        <v>40</v>
      </c>
      <c r="S17" s="6" t="n">
        <f aca="false">R17-Q17</f>
        <v>33</v>
      </c>
      <c r="T17" s="6" t="s">
        <v>115</v>
      </c>
    </row>
    <row r="18" customFormat="false" ht="35.05" hidden="false" customHeight="false" outlineLevel="0" collapsed="false">
      <c r="A18" s="6" t="n">
        <v>17</v>
      </c>
      <c r="B18" s="6" t="s">
        <v>9</v>
      </c>
      <c r="C18" s="7" t="n">
        <v>0.447916666666667</v>
      </c>
      <c r="D18" s="7" t="n">
        <v>0.479166666666667</v>
      </c>
      <c r="E18" s="6" t="s">
        <v>27</v>
      </c>
      <c r="F18" s="6" t="s">
        <v>27</v>
      </c>
      <c r="G18" s="6" t="s">
        <v>126</v>
      </c>
      <c r="H18" s="6" t="s">
        <v>127</v>
      </c>
      <c r="I18" s="6" t="s">
        <v>127</v>
      </c>
      <c r="J18" s="6"/>
      <c r="K18" s="6" t="n">
        <v>1</v>
      </c>
      <c r="L18" s="6"/>
      <c r="M18" s="6" t="s">
        <v>113</v>
      </c>
      <c r="N18" s="6" t="s">
        <v>55</v>
      </c>
      <c r="O18" s="6" t="s">
        <v>114</v>
      </c>
      <c r="P18" s="6"/>
      <c r="Q18" s="6" t="n">
        <v>18</v>
      </c>
      <c r="R18" s="6" t="n">
        <v>40</v>
      </c>
      <c r="S18" s="6" t="n">
        <f aca="false">R18-Q18</f>
        <v>22</v>
      </c>
      <c r="T18" s="6" t="s">
        <v>115</v>
      </c>
    </row>
    <row r="19" customFormat="false" ht="23.85" hidden="false" customHeight="false" outlineLevel="0" collapsed="false">
      <c r="A19" s="6" t="n">
        <v>18</v>
      </c>
      <c r="B19" s="6" t="s">
        <v>9</v>
      </c>
      <c r="C19" s="7" t="n">
        <v>0.447916666666667</v>
      </c>
      <c r="D19" s="7" t="n">
        <v>0.479166666666667</v>
      </c>
      <c r="E19" s="6" t="s">
        <v>27</v>
      </c>
      <c r="F19" s="6" t="s">
        <v>27</v>
      </c>
      <c r="G19" s="6" t="s">
        <v>128</v>
      </c>
      <c r="H19" s="6" t="s">
        <v>129</v>
      </c>
      <c r="I19" s="6" t="s">
        <v>130</v>
      </c>
      <c r="J19" s="6"/>
      <c r="K19" s="6" t="n">
        <v>2</v>
      </c>
      <c r="L19" s="6"/>
      <c r="M19" s="6" t="s">
        <v>113</v>
      </c>
      <c r="N19" s="6" t="s">
        <v>55</v>
      </c>
      <c r="O19" s="6" t="s">
        <v>114</v>
      </c>
      <c r="P19" s="6"/>
      <c r="Q19" s="6" t="n">
        <v>1</v>
      </c>
      <c r="R19" s="6" t="n">
        <v>40</v>
      </c>
      <c r="S19" s="6" t="n">
        <f aca="false">R19-Q19</f>
        <v>39</v>
      </c>
      <c r="T19" s="6" t="s">
        <v>115</v>
      </c>
    </row>
    <row r="20" customFormat="false" ht="23.85" hidden="false" customHeight="false" outlineLevel="0" collapsed="false">
      <c r="A20" s="6" t="n">
        <v>19</v>
      </c>
      <c r="B20" s="6" t="s">
        <v>9</v>
      </c>
      <c r="C20" s="7" t="n">
        <v>0.447916666666667</v>
      </c>
      <c r="D20" s="7" t="n">
        <v>0.479166666666667</v>
      </c>
      <c r="E20" s="6" t="s">
        <v>27</v>
      </c>
      <c r="F20" s="6" t="s">
        <v>27</v>
      </c>
      <c r="G20" s="6" t="s">
        <v>131</v>
      </c>
      <c r="H20" s="6" t="s">
        <v>132</v>
      </c>
      <c r="I20" s="6" t="s">
        <v>133</v>
      </c>
      <c r="J20" s="6"/>
      <c r="K20" s="6" t="n">
        <v>2</v>
      </c>
      <c r="L20" s="6"/>
      <c r="M20" s="6" t="s">
        <v>113</v>
      </c>
      <c r="N20" s="6" t="s">
        <v>55</v>
      </c>
      <c r="O20" s="6" t="s">
        <v>114</v>
      </c>
      <c r="P20" s="6"/>
      <c r="Q20" s="6" t="n">
        <v>31</v>
      </c>
      <c r="R20" s="6" t="n">
        <v>40</v>
      </c>
      <c r="S20" s="6" t="n">
        <f aca="false">R20-Q20</f>
        <v>9</v>
      </c>
      <c r="T20" s="6" t="s">
        <v>115</v>
      </c>
    </row>
    <row r="21" customFormat="false" ht="35.05" hidden="false" customHeight="false" outlineLevel="0" collapsed="false">
      <c r="A21" s="6" t="n">
        <v>20</v>
      </c>
      <c r="B21" s="6" t="s">
        <v>9</v>
      </c>
      <c r="C21" s="7" t="n">
        <v>0.447916666666667</v>
      </c>
      <c r="D21" s="7" t="n">
        <v>0.479166666666667</v>
      </c>
      <c r="E21" s="6" t="s">
        <v>27</v>
      </c>
      <c r="F21" s="6" t="s">
        <v>27</v>
      </c>
      <c r="G21" s="6" t="s">
        <v>134</v>
      </c>
      <c r="H21" s="6" t="s">
        <v>135</v>
      </c>
      <c r="I21" s="6" t="s">
        <v>136</v>
      </c>
      <c r="J21" s="6"/>
      <c r="K21" s="6" t="n">
        <v>2</v>
      </c>
      <c r="L21" s="6"/>
      <c r="M21" s="6" t="s">
        <v>113</v>
      </c>
      <c r="N21" s="6" t="s">
        <v>55</v>
      </c>
      <c r="O21" s="6" t="s">
        <v>114</v>
      </c>
      <c r="P21" s="6"/>
      <c r="Q21" s="6" t="n">
        <v>40</v>
      </c>
      <c r="R21" s="6" t="n">
        <v>40</v>
      </c>
      <c r="S21" s="6" t="n">
        <f aca="false">R21-Q21</f>
        <v>0</v>
      </c>
      <c r="T21" s="6" t="s">
        <v>122</v>
      </c>
    </row>
    <row r="22" customFormat="false" ht="35.05" hidden="false" customHeight="false" outlineLevel="0" collapsed="false">
      <c r="A22" s="6" t="n">
        <v>21</v>
      </c>
      <c r="B22" s="6" t="s">
        <v>9</v>
      </c>
      <c r="C22" s="7" t="n">
        <v>0.447916666666667</v>
      </c>
      <c r="D22" s="7" t="n">
        <v>0.479166666666667</v>
      </c>
      <c r="E22" s="6" t="s">
        <v>27</v>
      </c>
      <c r="F22" s="6" t="s">
        <v>27</v>
      </c>
      <c r="G22" s="6" t="s">
        <v>137</v>
      </c>
      <c r="H22" s="6" t="s">
        <v>138</v>
      </c>
      <c r="I22" s="6" t="s">
        <v>138</v>
      </c>
      <c r="J22" s="6"/>
      <c r="K22" s="6" t="n">
        <v>1</v>
      </c>
      <c r="L22" s="6"/>
      <c r="M22" s="6" t="s">
        <v>113</v>
      </c>
      <c r="N22" s="6" t="s">
        <v>55</v>
      </c>
      <c r="O22" s="6" t="s">
        <v>114</v>
      </c>
      <c r="P22" s="6"/>
      <c r="Q22" s="6" t="n">
        <v>9</v>
      </c>
      <c r="R22" s="6" t="n">
        <v>40</v>
      </c>
      <c r="S22" s="6" t="n">
        <f aca="false">R22-Q22</f>
        <v>31</v>
      </c>
      <c r="T22" s="6" t="s">
        <v>115</v>
      </c>
    </row>
    <row r="23" customFormat="false" ht="23.85" hidden="false" customHeight="false" outlineLevel="0" collapsed="false">
      <c r="A23" s="6" t="n">
        <v>22</v>
      </c>
      <c r="B23" s="6" t="s">
        <v>9</v>
      </c>
      <c r="C23" s="7" t="n">
        <v>0.447916666666667</v>
      </c>
      <c r="D23" s="7" t="n">
        <v>0.479166666666667</v>
      </c>
      <c r="E23" s="6" t="s">
        <v>27</v>
      </c>
      <c r="F23" s="6" t="s">
        <v>27</v>
      </c>
      <c r="G23" s="6" t="s">
        <v>139</v>
      </c>
      <c r="H23" s="6" t="s">
        <v>140</v>
      </c>
      <c r="I23" s="6" t="s">
        <v>141</v>
      </c>
      <c r="J23" s="6"/>
      <c r="K23" s="6" t="n">
        <v>2</v>
      </c>
      <c r="L23" s="6"/>
      <c r="M23" s="6" t="s">
        <v>113</v>
      </c>
      <c r="N23" s="6" t="s">
        <v>55</v>
      </c>
      <c r="O23" s="6" t="s">
        <v>114</v>
      </c>
      <c r="P23" s="6"/>
      <c r="Q23" s="6" t="n">
        <v>26</v>
      </c>
      <c r="R23" s="6" t="n">
        <v>40</v>
      </c>
      <c r="S23" s="6" t="n">
        <f aca="false">R23-Q23</f>
        <v>14</v>
      </c>
      <c r="T23" s="6" t="s">
        <v>115</v>
      </c>
    </row>
    <row r="24" customFormat="false" ht="23.85" hidden="false" customHeight="false" outlineLevel="0" collapsed="false">
      <c r="A24" s="6" t="n">
        <v>23</v>
      </c>
      <c r="B24" s="6" t="s">
        <v>9</v>
      </c>
      <c r="C24" s="7" t="n">
        <v>0.447916666666667</v>
      </c>
      <c r="D24" s="7" t="n">
        <v>0.479166666666667</v>
      </c>
      <c r="E24" s="6" t="s">
        <v>27</v>
      </c>
      <c r="F24" s="6" t="s">
        <v>27</v>
      </c>
      <c r="G24" s="6" t="s">
        <v>142</v>
      </c>
      <c r="H24" s="6" t="s">
        <v>143</v>
      </c>
      <c r="I24" s="6" t="s">
        <v>144</v>
      </c>
      <c r="J24" s="6"/>
      <c r="K24" s="6" t="n">
        <v>2</v>
      </c>
      <c r="L24" s="6"/>
      <c r="M24" s="6" t="s">
        <v>113</v>
      </c>
      <c r="N24" s="6" t="s">
        <v>55</v>
      </c>
      <c r="O24" s="6" t="s">
        <v>114</v>
      </c>
      <c r="P24" s="6"/>
      <c r="Q24" s="6" t="n">
        <v>23</v>
      </c>
      <c r="R24" s="6" t="n">
        <v>40</v>
      </c>
      <c r="S24" s="6" t="n">
        <f aca="false">R24-Q24</f>
        <v>17</v>
      </c>
      <c r="T24" s="6" t="s">
        <v>145</v>
      </c>
    </row>
    <row r="25" customFormat="false" ht="35.05" hidden="false" customHeight="false" outlineLevel="0" collapsed="false">
      <c r="A25" s="6" t="n">
        <v>24</v>
      </c>
      <c r="B25" s="6" t="s">
        <v>9</v>
      </c>
      <c r="C25" s="7" t="n">
        <v>0.447916666666667</v>
      </c>
      <c r="D25" s="7" t="n">
        <v>0.479166666666667</v>
      </c>
      <c r="E25" s="6" t="s">
        <v>27</v>
      </c>
      <c r="F25" s="6" t="s">
        <v>27</v>
      </c>
      <c r="G25" s="6" t="s">
        <v>146</v>
      </c>
      <c r="H25" s="6" t="s">
        <v>147</v>
      </c>
      <c r="I25" s="6" t="s">
        <v>148</v>
      </c>
      <c r="J25" s="6"/>
      <c r="K25" s="6" t="n">
        <v>2</v>
      </c>
      <c r="L25" s="6"/>
      <c r="M25" s="6" t="s">
        <v>113</v>
      </c>
      <c r="N25" s="6" t="s">
        <v>55</v>
      </c>
      <c r="O25" s="6" t="s">
        <v>114</v>
      </c>
      <c r="P25" s="6"/>
      <c r="Q25" s="6" t="n">
        <v>13</v>
      </c>
      <c r="R25" s="6" t="n">
        <v>40</v>
      </c>
      <c r="S25" s="6" t="n">
        <f aca="false">R25-Q25</f>
        <v>27</v>
      </c>
      <c r="T25" s="6" t="s">
        <v>115</v>
      </c>
    </row>
    <row r="26" customFormat="false" ht="23.85" hidden="false" customHeight="false" outlineLevel="0" collapsed="false">
      <c r="A26" s="6" t="n">
        <v>25</v>
      </c>
      <c r="B26" s="6" t="s">
        <v>9</v>
      </c>
      <c r="C26" s="7" t="n">
        <v>0.447916666666667</v>
      </c>
      <c r="D26" s="7" t="n">
        <v>0.479166666666667</v>
      </c>
      <c r="E26" s="6" t="s">
        <v>27</v>
      </c>
      <c r="F26" s="6" t="s">
        <v>27</v>
      </c>
      <c r="G26" s="6" t="s">
        <v>149</v>
      </c>
      <c r="H26" s="6" t="s">
        <v>150</v>
      </c>
      <c r="I26" s="6" t="s">
        <v>151</v>
      </c>
      <c r="J26" s="6"/>
      <c r="K26" s="6" t="n">
        <v>2</v>
      </c>
      <c r="L26" s="6"/>
      <c r="M26" s="6" t="s">
        <v>113</v>
      </c>
      <c r="N26" s="6" t="s">
        <v>55</v>
      </c>
      <c r="O26" s="6" t="s">
        <v>114</v>
      </c>
      <c r="P26" s="6"/>
      <c r="Q26" s="6" t="n">
        <v>3</v>
      </c>
      <c r="R26" s="6" t="n">
        <v>40</v>
      </c>
      <c r="S26" s="6" t="n">
        <f aca="false">R26-Q26</f>
        <v>37</v>
      </c>
      <c r="T26" s="6" t="s">
        <v>115</v>
      </c>
    </row>
    <row r="27" customFormat="false" ht="35.05" hidden="false" customHeight="false" outlineLevel="0" collapsed="false">
      <c r="A27" s="6" t="n">
        <v>26</v>
      </c>
      <c r="B27" s="6" t="s">
        <v>9</v>
      </c>
      <c r="C27" s="7" t="n">
        <v>0.447916666666667</v>
      </c>
      <c r="D27" s="7" t="n">
        <v>0.479166666666667</v>
      </c>
      <c r="E27" s="6" t="s">
        <v>27</v>
      </c>
      <c r="F27" s="6" t="s">
        <v>27</v>
      </c>
      <c r="G27" s="6" t="s">
        <v>152</v>
      </c>
      <c r="H27" s="6" t="s">
        <v>153</v>
      </c>
      <c r="I27" s="6" t="s">
        <v>154</v>
      </c>
      <c r="J27" s="6"/>
      <c r="K27" s="6" t="n">
        <v>2</v>
      </c>
      <c r="L27" s="6"/>
      <c r="M27" s="6" t="s">
        <v>113</v>
      </c>
      <c r="N27" s="6" t="s">
        <v>55</v>
      </c>
      <c r="O27" s="6" t="s">
        <v>114</v>
      </c>
      <c r="P27" s="6"/>
      <c r="Q27" s="6" t="n">
        <v>4</v>
      </c>
      <c r="R27" s="6" t="n">
        <v>40</v>
      </c>
      <c r="S27" s="6" t="n">
        <f aca="false">R27-Q27</f>
        <v>36</v>
      </c>
      <c r="T27" s="6" t="s">
        <v>115</v>
      </c>
    </row>
    <row r="28" customFormat="false" ht="23.85" hidden="false" customHeight="false" outlineLevel="0" collapsed="false">
      <c r="A28" s="6" t="n">
        <v>27</v>
      </c>
      <c r="B28" s="6" t="s">
        <v>9</v>
      </c>
      <c r="C28" s="7" t="n">
        <v>0.447916666666667</v>
      </c>
      <c r="D28" s="7" t="n">
        <v>0.479166666666667</v>
      </c>
      <c r="E28" s="6" t="s">
        <v>27</v>
      </c>
      <c r="F28" s="6" t="s">
        <v>27</v>
      </c>
      <c r="G28" s="6" t="s">
        <v>155</v>
      </c>
      <c r="H28" s="6" t="s">
        <v>156</v>
      </c>
      <c r="I28" s="6" t="s">
        <v>157</v>
      </c>
      <c r="J28" s="6"/>
      <c r="K28" s="6" t="n">
        <v>2</v>
      </c>
      <c r="L28" s="6"/>
      <c r="M28" s="6" t="s">
        <v>113</v>
      </c>
      <c r="N28" s="6" t="s">
        <v>55</v>
      </c>
      <c r="O28" s="6" t="s">
        <v>114</v>
      </c>
      <c r="P28" s="6"/>
      <c r="Q28" s="6" t="n">
        <v>10</v>
      </c>
      <c r="R28" s="6" t="n">
        <v>40</v>
      </c>
      <c r="S28" s="6" t="n">
        <f aca="false">R28-Q28</f>
        <v>30</v>
      </c>
      <c r="T28" s="6" t="s">
        <v>115</v>
      </c>
    </row>
    <row r="29" customFormat="false" ht="23.85" hidden="false" customHeight="false" outlineLevel="0" collapsed="false">
      <c r="A29" s="6" t="n">
        <v>28</v>
      </c>
      <c r="B29" s="6" t="s">
        <v>9</v>
      </c>
      <c r="C29" s="7" t="n">
        <v>0.447916666666667</v>
      </c>
      <c r="D29" s="7" t="n">
        <v>0.479166666666667</v>
      </c>
      <c r="E29" s="6" t="s">
        <v>27</v>
      </c>
      <c r="F29" s="6" t="s">
        <v>27</v>
      </c>
      <c r="G29" s="6" t="s">
        <v>158</v>
      </c>
      <c r="H29" s="6" t="s">
        <v>159</v>
      </c>
      <c r="I29" s="6" t="s">
        <v>160</v>
      </c>
      <c r="J29" s="6"/>
      <c r="K29" s="6" t="n">
        <v>2</v>
      </c>
      <c r="L29" s="6"/>
      <c r="M29" s="6" t="s">
        <v>113</v>
      </c>
      <c r="N29" s="6" t="s">
        <v>55</v>
      </c>
      <c r="O29" s="6" t="s">
        <v>114</v>
      </c>
      <c r="P29" s="6"/>
      <c r="Q29" s="6" t="n">
        <v>9</v>
      </c>
      <c r="R29" s="6" t="n">
        <v>40</v>
      </c>
      <c r="S29" s="6" t="n">
        <f aca="false">R29-Q29</f>
        <v>31</v>
      </c>
      <c r="T29" s="6" t="s">
        <v>115</v>
      </c>
    </row>
    <row r="30" customFormat="false" ht="23.85" hidden="false" customHeight="false" outlineLevel="0" collapsed="false">
      <c r="A30" s="6" t="n">
        <v>29</v>
      </c>
      <c r="B30" s="6" t="s">
        <v>9</v>
      </c>
      <c r="C30" s="7" t="n">
        <v>0.447916666666667</v>
      </c>
      <c r="D30" s="7" t="n">
        <v>0.479166666666667</v>
      </c>
      <c r="E30" s="6" t="s">
        <v>27</v>
      </c>
      <c r="F30" s="6" t="s">
        <v>27</v>
      </c>
      <c r="G30" s="6" t="s">
        <v>161</v>
      </c>
      <c r="H30" s="6" t="s">
        <v>162</v>
      </c>
      <c r="I30" s="6" t="s">
        <v>163</v>
      </c>
      <c r="J30" s="6"/>
      <c r="K30" s="6" t="n">
        <v>2</v>
      </c>
      <c r="L30" s="6"/>
      <c r="M30" s="6" t="s">
        <v>113</v>
      </c>
      <c r="N30" s="6" t="s">
        <v>55</v>
      </c>
      <c r="O30" s="6" t="s">
        <v>114</v>
      </c>
      <c r="P30" s="6"/>
      <c r="Q30" s="6" t="n">
        <v>18</v>
      </c>
      <c r="R30" s="6" t="n">
        <v>40</v>
      </c>
      <c r="S30" s="6" t="n">
        <f aca="false">R30-Q30</f>
        <v>22</v>
      </c>
      <c r="T30" s="6" t="s">
        <v>115</v>
      </c>
    </row>
    <row r="31" customFormat="false" ht="23.85" hidden="false" customHeight="false" outlineLevel="0" collapsed="false">
      <c r="A31" s="6" t="n">
        <v>30</v>
      </c>
      <c r="B31" s="6" t="s">
        <v>9</v>
      </c>
      <c r="C31" s="7" t="n">
        <v>0.447916666666667</v>
      </c>
      <c r="D31" s="7" t="n">
        <v>0.479166666666667</v>
      </c>
      <c r="E31" s="6" t="s">
        <v>27</v>
      </c>
      <c r="F31" s="6" t="s">
        <v>27</v>
      </c>
      <c r="G31" s="6" t="s">
        <v>164</v>
      </c>
      <c r="H31" s="6" t="s">
        <v>165</v>
      </c>
      <c r="I31" s="6" t="s">
        <v>166</v>
      </c>
      <c r="J31" s="6"/>
      <c r="K31" s="6" t="n">
        <v>2</v>
      </c>
      <c r="L31" s="6"/>
      <c r="M31" s="6" t="s">
        <v>113</v>
      </c>
      <c r="N31" s="6" t="s">
        <v>55</v>
      </c>
      <c r="O31" s="6" t="s">
        <v>114</v>
      </c>
      <c r="P31" s="6"/>
      <c r="Q31" s="6" t="n">
        <v>4</v>
      </c>
      <c r="R31" s="6" t="n">
        <v>40</v>
      </c>
      <c r="S31" s="6" t="n">
        <f aca="false">R31-Q31</f>
        <v>36</v>
      </c>
      <c r="T31" s="6" t="s">
        <v>115</v>
      </c>
    </row>
    <row r="32" customFormat="false" ht="23.85" hidden="false" customHeight="false" outlineLevel="0" collapsed="false">
      <c r="A32" s="6" t="n">
        <v>31</v>
      </c>
      <c r="B32" s="6" t="s">
        <v>9</v>
      </c>
      <c r="C32" s="7" t="n">
        <v>0.447916666666667</v>
      </c>
      <c r="D32" s="7" t="n">
        <v>0.479166666666667</v>
      </c>
      <c r="E32" s="6" t="s">
        <v>27</v>
      </c>
      <c r="F32" s="6" t="s">
        <v>27</v>
      </c>
      <c r="G32" s="6" t="s">
        <v>167</v>
      </c>
      <c r="H32" s="6" t="s">
        <v>168</v>
      </c>
      <c r="I32" s="6" t="s">
        <v>169</v>
      </c>
      <c r="J32" s="6"/>
      <c r="K32" s="6" t="n">
        <v>2</v>
      </c>
      <c r="L32" s="6"/>
      <c r="M32" s="6" t="s">
        <v>113</v>
      </c>
      <c r="N32" s="6" t="s">
        <v>55</v>
      </c>
      <c r="O32" s="6" t="s">
        <v>114</v>
      </c>
      <c r="P32" s="6"/>
      <c r="Q32" s="6" t="n">
        <v>40</v>
      </c>
      <c r="R32" s="6" t="n">
        <v>40</v>
      </c>
      <c r="S32" s="6" t="n">
        <f aca="false">R32-Q32</f>
        <v>0</v>
      </c>
      <c r="T32" s="6" t="s">
        <v>122</v>
      </c>
    </row>
    <row r="33" customFormat="false" ht="35.05" hidden="false" customHeight="false" outlineLevel="0" collapsed="false">
      <c r="A33" s="6" t="n">
        <v>32</v>
      </c>
      <c r="B33" s="6" t="s">
        <v>9</v>
      </c>
      <c r="C33" s="7" t="n">
        <v>0.447916666666667</v>
      </c>
      <c r="D33" s="7" t="n">
        <v>0.479166666666667</v>
      </c>
      <c r="E33" s="6" t="s">
        <v>27</v>
      </c>
      <c r="F33" s="6" t="s">
        <v>27</v>
      </c>
      <c r="G33" s="6" t="s">
        <v>170</v>
      </c>
      <c r="H33" s="6" t="s">
        <v>171</v>
      </c>
      <c r="I33" s="6" t="s">
        <v>172</v>
      </c>
      <c r="J33" s="6"/>
      <c r="K33" s="6" t="n">
        <v>2</v>
      </c>
      <c r="L33" s="6"/>
      <c r="M33" s="6" t="s">
        <v>113</v>
      </c>
      <c r="N33" s="6" t="s">
        <v>55</v>
      </c>
      <c r="O33" s="6" t="s">
        <v>114</v>
      </c>
      <c r="P33" s="6"/>
      <c r="Q33" s="6" t="n">
        <v>10</v>
      </c>
      <c r="R33" s="6" t="n">
        <v>40</v>
      </c>
      <c r="S33" s="6" t="n">
        <f aca="false">R33-Q33</f>
        <v>30</v>
      </c>
      <c r="T33" s="6" t="s">
        <v>115</v>
      </c>
    </row>
    <row r="34" customFormat="false" ht="35.05" hidden="false" customHeight="false" outlineLevel="0" collapsed="false">
      <c r="A34" s="6" t="n">
        <v>33</v>
      </c>
      <c r="B34" s="6" t="s">
        <v>9</v>
      </c>
      <c r="C34" s="7" t="n">
        <v>0.479166666666667</v>
      </c>
      <c r="D34" s="7"/>
      <c r="E34" s="6" t="s">
        <v>24</v>
      </c>
      <c r="F34" s="6" t="s">
        <v>24</v>
      </c>
      <c r="G34" s="6" t="s">
        <v>173</v>
      </c>
      <c r="H34" s="6" t="s">
        <v>51</v>
      </c>
      <c r="I34" s="6" t="s">
        <v>52</v>
      </c>
      <c r="J34" s="6" t="s">
        <v>53</v>
      </c>
      <c r="K34" s="6" t="n">
        <v>1</v>
      </c>
      <c r="L34" s="6"/>
      <c r="M34" s="6" t="s">
        <v>54</v>
      </c>
      <c r="N34" s="6" t="s">
        <v>55</v>
      </c>
      <c r="O34" s="6" t="s">
        <v>56</v>
      </c>
      <c r="P34" s="6" t="s">
        <v>174</v>
      </c>
      <c r="Q34" s="6"/>
      <c r="R34" s="6"/>
      <c r="S34" s="6"/>
      <c r="T34" s="6"/>
    </row>
    <row r="35" customFormat="false" ht="15" hidden="false" customHeight="false" outlineLevel="0" collapsed="false">
      <c r="A35" s="6" t="n">
        <v>34</v>
      </c>
      <c r="B35" s="6" t="s">
        <v>9</v>
      </c>
      <c r="C35" s="7" t="n">
        <v>0.517361111111111</v>
      </c>
      <c r="D35" s="7"/>
      <c r="E35" s="6" t="s">
        <v>23</v>
      </c>
      <c r="F35" s="6" t="s">
        <v>175</v>
      </c>
      <c r="G35" s="6" t="s">
        <v>176</v>
      </c>
      <c r="H35" s="6" t="s">
        <v>177</v>
      </c>
      <c r="I35" s="6" t="s">
        <v>178</v>
      </c>
      <c r="J35" s="6" t="s">
        <v>179</v>
      </c>
      <c r="K35" s="6" t="n">
        <v>1</v>
      </c>
      <c r="L35" s="6"/>
      <c r="M35" s="6" t="s">
        <v>180</v>
      </c>
      <c r="N35" s="6" t="s">
        <v>63</v>
      </c>
      <c r="O35" s="6" t="s">
        <v>180</v>
      </c>
      <c r="P35" s="6"/>
      <c r="Q35" s="6"/>
      <c r="R35" s="6"/>
      <c r="S35" s="6"/>
      <c r="T35" s="6"/>
    </row>
    <row r="36" customFormat="false" ht="35.05" hidden="false" customHeight="false" outlineLevel="0" collapsed="false">
      <c r="A36" s="6" t="n">
        <v>35</v>
      </c>
      <c r="B36" s="6" t="s">
        <v>9</v>
      </c>
      <c r="C36" s="7" t="n">
        <v>0.520833333333333</v>
      </c>
      <c r="D36" s="7"/>
      <c r="E36" s="6" t="s">
        <v>29</v>
      </c>
      <c r="F36" s="6" t="s">
        <v>181</v>
      </c>
      <c r="G36" s="6" t="s">
        <v>182</v>
      </c>
      <c r="H36" s="6" t="s">
        <v>183</v>
      </c>
      <c r="I36" s="6" t="s">
        <v>184</v>
      </c>
      <c r="J36" s="6" t="s">
        <v>185</v>
      </c>
      <c r="K36" s="6" t="n">
        <v>2</v>
      </c>
      <c r="L36" s="6"/>
      <c r="M36" s="6" t="s">
        <v>186</v>
      </c>
      <c r="N36" s="6" t="s">
        <v>55</v>
      </c>
      <c r="O36" s="6" t="s">
        <v>186</v>
      </c>
      <c r="P36" s="6"/>
      <c r="Q36" s="6"/>
      <c r="R36" s="6"/>
      <c r="S36" s="6"/>
      <c r="T36" s="6"/>
    </row>
    <row r="37" customFormat="false" ht="15" hidden="false" customHeight="false" outlineLevel="0" collapsed="false">
      <c r="A37" s="6" t="n">
        <v>36</v>
      </c>
      <c r="B37" s="6" t="s">
        <v>9</v>
      </c>
      <c r="C37" s="7" t="n">
        <v>0.520833333333333</v>
      </c>
      <c r="D37" s="7"/>
      <c r="E37" s="6" t="s">
        <v>23</v>
      </c>
      <c r="F37" s="6" t="s">
        <v>57</v>
      </c>
      <c r="G37" s="6" t="s">
        <v>187</v>
      </c>
      <c r="H37" s="6" t="s">
        <v>188</v>
      </c>
      <c r="I37" s="6" t="s">
        <v>189</v>
      </c>
      <c r="J37" s="6" t="s">
        <v>190</v>
      </c>
      <c r="K37" s="6" t="n">
        <v>1</v>
      </c>
      <c r="L37" s="6"/>
      <c r="M37" s="6" t="s">
        <v>180</v>
      </c>
      <c r="N37" s="6" t="s">
        <v>63</v>
      </c>
      <c r="O37" s="6" t="s">
        <v>191</v>
      </c>
      <c r="P37" s="6"/>
      <c r="Q37" s="6"/>
      <c r="R37" s="6"/>
      <c r="S37" s="6"/>
      <c r="T37" s="6"/>
    </row>
    <row r="38" customFormat="false" ht="23.85" hidden="false" customHeight="false" outlineLevel="0" collapsed="false">
      <c r="A38" s="6" t="n">
        <v>37</v>
      </c>
      <c r="B38" s="6" t="s">
        <v>9</v>
      </c>
      <c r="C38" s="7" t="n">
        <v>0.524305555555556</v>
      </c>
      <c r="D38" s="7"/>
      <c r="E38" s="6" t="s">
        <v>12</v>
      </c>
      <c r="F38" s="6" t="s">
        <v>192</v>
      </c>
      <c r="G38" s="6" t="s">
        <v>193</v>
      </c>
      <c r="H38" s="6" t="s">
        <v>194</v>
      </c>
      <c r="I38" s="6" t="s">
        <v>195</v>
      </c>
      <c r="J38" s="6" t="s">
        <v>196</v>
      </c>
      <c r="K38" s="6" t="n">
        <v>1</v>
      </c>
      <c r="L38" s="6"/>
      <c r="M38" s="6" t="s">
        <v>197</v>
      </c>
      <c r="N38" s="6" t="s">
        <v>55</v>
      </c>
      <c r="O38" s="6" t="s">
        <v>198</v>
      </c>
      <c r="P38" s="6"/>
      <c r="Q38" s="6"/>
      <c r="R38" s="6"/>
      <c r="S38" s="6"/>
      <c r="T38" s="6"/>
    </row>
    <row r="39" customFormat="false" ht="202.95" hidden="false" customHeight="false" outlineLevel="0" collapsed="false">
      <c r="A39" s="6" t="n">
        <v>38</v>
      </c>
      <c r="B39" s="6" t="s">
        <v>9</v>
      </c>
      <c r="C39" s="7" t="n">
        <v>0.524305555555556</v>
      </c>
      <c r="D39" s="7"/>
      <c r="E39" s="6" t="s">
        <v>19</v>
      </c>
      <c r="F39" s="6" t="s">
        <v>199</v>
      </c>
      <c r="G39" s="6" t="s">
        <v>200</v>
      </c>
      <c r="H39" s="6" t="s">
        <v>201</v>
      </c>
      <c r="I39" s="6" t="s">
        <v>202</v>
      </c>
      <c r="J39" s="6" t="s">
        <v>203</v>
      </c>
      <c r="K39" s="6" t="n">
        <v>2</v>
      </c>
      <c r="L39" s="6"/>
      <c r="M39" s="6" t="s">
        <v>204</v>
      </c>
      <c r="N39" s="6" t="s">
        <v>63</v>
      </c>
      <c r="O39" s="6" t="s">
        <v>204</v>
      </c>
      <c r="P39" s="6" t="s">
        <v>205</v>
      </c>
      <c r="Q39" s="6"/>
      <c r="R39" s="6"/>
      <c r="S39" s="6"/>
      <c r="T39" s="6"/>
    </row>
    <row r="40" customFormat="false" ht="23.85" hidden="false" customHeight="false" outlineLevel="0" collapsed="false">
      <c r="A40" s="6" t="n">
        <v>39</v>
      </c>
      <c r="B40" s="6" t="s">
        <v>9</v>
      </c>
      <c r="C40" s="7" t="n">
        <v>0.524305555555556</v>
      </c>
      <c r="D40" s="7"/>
      <c r="E40" s="6" t="s">
        <v>23</v>
      </c>
      <c r="F40" s="6" t="s">
        <v>181</v>
      </c>
      <c r="G40" s="6" t="s">
        <v>206</v>
      </c>
      <c r="H40" s="6" t="s">
        <v>207</v>
      </c>
      <c r="I40" s="6" t="s">
        <v>208</v>
      </c>
      <c r="J40" s="6" t="s">
        <v>209</v>
      </c>
      <c r="K40" s="6" t="n">
        <v>2</v>
      </c>
      <c r="L40" s="6"/>
      <c r="M40" s="6" t="s">
        <v>180</v>
      </c>
      <c r="N40" s="6" t="s">
        <v>63</v>
      </c>
      <c r="O40" s="6" t="s">
        <v>210</v>
      </c>
      <c r="P40" s="6"/>
      <c r="Q40" s="6"/>
      <c r="R40" s="6"/>
      <c r="S40" s="6"/>
      <c r="T40" s="6"/>
    </row>
    <row r="41" customFormat="false" ht="35.05" hidden="false" customHeight="false" outlineLevel="0" collapsed="false">
      <c r="A41" s="6" t="n">
        <v>40</v>
      </c>
      <c r="B41" s="6" t="s">
        <v>9</v>
      </c>
      <c r="C41" s="7" t="n">
        <v>0.524305555555556</v>
      </c>
      <c r="D41" s="7"/>
      <c r="E41" s="6" t="s">
        <v>21</v>
      </c>
      <c r="F41" s="6" t="s">
        <v>192</v>
      </c>
      <c r="G41" s="6" t="s">
        <v>211</v>
      </c>
      <c r="H41" s="6" t="s">
        <v>212</v>
      </c>
      <c r="I41" s="6" t="s">
        <v>213</v>
      </c>
      <c r="J41" s="6" t="s">
        <v>214</v>
      </c>
      <c r="K41" s="6" t="n">
        <v>1</v>
      </c>
      <c r="L41" s="6"/>
      <c r="M41" s="6" t="s">
        <v>215</v>
      </c>
      <c r="N41" s="6" t="s">
        <v>63</v>
      </c>
      <c r="O41" s="6" t="s">
        <v>215</v>
      </c>
      <c r="P41" s="6"/>
      <c r="Q41" s="6"/>
      <c r="R41" s="6"/>
      <c r="S41" s="6"/>
      <c r="T41" s="6"/>
    </row>
    <row r="42" customFormat="false" ht="23.85" hidden="false" customHeight="false" outlineLevel="0" collapsed="false">
      <c r="A42" s="6" t="n">
        <v>41</v>
      </c>
      <c r="B42" s="6" t="s">
        <v>9</v>
      </c>
      <c r="C42" s="7" t="n">
        <v>0.524305555555556</v>
      </c>
      <c r="D42" s="7"/>
      <c r="E42" s="6" t="s">
        <v>20</v>
      </c>
      <c r="F42" s="6" t="s">
        <v>181</v>
      </c>
      <c r="G42" s="6" t="s">
        <v>216</v>
      </c>
      <c r="H42" s="6" t="s">
        <v>217</v>
      </c>
      <c r="I42" s="6" t="s">
        <v>218</v>
      </c>
      <c r="J42" s="6" t="s">
        <v>219</v>
      </c>
      <c r="K42" s="6" t="n">
        <v>2</v>
      </c>
      <c r="L42" s="6"/>
      <c r="M42" s="6" t="s">
        <v>220</v>
      </c>
      <c r="N42" s="6" t="s">
        <v>63</v>
      </c>
      <c r="O42" s="6" t="s">
        <v>221</v>
      </c>
      <c r="P42" s="6"/>
      <c r="Q42" s="6"/>
      <c r="R42" s="6"/>
      <c r="S42" s="6"/>
      <c r="T42" s="6"/>
    </row>
    <row r="43" customFormat="false" ht="23.85" hidden="false" customHeight="false" outlineLevel="0" collapsed="false">
      <c r="A43" s="6" t="n">
        <v>42</v>
      </c>
      <c r="B43" s="6" t="s">
        <v>9</v>
      </c>
      <c r="C43" s="7" t="n">
        <v>0.524305555555556</v>
      </c>
      <c r="D43" s="7"/>
      <c r="E43" s="6" t="s">
        <v>15</v>
      </c>
      <c r="F43" s="6" t="s">
        <v>192</v>
      </c>
      <c r="G43" s="6" t="s">
        <v>222</v>
      </c>
      <c r="H43" s="6" t="s">
        <v>223</v>
      </c>
      <c r="I43" s="6" t="s">
        <v>224</v>
      </c>
      <c r="J43" s="6" t="s">
        <v>225</v>
      </c>
      <c r="K43" s="6" t="n">
        <v>2</v>
      </c>
      <c r="L43" s="6"/>
      <c r="M43" s="6" t="s">
        <v>226</v>
      </c>
      <c r="N43" s="6" t="s">
        <v>55</v>
      </c>
      <c r="O43" s="6" t="s">
        <v>226</v>
      </c>
      <c r="P43" s="6"/>
      <c r="Q43" s="6"/>
      <c r="R43" s="6"/>
      <c r="S43" s="6"/>
      <c r="T43" s="6"/>
    </row>
    <row r="44" customFormat="false" ht="35.05" hidden="false" customHeight="false" outlineLevel="0" collapsed="false">
      <c r="A44" s="6" t="n">
        <v>43</v>
      </c>
      <c r="B44" s="6" t="s">
        <v>9</v>
      </c>
      <c r="C44" s="7" t="n">
        <v>0.524305555555556</v>
      </c>
      <c r="D44" s="7"/>
      <c r="E44" s="6" t="s">
        <v>14</v>
      </c>
      <c r="F44" s="6" t="s">
        <v>192</v>
      </c>
      <c r="G44" s="6" t="s">
        <v>227</v>
      </c>
      <c r="H44" s="6" t="s">
        <v>228</v>
      </c>
      <c r="I44" s="6" t="s">
        <v>229</v>
      </c>
      <c r="J44" s="6" t="s">
        <v>230</v>
      </c>
      <c r="K44" s="6" t="n">
        <v>1</v>
      </c>
      <c r="L44" s="6"/>
      <c r="M44" s="6" t="s">
        <v>69</v>
      </c>
      <c r="N44" s="6" t="s">
        <v>55</v>
      </c>
      <c r="O44" s="6" t="s">
        <v>69</v>
      </c>
      <c r="P44" s="6"/>
      <c r="Q44" s="6"/>
      <c r="R44" s="6"/>
      <c r="S44" s="6"/>
      <c r="T44" s="6"/>
    </row>
    <row r="45" customFormat="false" ht="35.05" hidden="false" customHeight="false" outlineLevel="0" collapsed="false">
      <c r="A45" s="6" t="n">
        <v>44</v>
      </c>
      <c r="B45" s="6" t="s">
        <v>9</v>
      </c>
      <c r="C45" s="7" t="n">
        <v>0.524305555555556</v>
      </c>
      <c r="D45" s="7"/>
      <c r="E45" s="6" t="s">
        <v>16</v>
      </c>
      <c r="F45" s="6" t="s">
        <v>192</v>
      </c>
      <c r="G45" s="6" t="s">
        <v>231</v>
      </c>
      <c r="H45" s="6" t="s">
        <v>232</v>
      </c>
      <c r="I45" s="6" t="s">
        <v>233</v>
      </c>
      <c r="J45" s="6" t="s">
        <v>234</v>
      </c>
      <c r="K45" s="6" t="n">
        <v>1</v>
      </c>
      <c r="L45" s="6"/>
      <c r="M45" s="6" t="s">
        <v>235</v>
      </c>
      <c r="N45" s="6" t="s">
        <v>55</v>
      </c>
      <c r="O45" s="6" t="s">
        <v>235</v>
      </c>
      <c r="P45" s="6"/>
      <c r="Q45" s="6"/>
      <c r="R45" s="6"/>
      <c r="S45" s="6"/>
      <c r="T45" s="6"/>
    </row>
    <row r="46" customFormat="false" ht="23.85" hidden="false" customHeight="false" outlineLevel="0" collapsed="false">
      <c r="A46" s="6" t="n">
        <v>45</v>
      </c>
      <c r="B46" s="6" t="s">
        <v>9</v>
      </c>
      <c r="C46" s="7" t="n">
        <v>0.524305555555556</v>
      </c>
      <c r="D46" s="7"/>
      <c r="E46" s="6" t="s">
        <v>26</v>
      </c>
      <c r="F46" s="6" t="s">
        <v>181</v>
      </c>
      <c r="G46" s="6" t="s">
        <v>236</v>
      </c>
      <c r="H46" s="6" t="s">
        <v>237</v>
      </c>
      <c r="I46" s="6" t="s">
        <v>238</v>
      </c>
      <c r="J46" s="6" t="s">
        <v>239</v>
      </c>
      <c r="K46" s="6" t="n">
        <v>2</v>
      </c>
      <c r="L46" s="6"/>
      <c r="M46" s="6" t="s">
        <v>240</v>
      </c>
      <c r="N46" s="6" t="s">
        <v>63</v>
      </c>
      <c r="O46" s="6" t="s">
        <v>240</v>
      </c>
      <c r="P46" s="6"/>
      <c r="Q46" s="6"/>
      <c r="R46" s="6"/>
      <c r="S46" s="6"/>
      <c r="T46" s="6"/>
    </row>
    <row r="47" customFormat="false" ht="23.85" hidden="false" customHeight="false" outlineLevel="0" collapsed="false">
      <c r="A47" s="6" t="n">
        <v>46</v>
      </c>
      <c r="B47" s="6" t="s">
        <v>9</v>
      </c>
      <c r="C47" s="7" t="n">
        <v>0.524305555555556</v>
      </c>
      <c r="D47" s="7"/>
      <c r="E47" s="6" t="s">
        <v>25</v>
      </c>
      <c r="F47" s="6" t="s">
        <v>192</v>
      </c>
      <c r="G47" s="6" t="s">
        <v>241</v>
      </c>
      <c r="H47" s="6" t="s">
        <v>242</v>
      </c>
      <c r="I47" s="6" t="s">
        <v>243</v>
      </c>
      <c r="J47" s="6" t="s">
        <v>244</v>
      </c>
      <c r="K47" s="6" t="n">
        <v>1</v>
      </c>
      <c r="L47" s="6"/>
      <c r="M47" s="6" t="s">
        <v>245</v>
      </c>
      <c r="N47" s="6" t="s">
        <v>63</v>
      </c>
      <c r="O47" s="6" t="s">
        <v>246</v>
      </c>
      <c r="P47" s="6"/>
      <c r="Q47" s="6"/>
      <c r="R47" s="6"/>
      <c r="S47" s="6"/>
      <c r="T47" s="6"/>
    </row>
    <row r="48" customFormat="false" ht="23.85" hidden="false" customHeight="false" outlineLevel="0" collapsed="false">
      <c r="A48" s="6" t="n">
        <v>47</v>
      </c>
      <c r="B48" s="6" t="s">
        <v>9</v>
      </c>
      <c r="C48" s="7" t="n">
        <v>0.527777777777778</v>
      </c>
      <c r="D48" s="7"/>
      <c r="E48" s="6" t="s">
        <v>13</v>
      </c>
      <c r="F48" s="6" t="s">
        <v>70</v>
      </c>
      <c r="G48" s="6" t="s">
        <v>247</v>
      </c>
      <c r="H48" s="6" t="s">
        <v>248</v>
      </c>
      <c r="I48" s="6" t="s">
        <v>249</v>
      </c>
      <c r="J48" s="6" t="s">
        <v>250</v>
      </c>
      <c r="K48" s="6" t="n">
        <v>2</v>
      </c>
      <c r="L48" s="6"/>
      <c r="M48" s="6" t="s">
        <v>62</v>
      </c>
      <c r="N48" s="6" t="s">
        <v>63</v>
      </c>
      <c r="O48" s="6" t="s">
        <v>62</v>
      </c>
      <c r="P48" s="6"/>
      <c r="Q48" s="6"/>
      <c r="R48" s="6"/>
      <c r="S48" s="6"/>
      <c r="T48" s="6"/>
    </row>
    <row r="49" customFormat="false" ht="23.85" hidden="false" customHeight="false" outlineLevel="0" collapsed="false">
      <c r="A49" s="6" t="n">
        <v>48</v>
      </c>
      <c r="B49" s="6" t="s">
        <v>9</v>
      </c>
      <c r="C49" s="7" t="n">
        <v>0.527777777777778</v>
      </c>
      <c r="D49" s="7"/>
      <c r="E49" s="6" t="s">
        <v>28</v>
      </c>
      <c r="F49" s="6" t="s">
        <v>251</v>
      </c>
      <c r="G49" s="6" t="s">
        <v>252</v>
      </c>
      <c r="H49" s="6" t="s">
        <v>253</v>
      </c>
      <c r="I49" s="6" t="s">
        <v>254</v>
      </c>
      <c r="J49" s="6" t="s">
        <v>255</v>
      </c>
      <c r="K49" s="6" t="n">
        <v>1</v>
      </c>
      <c r="L49" s="6"/>
      <c r="M49" s="6" t="s">
        <v>28</v>
      </c>
      <c r="N49" s="6"/>
      <c r="O49" s="6" t="s">
        <v>28</v>
      </c>
      <c r="P49" s="6"/>
      <c r="Q49" s="6"/>
      <c r="R49" s="6"/>
      <c r="S49" s="6"/>
      <c r="T49" s="6"/>
    </row>
    <row r="50" customFormat="false" ht="23.85" hidden="false" customHeight="false" outlineLevel="0" collapsed="false">
      <c r="A50" s="6" t="n">
        <v>49</v>
      </c>
      <c r="B50" s="6" t="s">
        <v>9</v>
      </c>
      <c r="C50" s="7" t="n">
        <v>0.53125</v>
      </c>
      <c r="D50" s="7"/>
      <c r="E50" s="6" t="s">
        <v>29</v>
      </c>
      <c r="F50" s="6" t="s">
        <v>192</v>
      </c>
      <c r="G50" s="6" t="s">
        <v>256</v>
      </c>
      <c r="H50" s="6" t="s">
        <v>257</v>
      </c>
      <c r="I50" s="6" t="s">
        <v>258</v>
      </c>
      <c r="J50" s="6" t="s">
        <v>259</v>
      </c>
      <c r="K50" s="6" t="n">
        <v>1</v>
      </c>
      <c r="L50" s="6"/>
      <c r="M50" s="6" t="s">
        <v>186</v>
      </c>
      <c r="N50" s="6" t="s">
        <v>55</v>
      </c>
      <c r="O50" s="6" t="s">
        <v>186</v>
      </c>
      <c r="P50" s="6"/>
      <c r="Q50" s="6"/>
      <c r="R50" s="6"/>
      <c r="S50" s="6"/>
      <c r="T50" s="6"/>
    </row>
    <row r="51" customFormat="false" ht="23.85" hidden="false" customHeight="false" outlineLevel="0" collapsed="false">
      <c r="A51" s="6" t="n">
        <v>50</v>
      </c>
      <c r="B51" s="6" t="s">
        <v>9</v>
      </c>
      <c r="C51" s="7" t="n">
        <v>0.534722222222222</v>
      </c>
      <c r="D51" s="7"/>
      <c r="E51" s="6" t="s">
        <v>12</v>
      </c>
      <c r="F51" s="6" t="s">
        <v>199</v>
      </c>
      <c r="G51" s="6" t="s">
        <v>260</v>
      </c>
      <c r="H51" s="6" t="s">
        <v>261</v>
      </c>
      <c r="I51" s="6" t="s">
        <v>262</v>
      </c>
      <c r="J51" s="6" t="s">
        <v>263</v>
      </c>
      <c r="K51" s="6" t="n">
        <v>1</v>
      </c>
      <c r="L51" s="6"/>
      <c r="M51" s="6" t="s">
        <v>197</v>
      </c>
      <c r="N51" s="6" t="s">
        <v>55</v>
      </c>
      <c r="O51" s="6" t="s">
        <v>197</v>
      </c>
      <c r="P51" s="6"/>
      <c r="Q51" s="6"/>
      <c r="R51" s="6"/>
      <c r="S51" s="6"/>
      <c r="T51" s="6"/>
    </row>
    <row r="52" customFormat="false" ht="35.05" hidden="false" customHeight="false" outlineLevel="0" collapsed="false">
      <c r="A52" s="6" t="n">
        <v>51</v>
      </c>
      <c r="B52" s="6" t="s">
        <v>9</v>
      </c>
      <c r="C52" s="7" t="n">
        <v>0.534722222222222</v>
      </c>
      <c r="D52" s="7"/>
      <c r="E52" s="6" t="s">
        <v>19</v>
      </c>
      <c r="F52" s="6" t="s">
        <v>192</v>
      </c>
      <c r="G52" s="6" t="s">
        <v>264</v>
      </c>
      <c r="H52" s="6" t="s">
        <v>265</v>
      </c>
      <c r="I52" s="6" t="s">
        <v>266</v>
      </c>
      <c r="J52" s="6" t="s">
        <v>267</v>
      </c>
      <c r="K52" s="6" t="n">
        <v>2</v>
      </c>
      <c r="L52" s="6"/>
      <c r="M52" s="6" t="s">
        <v>204</v>
      </c>
      <c r="N52" s="6" t="s">
        <v>63</v>
      </c>
      <c r="O52" s="6" t="s">
        <v>268</v>
      </c>
      <c r="P52" s="6"/>
      <c r="Q52" s="6"/>
      <c r="R52" s="6"/>
      <c r="S52" s="6"/>
      <c r="T52" s="6"/>
    </row>
    <row r="53" customFormat="false" ht="23.85" hidden="false" customHeight="false" outlineLevel="0" collapsed="false">
      <c r="A53" s="6" t="n">
        <v>52</v>
      </c>
      <c r="B53" s="6" t="s">
        <v>9</v>
      </c>
      <c r="C53" s="7" t="n">
        <v>0.534722222222222</v>
      </c>
      <c r="D53" s="7"/>
      <c r="E53" s="6" t="s">
        <v>13</v>
      </c>
      <c r="F53" s="6" t="s">
        <v>192</v>
      </c>
      <c r="G53" s="6" t="s">
        <v>269</v>
      </c>
      <c r="H53" s="6" t="s">
        <v>270</v>
      </c>
      <c r="I53" s="6" t="s">
        <v>271</v>
      </c>
      <c r="J53" s="6" t="s">
        <v>272</v>
      </c>
      <c r="K53" s="6" t="n">
        <v>2</v>
      </c>
      <c r="L53" s="6"/>
      <c r="M53" s="6" t="s">
        <v>62</v>
      </c>
      <c r="N53" s="6" t="s">
        <v>63</v>
      </c>
      <c r="O53" s="6" t="s">
        <v>62</v>
      </c>
      <c r="P53" s="6"/>
      <c r="Q53" s="6"/>
      <c r="R53" s="6"/>
      <c r="S53" s="6"/>
      <c r="T53" s="6"/>
    </row>
    <row r="54" customFormat="false" ht="23.85" hidden="false" customHeight="false" outlineLevel="0" collapsed="false">
      <c r="A54" s="6" t="n">
        <v>53</v>
      </c>
      <c r="B54" s="6" t="s">
        <v>9</v>
      </c>
      <c r="C54" s="7" t="n">
        <v>0.534722222222222</v>
      </c>
      <c r="D54" s="7"/>
      <c r="E54" s="6" t="s">
        <v>20</v>
      </c>
      <c r="F54" s="6" t="s">
        <v>192</v>
      </c>
      <c r="G54" s="6" t="s">
        <v>273</v>
      </c>
      <c r="H54" s="6" t="s">
        <v>274</v>
      </c>
      <c r="I54" s="6" t="s">
        <v>275</v>
      </c>
      <c r="J54" s="6" t="s">
        <v>276</v>
      </c>
      <c r="K54" s="6" t="n">
        <v>2</v>
      </c>
      <c r="L54" s="6"/>
      <c r="M54" s="6" t="s">
        <v>220</v>
      </c>
      <c r="N54" s="6" t="s">
        <v>63</v>
      </c>
      <c r="O54" s="6" t="s">
        <v>221</v>
      </c>
      <c r="P54" s="6" t="s">
        <v>277</v>
      </c>
      <c r="Q54" s="6"/>
      <c r="R54" s="6"/>
      <c r="S54" s="6"/>
      <c r="T54" s="6"/>
    </row>
    <row r="55" customFormat="false" ht="23.85" hidden="false" customHeight="false" outlineLevel="0" collapsed="false">
      <c r="A55" s="6" t="n">
        <v>54</v>
      </c>
      <c r="B55" s="6" t="s">
        <v>9</v>
      </c>
      <c r="C55" s="7" t="n">
        <v>0.534722222222222</v>
      </c>
      <c r="D55" s="7"/>
      <c r="E55" s="6" t="s">
        <v>26</v>
      </c>
      <c r="F55" s="6" t="s">
        <v>192</v>
      </c>
      <c r="G55" s="6" t="s">
        <v>278</v>
      </c>
      <c r="H55" s="6" t="s">
        <v>279</v>
      </c>
      <c r="I55" s="6" t="s">
        <v>280</v>
      </c>
      <c r="J55" s="6" t="s">
        <v>281</v>
      </c>
      <c r="K55" s="6" t="n">
        <v>1</v>
      </c>
      <c r="L55" s="6"/>
      <c r="M55" s="6" t="s">
        <v>240</v>
      </c>
      <c r="N55" s="6" t="s">
        <v>63</v>
      </c>
      <c r="O55" s="6" t="s">
        <v>240</v>
      </c>
      <c r="P55" s="6"/>
      <c r="Q55" s="6"/>
      <c r="R55" s="6"/>
      <c r="S55" s="6"/>
      <c r="T55" s="6"/>
    </row>
    <row r="56" customFormat="false" ht="23.85" hidden="false" customHeight="false" outlineLevel="0" collapsed="false">
      <c r="A56" s="6" t="n">
        <v>55</v>
      </c>
      <c r="B56" s="6" t="s">
        <v>9</v>
      </c>
      <c r="C56" s="7" t="n">
        <v>0.534722222222222</v>
      </c>
      <c r="D56" s="7"/>
      <c r="E56" s="6" t="s">
        <v>15</v>
      </c>
      <c r="F56" s="6" t="s">
        <v>199</v>
      </c>
      <c r="G56" s="6" t="s">
        <v>282</v>
      </c>
      <c r="H56" s="6" t="s">
        <v>283</v>
      </c>
      <c r="I56" s="6" t="s">
        <v>284</v>
      </c>
      <c r="J56" s="6" t="s">
        <v>285</v>
      </c>
      <c r="K56" s="6" t="n">
        <v>1</v>
      </c>
      <c r="L56" s="6"/>
      <c r="M56" s="6" t="s">
        <v>226</v>
      </c>
      <c r="N56" s="6" t="s">
        <v>55</v>
      </c>
      <c r="O56" s="6" t="s">
        <v>226</v>
      </c>
      <c r="P56" s="6"/>
      <c r="Q56" s="6"/>
      <c r="R56" s="6"/>
      <c r="S56" s="6"/>
      <c r="T56" s="6"/>
    </row>
    <row r="57" customFormat="false" ht="79.85" hidden="false" customHeight="false" outlineLevel="0" collapsed="false">
      <c r="A57" s="6" t="n">
        <v>56</v>
      </c>
      <c r="B57" s="6" t="s">
        <v>9</v>
      </c>
      <c r="C57" s="7" t="n">
        <v>0.534722222222222</v>
      </c>
      <c r="D57" s="7"/>
      <c r="E57" s="6" t="s">
        <v>23</v>
      </c>
      <c r="F57" s="6" t="s">
        <v>95</v>
      </c>
      <c r="G57" s="6" t="s">
        <v>286</v>
      </c>
      <c r="H57" s="6" t="s">
        <v>287</v>
      </c>
      <c r="I57" s="6" t="s">
        <v>288</v>
      </c>
      <c r="J57" s="6" t="s">
        <v>289</v>
      </c>
      <c r="K57" s="6" t="n">
        <v>3</v>
      </c>
      <c r="L57" s="6" t="n">
        <v>4</v>
      </c>
      <c r="M57" s="6" t="s">
        <v>180</v>
      </c>
      <c r="N57" s="6" t="s">
        <v>63</v>
      </c>
      <c r="O57" s="6" t="s">
        <v>290</v>
      </c>
      <c r="P57" s="6" t="s">
        <v>291</v>
      </c>
      <c r="Q57" s="6"/>
      <c r="R57" s="6"/>
      <c r="S57" s="6"/>
      <c r="T57" s="6"/>
    </row>
    <row r="58" customFormat="false" ht="124.6" hidden="false" customHeight="false" outlineLevel="0" collapsed="false">
      <c r="A58" s="6" t="n">
        <v>57</v>
      </c>
      <c r="B58" s="6" t="s">
        <v>9</v>
      </c>
      <c r="C58" s="7" t="n">
        <v>0.534722222222222</v>
      </c>
      <c r="D58" s="7"/>
      <c r="E58" s="6" t="s">
        <v>16</v>
      </c>
      <c r="F58" s="6" t="s">
        <v>95</v>
      </c>
      <c r="G58" s="6" t="s">
        <v>292</v>
      </c>
      <c r="H58" s="6" t="s">
        <v>293</v>
      </c>
      <c r="I58" s="6" t="s">
        <v>294</v>
      </c>
      <c r="J58" s="6" t="s">
        <v>295</v>
      </c>
      <c r="K58" s="6" t="n">
        <v>3</v>
      </c>
      <c r="L58" s="6" t="n">
        <v>3</v>
      </c>
      <c r="M58" s="6" t="s">
        <v>235</v>
      </c>
      <c r="N58" s="6" t="s">
        <v>55</v>
      </c>
      <c r="O58" s="6" t="s">
        <v>235</v>
      </c>
      <c r="P58" s="6" t="s">
        <v>296</v>
      </c>
      <c r="Q58" s="6"/>
      <c r="R58" s="6"/>
      <c r="S58" s="6"/>
      <c r="T58" s="6"/>
    </row>
    <row r="59" customFormat="false" ht="15" hidden="false" customHeight="false" outlineLevel="0" collapsed="false">
      <c r="A59" s="6" t="n">
        <v>58</v>
      </c>
      <c r="B59" s="6" t="s">
        <v>9</v>
      </c>
      <c r="C59" s="7" t="n">
        <v>0.534722222222222</v>
      </c>
      <c r="D59" s="7"/>
      <c r="E59" s="6" t="s">
        <v>25</v>
      </c>
      <c r="F59" s="6" t="s">
        <v>192</v>
      </c>
      <c r="G59" s="6" t="s">
        <v>297</v>
      </c>
      <c r="H59" s="6" t="s">
        <v>298</v>
      </c>
      <c r="I59" s="6" t="s">
        <v>299</v>
      </c>
      <c r="J59" s="6" t="s">
        <v>300</v>
      </c>
      <c r="K59" s="6" t="n">
        <v>1</v>
      </c>
      <c r="L59" s="6"/>
      <c r="M59" s="6" t="s">
        <v>245</v>
      </c>
      <c r="N59" s="6" t="s">
        <v>63</v>
      </c>
      <c r="O59" s="6" t="s">
        <v>246</v>
      </c>
      <c r="P59" s="6"/>
      <c r="Q59" s="6"/>
      <c r="R59" s="6"/>
      <c r="S59" s="6"/>
      <c r="T59" s="6"/>
    </row>
    <row r="60" customFormat="false" ht="158.2" hidden="false" customHeight="false" outlineLevel="0" collapsed="false">
      <c r="A60" s="6" t="n">
        <v>59</v>
      </c>
      <c r="B60" s="6" t="s">
        <v>9</v>
      </c>
      <c r="C60" s="7" t="n">
        <v>0.534722222222222</v>
      </c>
      <c r="D60" s="7"/>
      <c r="E60" s="6" t="s">
        <v>14</v>
      </c>
      <c r="F60" s="6" t="s">
        <v>192</v>
      </c>
      <c r="G60" s="6" t="s">
        <v>301</v>
      </c>
      <c r="H60" s="6" t="s">
        <v>302</v>
      </c>
      <c r="I60" s="6" t="s">
        <v>303</v>
      </c>
      <c r="J60" s="6" t="s">
        <v>304</v>
      </c>
      <c r="K60" s="6" t="n">
        <v>2</v>
      </c>
      <c r="L60" s="6"/>
      <c r="M60" s="6" t="s">
        <v>69</v>
      </c>
      <c r="N60" s="6" t="s">
        <v>55</v>
      </c>
      <c r="O60" s="6" t="s">
        <v>69</v>
      </c>
      <c r="P60" s="6" t="s">
        <v>305</v>
      </c>
      <c r="Q60" s="6"/>
      <c r="R60" s="6"/>
      <c r="S60" s="6"/>
      <c r="T60" s="6"/>
    </row>
    <row r="61" customFormat="false" ht="23.85" hidden="false" customHeight="false" outlineLevel="0" collapsed="false">
      <c r="A61" s="6" t="n">
        <v>60</v>
      </c>
      <c r="B61" s="6" t="s">
        <v>9</v>
      </c>
      <c r="C61" s="7" t="n">
        <v>0.534722222222222</v>
      </c>
      <c r="D61" s="7"/>
      <c r="E61" s="6" t="s">
        <v>28</v>
      </c>
      <c r="F61" s="6" t="s">
        <v>251</v>
      </c>
      <c r="G61" s="6" t="s">
        <v>306</v>
      </c>
      <c r="H61" s="6" t="s">
        <v>307</v>
      </c>
      <c r="I61" s="6" t="s">
        <v>308</v>
      </c>
      <c r="J61" s="6" t="s">
        <v>309</v>
      </c>
      <c r="K61" s="6" t="n">
        <v>1</v>
      </c>
      <c r="L61" s="6"/>
      <c r="M61" s="6" t="s">
        <v>28</v>
      </c>
      <c r="N61" s="6"/>
      <c r="O61" s="6" t="s">
        <v>28</v>
      </c>
      <c r="P61" s="6"/>
      <c r="Q61" s="6"/>
      <c r="R61" s="6"/>
      <c r="S61" s="6"/>
      <c r="T61" s="6"/>
    </row>
    <row r="62" customFormat="false" ht="23.85" hidden="false" customHeight="false" outlineLevel="0" collapsed="false">
      <c r="A62" s="6" t="n">
        <v>61</v>
      </c>
      <c r="B62" s="6" t="s">
        <v>9</v>
      </c>
      <c r="C62" s="7" t="n">
        <v>0.534722222222222</v>
      </c>
      <c r="D62" s="7"/>
      <c r="E62" s="6" t="s">
        <v>21</v>
      </c>
      <c r="F62" s="6" t="s">
        <v>192</v>
      </c>
      <c r="G62" s="6" t="s">
        <v>310</v>
      </c>
      <c r="H62" s="6" t="s">
        <v>311</v>
      </c>
      <c r="I62" s="6" t="s">
        <v>312</v>
      </c>
      <c r="J62" s="6" t="s">
        <v>313</v>
      </c>
      <c r="K62" s="6" t="n">
        <v>1</v>
      </c>
      <c r="L62" s="6"/>
      <c r="M62" s="6" t="s">
        <v>215</v>
      </c>
      <c r="N62" s="6" t="s">
        <v>63</v>
      </c>
      <c r="O62" s="6" t="s">
        <v>215</v>
      </c>
      <c r="P62" s="6"/>
      <c r="Q62" s="6"/>
      <c r="R62" s="6"/>
      <c r="S62" s="6"/>
      <c r="T62" s="6"/>
    </row>
    <row r="63" customFormat="false" ht="23.85" hidden="false" customHeight="false" outlineLevel="0" collapsed="false">
      <c r="A63" s="6" t="n">
        <v>62</v>
      </c>
      <c r="B63" s="6" t="s">
        <v>9</v>
      </c>
      <c r="C63" s="7" t="n">
        <v>0.541666666666667</v>
      </c>
      <c r="D63" s="7"/>
      <c r="E63" s="6" t="s">
        <v>29</v>
      </c>
      <c r="F63" s="6" t="s">
        <v>181</v>
      </c>
      <c r="G63" s="6" t="s">
        <v>314</v>
      </c>
      <c r="H63" s="6" t="s">
        <v>315</v>
      </c>
      <c r="I63" s="6" t="s">
        <v>316</v>
      </c>
      <c r="J63" s="6" t="s">
        <v>317</v>
      </c>
      <c r="K63" s="6" t="n">
        <v>2</v>
      </c>
      <c r="L63" s="6"/>
      <c r="M63" s="6" t="s">
        <v>186</v>
      </c>
      <c r="N63" s="6" t="s">
        <v>55</v>
      </c>
      <c r="O63" s="6" t="s">
        <v>186</v>
      </c>
      <c r="P63" s="6"/>
      <c r="Q63" s="6"/>
      <c r="R63" s="6"/>
      <c r="S63" s="6"/>
      <c r="T63" s="6"/>
    </row>
    <row r="64" customFormat="false" ht="23.85" hidden="false" customHeight="false" outlineLevel="0" collapsed="false">
      <c r="A64" s="6" t="n">
        <v>63</v>
      </c>
      <c r="B64" s="6" t="s">
        <v>9</v>
      </c>
      <c r="C64" s="7" t="n">
        <v>0.541666666666667</v>
      </c>
      <c r="D64" s="7"/>
      <c r="E64" s="6" t="s">
        <v>28</v>
      </c>
      <c r="F64" s="6" t="s">
        <v>251</v>
      </c>
      <c r="G64" s="6" t="s">
        <v>318</v>
      </c>
      <c r="H64" s="6" t="s">
        <v>319</v>
      </c>
      <c r="I64" s="6" t="s">
        <v>320</v>
      </c>
      <c r="J64" s="6" t="s">
        <v>321</v>
      </c>
      <c r="K64" s="6" t="n">
        <v>1</v>
      </c>
      <c r="L64" s="6"/>
      <c r="M64" s="6" t="s">
        <v>28</v>
      </c>
      <c r="N64" s="6"/>
      <c r="O64" s="6" t="s">
        <v>28</v>
      </c>
      <c r="P64" s="6"/>
      <c r="Q64" s="6"/>
      <c r="R64" s="6"/>
      <c r="S64" s="6"/>
      <c r="T64" s="6"/>
    </row>
    <row r="65" customFormat="false" ht="23.85" hidden="false" customHeight="false" outlineLevel="0" collapsed="false">
      <c r="A65" s="6" t="n">
        <v>64</v>
      </c>
      <c r="B65" s="6" t="s">
        <v>9</v>
      </c>
      <c r="C65" s="7" t="n">
        <v>0.545138888888889</v>
      </c>
      <c r="D65" s="7"/>
      <c r="E65" s="6" t="s">
        <v>12</v>
      </c>
      <c r="F65" s="6" t="s">
        <v>192</v>
      </c>
      <c r="G65" s="6" t="s">
        <v>322</v>
      </c>
      <c r="H65" s="6" t="s">
        <v>323</v>
      </c>
      <c r="I65" s="6" t="s">
        <v>324</v>
      </c>
      <c r="J65" s="6" t="s">
        <v>325</v>
      </c>
      <c r="K65" s="6" t="n">
        <v>1</v>
      </c>
      <c r="L65" s="6"/>
      <c r="M65" s="6" t="s">
        <v>197</v>
      </c>
      <c r="N65" s="6" t="s">
        <v>55</v>
      </c>
      <c r="O65" s="6" t="s">
        <v>198</v>
      </c>
      <c r="P65" s="6"/>
      <c r="Q65" s="6"/>
      <c r="R65" s="6"/>
      <c r="S65" s="6"/>
      <c r="T65" s="6"/>
    </row>
    <row r="66" customFormat="false" ht="57.45" hidden="false" customHeight="false" outlineLevel="0" collapsed="false">
      <c r="A66" s="6" t="n">
        <v>65</v>
      </c>
      <c r="B66" s="6" t="s">
        <v>9</v>
      </c>
      <c r="C66" s="7" t="n">
        <v>0.545138888888889</v>
      </c>
      <c r="D66" s="7"/>
      <c r="E66" s="6" t="s">
        <v>21</v>
      </c>
      <c r="F66" s="6" t="s">
        <v>95</v>
      </c>
      <c r="G66" s="6" t="s">
        <v>326</v>
      </c>
      <c r="H66" s="6" t="s">
        <v>327</v>
      </c>
      <c r="I66" s="6" t="s">
        <v>328</v>
      </c>
      <c r="J66" s="6" t="s">
        <v>329</v>
      </c>
      <c r="K66" s="6" t="n">
        <v>3</v>
      </c>
      <c r="L66" s="6" t="n">
        <v>2</v>
      </c>
      <c r="M66" s="6" t="s">
        <v>215</v>
      </c>
      <c r="N66" s="6" t="s">
        <v>63</v>
      </c>
      <c r="O66" s="6" t="s">
        <v>215</v>
      </c>
      <c r="P66" s="6" t="s">
        <v>330</v>
      </c>
      <c r="Q66" s="6"/>
      <c r="R66" s="6"/>
      <c r="S66" s="6"/>
      <c r="T66" s="6"/>
    </row>
    <row r="67" customFormat="false" ht="23.85" hidden="false" customHeight="false" outlineLevel="0" collapsed="false">
      <c r="A67" s="6" t="n">
        <v>66</v>
      </c>
      <c r="B67" s="6" t="s">
        <v>9</v>
      </c>
      <c r="C67" s="7" t="n">
        <v>0.545138888888889</v>
      </c>
      <c r="D67" s="7"/>
      <c r="E67" s="6" t="s">
        <v>13</v>
      </c>
      <c r="F67" s="6" t="s">
        <v>70</v>
      </c>
      <c r="G67" s="6" t="s">
        <v>331</v>
      </c>
      <c r="H67" s="6" t="s">
        <v>332</v>
      </c>
      <c r="I67" s="6" t="s">
        <v>333</v>
      </c>
      <c r="J67" s="6" t="s">
        <v>334</v>
      </c>
      <c r="K67" s="6" t="n">
        <v>2</v>
      </c>
      <c r="L67" s="6"/>
      <c r="M67" s="6" t="s">
        <v>62</v>
      </c>
      <c r="N67" s="6" t="s">
        <v>63</v>
      </c>
      <c r="O67" s="6" t="s">
        <v>62</v>
      </c>
      <c r="P67" s="6"/>
      <c r="Q67" s="6"/>
      <c r="R67" s="6"/>
      <c r="S67" s="6"/>
      <c r="T67" s="6"/>
    </row>
    <row r="68" customFormat="false" ht="102.2" hidden="false" customHeight="false" outlineLevel="0" collapsed="false">
      <c r="A68" s="6" t="n">
        <v>67</v>
      </c>
      <c r="B68" s="6" t="s">
        <v>9</v>
      </c>
      <c r="C68" s="7" t="n">
        <v>0.545138888888889</v>
      </c>
      <c r="D68" s="7"/>
      <c r="E68" s="6" t="s">
        <v>14</v>
      </c>
      <c r="F68" s="6" t="s">
        <v>95</v>
      </c>
      <c r="G68" s="6" t="s">
        <v>335</v>
      </c>
      <c r="H68" s="6" t="s">
        <v>336</v>
      </c>
      <c r="I68" s="6" t="s">
        <v>337</v>
      </c>
      <c r="J68" s="6" t="s">
        <v>338</v>
      </c>
      <c r="K68" s="6" t="n">
        <v>3</v>
      </c>
      <c r="L68" s="6" t="n">
        <v>2</v>
      </c>
      <c r="M68" s="6" t="s">
        <v>69</v>
      </c>
      <c r="N68" s="6" t="s">
        <v>55</v>
      </c>
      <c r="O68" s="6" t="s">
        <v>69</v>
      </c>
      <c r="P68" s="6" t="s">
        <v>339</v>
      </c>
      <c r="Q68" s="6"/>
      <c r="R68" s="6"/>
      <c r="S68" s="6"/>
      <c r="T68" s="6"/>
    </row>
    <row r="69" customFormat="false" ht="35.05" hidden="false" customHeight="false" outlineLevel="0" collapsed="false">
      <c r="A69" s="6" t="n">
        <v>68</v>
      </c>
      <c r="B69" s="6" t="s">
        <v>9</v>
      </c>
      <c r="C69" s="7" t="n">
        <v>0.545138888888889</v>
      </c>
      <c r="D69" s="7"/>
      <c r="E69" s="6" t="s">
        <v>25</v>
      </c>
      <c r="F69" s="6" t="s">
        <v>192</v>
      </c>
      <c r="G69" s="6" t="s">
        <v>340</v>
      </c>
      <c r="H69" s="6" t="s">
        <v>341</v>
      </c>
      <c r="I69" s="6" t="s">
        <v>342</v>
      </c>
      <c r="J69" s="6" t="s">
        <v>343</v>
      </c>
      <c r="K69" s="6" t="n">
        <v>2</v>
      </c>
      <c r="L69" s="6"/>
      <c r="M69" s="6" t="s">
        <v>245</v>
      </c>
      <c r="N69" s="6" t="s">
        <v>63</v>
      </c>
      <c r="O69" s="6" t="s">
        <v>246</v>
      </c>
      <c r="P69" s="6" t="s">
        <v>344</v>
      </c>
      <c r="Q69" s="6"/>
      <c r="R69" s="6"/>
      <c r="S69" s="6"/>
      <c r="T69" s="6"/>
    </row>
    <row r="70" customFormat="false" ht="79.85" hidden="false" customHeight="false" outlineLevel="0" collapsed="false">
      <c r="A70" s="6" t="n">
        <v>69</v>
      </c>
      <c r="B70" s="6" t="s">
        <v>9</v>
      </c>
      <c r="C70" s="7" t="n">
        <v>0.545138888888889</v>
      </c>
      <c r="D70" s="7"/>
      <c r="E70" s="6" t="s">
        <v>26</v>
      </c>
      <c r="F70" s="6" t="s">
        <v>199</v>
      </c>
      <c r="G70" s="6" t="s">
        <v>345</v>
      </c>
      <c r="H70" s="6" t="s">
        <v>346</v>
      </c>
      <c r="I70" s="6" t="s">
        <v>347</v>
      </c>
      <c r="J70" s="6" t="s">
        <v>348</v>
      </c>
      <c r="K70" s="6" t="n">
        <v>3</v>
      </c>
      <c r="L70" s="6" t="n">
        <v>2</v>
      </c>
      <c r="M70" s="6" t="s">
        <v>240</v>
      </c>
      <c r="N70" s="6" t="s">
        <v>63</v>
      </c>
      <c r="O70" s="6" t="s">
        <v>240</v>
      </c>
      <c r="P70" s="6" t="s">
        <v>349</v>
      </c>
      <c r="Q70" s="6"/>
      <c r="R70" s="6"/>
      <c r="S70" s="6"/>
      <c r="T70" s="6"/>
    </row>
    <row r="71" customFormat="false" ht="68.65" hidden="false" customHeight="false" outlineLevel="0" collapsed="false">
      <c r="A71" s="6" t="n">
        <v>70</v>
      </c>
      <c r="B71" s="6" t="s">
        <v>9</v>
      </c>
      <c r="C71" s="7" t="n">
        <v>0.545138888888889</v>
      </c>
      <c r="D71" s="7"/>
      <c r="E71" s="6" t="s">
        <v>20</v>
      </c>
      <c r="F71" s="6" t="s">
        <v>199</v>
      </c>
      <c r="G71" s="6" t="s">
        <v>350</v>
      </c>
      <c r="H71" s="6" t="s">
        <v>351</v>
      </c>
      <c r="I71" s="6" t="s">
        <v>352</v>
      </c>
      <c r="J71" s="6" t="s">
        <v>353</v>
      </c>
      <c r="K71" s="6" t="n">
        <v>1</v>
      </c>
      <c r="L71" s="6"/>
      <c r="M71" s="6" t="s">
        <v>220</v>
      </c>
      <c r="N71" s="6" t="s">
        <v>63</v>
      </c>
      <c r="O71" s="6" t="s">
        <v>221</v>
      </c>
      <c r="P71" s="6" t="s">
        <v>354</v>
      </c>
      <c r="Q71" s="6"/>
      <c r="R71" s="6"/>
      <c r="S71" s="6"/>
      <c r="T71" s="6"/>
    </row>
    <row r="72" customFormat="false" ht="15" hidden="false" customHeight="false" outlineLevel="0" collapsed="false">
      <c r="A72" s="6" t="n">
        <v>71</v>
      </c>
      <c r="B72" s="6" t="s">
        <v>9</v>
      </c>
      <c r="C72" s="7" t="n">
        <v>0.545138888888889</v>
      </c>
      <c r="D72" s="7"/>
      <c r="E72" s="6" t="s">
        <v>19</v>
      </c>
      <c r="F72" s="6" t="s">
        <v>192</v>
      </c>
      <c r="G72" s="6" t="s">
        <v>355</v>
      </c>
      <c r="H72" s="6" t="s">
        <v>356</v>
      </c>
      <c r="I72" s="6" t="s">
        <v>357</v>
      </c>
      <c r="J72" s="6" t="s">
        <v>358</v>
      </c>
      <c r="K72" s="6" t="n">
        <v>1</v>
      </c>
      <c r="L72" s="6"/>
      <c r="M72" s="6" t="s">
        <v>204</v>
      </c>
      <c r="N72" s="6" t="s">
        <v>63</v>
      </c>
      <c r="O72" s="6" t="s">
        <v>204</v>
      </c>
      <c r="P72" s="6" t="s">
        <v>359</v>
      </c>
      <c r="Q72" s="6"/>
      <c r="R72" s="6"/>
      <c r="S72" s="6"/>
      <c r="T72" s="6"/>
    </row>
    <row r="73" customFormat="false" ht="102.2" hidden="false" customHeight="false" outlineLevel="0" collapsed="false">
      <c r="A73" s="6" t="n">
        <v>72</v>
      </c>
      <c r="B73" s="6" t="s">
        <v>9</v>
      </c>
      <c r="C73" s="7" t="n">
        <v>0.545138888888889</v>
      </c>
      <c r="D73" s="7"/>
      <c r="E73" s="6" t="s">
        <v>15</v>
      </c>
      <c r="F73" s="6" t="s">
        <v>95</v>
      </c>
      <c r="G73" s="6" t="s">
        <v>360</v>
      </c>
      <c r="H73" s="6" t="s">
        <v>361</v>
      </c>
      <c r="I73" s="6" t="s">
        <v>362</v>
      </c>
      <c r="J73" s="6" t="s">
        <v>363</v>
      </c>
      <c r="K73" s="6" t="n">
        <v>3</v>
      </c>
      <c r="L73" s="6" t="n">
        <v>4</v>
      </c>
      <c r="M73" s="6" t="s">
        <v>226</v>
      </c>
      <c r="N73" s="6" t="s">
        <v>55</v>
      </c>
      <c r="O73" s="6" t="s">
        <v>226</v>
      </c>
      <c r="P73" s="6" t="s">
        <v>364</v>
      </c>
      <c r="Q73" s="6"/>
      <c r="R73" s="6"/>
      <c r="S73" s="6"/>
      <c r="T73" s="6"/>
    </row>
    <row r="74" customFormat="false" ht="15" hidden="false" customHeight="false" outlineLevel="0" collapsed="false">
      <c r="A74" s="6" t="n">
        <v>73</v>
      </c>
      <c r="B74" s="6" t="s">
        <v>9</v>
      </c>
      <c r="C74" s="7" t="n">
        <v>0.548611111111111</v>
      </c>
      <c r="D74" s="7"/>
      <c r="E74" s="6" t="s">
        <v>28</v>
      </c>
      <c r="F74" s="6" t="s">
        <v>251</v>
      </c>
      <c r="G74" s="6" t="s">
        <v>365</v>
      </c>
      <c r="H74" s="6" t="s">
        <v>366</v>
      </c>
      <c r="I74" s="6" t="s">
        <v>367</v>
      </c>
      <c r="J74" s="6" t="s">
        <v>368</v>
      </c>
      <c r="K74" s="6" t="n">
        <v>1</v>
      </c>
      <c r="L74" s="6"/>
      <c r="M74" s="6" t="s">
        <v>28</v>
      </c>
      <c r="N74" s="6"/>
      <c r="O74" s="6" t="s">
        <v>28</v>
      </c>
      <c r="P74" s="6"/>
      <c r="Q74" s="6"/>
      <c r="R74" s="6"/>
      <c r="S74" s="6"/>
      <c r="T74" s="6"/>
    </row>
    <row r="75" customFormat="false" ht="113.4" hidden="false" customHeight="false" outlineLevel="0" collapsed="false">
      <c r="A75" s="6" t="n">
        <v>74</v>
      </c>
      <c r="B75" s="6" t="s">
        <v>9</v>
      </c>
      <c r="C75" s="7" t="n">
        <v>0.552083333333333</v>
      </c>
      <c r="D75" s="7"/>
      <c r="E75" s="6" t="s">
        <v>29</v>
      </c>
      <c r="F75" s="6" t="s">
        <v>95</v>
      </c>
      <c r="G75" s="6" t="s">
        <v>369</v>
      </c>
      <c r="H75" s="6" t="s">
        <v>370</v>
      </c>
      <c r="I75" s="6" t="s">
        <v>371</v>
      </c>
      <c r="J75" s="6" t="s">
        <v>372</v>
      </c>
      <c r="K75" s="6" t="n">
        <v>3</v>
      </c>
      <c r="L75" s="6" t="n">
        <v>3</v>
      </c>
      <c r="M75" s="6" t="s">
        <v>186</v>
      </c>
      <c r="N75" s="6" t="s">
        <v>55</v>
      </c>
      <c r="O75" s="6" t="s">
        <v>186</v>
      </c>
      <c r="P75" s="6" t="s">
        <v>373</v>
      </c>
      <c r="Q75" s="6"/>
      <c r="R75" s="6"/>
      <c r="S75" s="6"/>
      <c r="T75" s="6"/>
    </row>
    <row r="76" customFormat="false" ht="46.25" hidden="false" customHeight="false" outlineLevel="0" collapsed="false">
      <c r="A76" s="6" t="n">
        <v>75</v>
      </c>
      <c r="B76" s="6" t="s">
        <v>9</v>
      </c>
      <c r="C76" s="7" t="n">
        <v>0.552083333333333</v>
      </c>
      <c r="D76" s="7"/>
      <c r="E76" s="6" t="s">
        <v>13</v>
      </c>
      <c r="F76" s="6" t="s">
        <v>95</v>
      </c>
      <c r="G76" s="6" t="s">
        <v>374</v>
      </c>
      <c r="H76" s="6" t="s">
        <v>375</v>
      </c>
      <c r="I76" s="6" t="s">
        <v>376</v>
      </c>
      <c r="J76" s="6" t="s">
        <v>377</v>
      </c>
      <c r="K76" s="6" t="n">
        <v>3</v>
      </c>
      <c r="L76" s="6" t="n">
        <v>1</v>
      </c>
      <c r="M76" s="6" t="s">
        <v>62</v>
      </c>
      <c r="N76" s="6" t="s">
        <v>63</v>
      </c>
      <c r="O76" s="6" t="s">
        <v>62</v>
      </c>
      <c r="P76" s="6" t="s">
        <v>378</v>
      </c>
      <c r="Q76" s="6"/>
      <c r="R76" s="6"/>
      <c r="S76" s="6"/>
      <c r="T76" s="6"/>
    </row>
    <row r="77" customFormat="false" ht="57.45" hidden="false" customHeight="false" outlineLevel="0" collapsed="false">
      <c r="A77" s="6" t="n">
        <v>76</v>
      </c>
      <c r="B77" s="6" t="s">
        <v>9</v>
      </c>
      <c r="C77" s="7" t="n">
        <v>0.555555555555556</v>
      </c>
      <c r="D77" s="7"/>
      <c r="E77" s="6" t="s">
        <v>12</v>
      </c>
      <c r="F77" s="6" t="s">
        <v>95</v>
      </c>
      <c r="G77" s="6" t="s">
        <v>379</v>
      </c>
      <c r="H77" s="6" t="s">
        <v>380</v>
      </c>
      <c r="I77" s="6" t="s">
        <v>381</v>
      </c>
      <c r="J77" s="6" t="s">
        <v>382</v>
      </c>
      <c r="K77" s="6" t="n">
        <v>3</v>
      </c>
      <c r="L77" s="6" t="n">
        <v>4</v>
      </c>
      <c r="M77" s="6" t="s">
        <v>197</v>
      </c>
      <c r="N77" s="6" t="s">
        <v>55</v>
      </c>
      <c r="O77" s="6" t="s">
        <v>197</v>
      </c>
      <c r="P77" s="6" t="s">
        <v>383</v>
      </c>
      <c r="Q77" s="6"/>
      <c r="R77" s="6"/>
      <c r="S77" s="6"/>
      <c r="T77" s="6"/>
    </row>
    <row r="78" customFormat="false" ht="113.4" hidden="false" customHeight="false" outlineLevel="0" collapsed="false">
      <c r="A78" s="6" t="n">
        <v>77</v>
      </c>
      <c r="B78" s="6" t="s">
        <v>9</v>
      </c>
      <c r="C78" s="7" t="n">
        <v>0.555555555555556</v>
      </c>
      <c r="D78" s="7"/>
      <c r="E78" s="6" t="s">
        <v>25</v>
      </c>
      <c r="F78" s="6" t="s">
        <v>95</v>
      </c>
      <c r="G78" s="6" t="s">
        <v>384</v>
      </c>
      <c r="H78" s="6" t="s">
        <v>385</v>
      </c>
      <c r="I78" s="6" t="s">
        <v>386</v>
      </c>
      <c r="J78" s="6" t="s">
        <v>387</v>
      </c>
      <c r="K78" s="6" t="n">
        <v>3</v>
      </c>
      <c r="L78" s="6" t="n">
        <v>2</v>
      </c>
      <c r="M78" s="6" t="s">
        <v>245</v>
      </c>
      <c r="N78" s="6" t="s">
        <v>63</v>
      </c>
      <c r="O78" s="6" t="s">
        <v>246</v>
      </c>
      <c r="P78" s="6" t="s">
        <v>388</v>
      </c>
      <c r="Q78" s="6"/>
      <c r="R78" s="6"/>
      <c r="S78" s="6"/>
      <c r="T78" s="6"/>
    </row>
    <row r="79" customFormat="false" ht="91" hidden="false" customHeight="false" outlineLevel="0" collapsed="false">
      <c r="A79" s="6" t="n">
        <v>78</v>
      </c>
      <c r="B79" s="6" t="s">
        <v>9</v>
      </c>
      <c r="C79" s="7" t="n">
        <v>0.555555555555556</v>
      </c>
      <c r="D79" s="7"/>
      <c r="E79" s="6" t="s">
        <v>20</v>
      </c>
      <c r="F79" s="6" t="s">
        <v>95</v>
      </c>
      <c r="G79" s="6" t="s">
        <v>389</v>
      </c>
      <c r="H79" s="6" t="s">
        <v>390</v>
      </c>
      <c r="I79" s="6" t="s">
        <v>391</v>
      </c>
      <c r="J79" s="6" t="s">
        <v>392</v>
      </c>
      <c r="K79" s="6" t="n">
        <v>3</v>
      </c>
      <c r="L79" s="6" t="n">
        <v>3</v>
      </c>
      <c r="M79" s="6" t="s">
        <v>220</v>
      </c>
      <c r="N79" s="6" t="s">
        <v>63</v>
      </c>
      <c r="O79" s="6" t="s">
        <v>221</v>
      </c>
      <c r="P79" s="6" t="s">
        <v>393</v>
      </c>
      <c r="Q79" s="6"/>
      <c r="R79" s="6"/>
      <c r="S79" s="6"/>
      <c r="T79" s="6"/>
    </row>
    <row r="80" customFormat="false" ht="68.65" hidden="false" customHeight="false" outlineLevel="0" collapsed="false">
      <c r="A80" s="6" t="n">
        <v>79</v>
      </c>
      <c r="B80" s="6" t="s">
        <v>9</v>
      </c>
      <c r="C80" s="7" t="n">
        <v>0.555555555555556</v>
      </c>
      <c r="D80" s="7"/>
      <c r="E80" s="6" t="s">
        <v>19</v>
      </c>
      <c r="F80" s="6" t="s">
        <v>95</v>
      </c>
      <c r="G80" s="6" t="s">
        <v>394</v>
      </c>
      <c r="H80" s="6" t="s">
        <v>395</v>
      </c>
      <c r="I80" s="6" t="s">
        <v>396</v>
      </c>
      <c r="J80" s="6" t="s">
        <v>397</v>
      </c>
      <c r="K80" s="6" t="n">
        <v>3</v>
      </c>
      <c r="L80" s="6" t="n">
        <v>3</v>
      </c>
      <c r="M80" s="6" t="s">
        <v>204</v>
      </c>
      <c r="N80" s="6" t="s">
        <v>63</v>
      </c>
      <c r="O80" s="6" t="s">
        <v>204</v>
      </c>
      <c r="P80" s="6" t="s">
        <v>398</v>
      </c>
      <c r="Q80" s="6"/>
      <c r="R80" s="6"/>
      <c r="S80" s="6"/>
      <c r="T80" s="6"/>
    </row>
    <row r="81" customFormat="false" ht="23.85" hidden="false" customHeight="false" outlineLevel="0" collapsed="false">
      <c r="A81" s="6" t="n">
        <v>80</v>
      </c>
      <c r="B81" s="6" t="s">
        <v>9</v>
      </c>
      <c r="C81" s="7" t="n">
        <v>0.5625</v>
      </c>
      <c r="D81" s="7"/>
      <c r="E81" s="6" t="s">
        <v>28</v>
      </c>
      <c r="F81" s="6" t="s">
        <v>251</v>
      </c>
      <c r="G81" s="6" t="s">
        <v>399</v>
      </c>
      <c r="H81" s="6" t="s">
        <v>400</v>
      </c>
      <c r="I81" s="6" t="s">
        <v>401</v>
      </c>
      <c r="J81" s="6" t="s">
        <v>402</v>
      </c>
      <c r="K81" s="6" t="n">
        <v>2</v>
      </c>
      <c r="L81" s="6"/>
      <c r="M81" s="6" t="s">
        <v>28</v>
      </c>
      <c r="N81" s="6"/>
      <c r="O81" s="6" t="s">
        <v>28</v>
      </c>
      <c r="P81" s="6"/>
      <c r="Q81" s="6"/>
      <c r="R81" s="6"/>
      <c r="S81" s="6"/>
      <c r="T81" s="6"/>
    </row>
    <row r="82" customFormat="false" ht="23.85" hidden="false" customHeight="false" outlineLevel="0" collapsed="false">
      <c r="A82" s="6" t="n">
        <v>81</v>
      </c>
      <c r="B82" s="6" t="s">
        <v>9</v>
      </c>
      <c r="C82" s="7" t="n">
        <v>0.569444444444444</v>
      </c>
      <c r="D82" s="7"/>
      <c r="E82" s="6" t="s">
        <v>28</v>
      </c>
      <c r="F82" s="6" t="s">
        <v>251</v>
      </c>
      <c r="G82" s="6" t="s">
        <v>403</v>
      </c>
      <c r="H82" s="6" t="s">
        <v>404</v>
      </c>
      <c r="I82" s="6" t="s">
        <v>405</v>
      </c>
      <c r="J82" s="6" t="s">
        <v>406</v>
      </c>
      <c r="K82" s="6" t="n">
        <v>1</v>
      </c>
      <c r="L82" s="6"/>
      <c r="M82" s="6" t="s">
        <v>28</v>
      </c>
      <c r="N82" s="6"/>
      <c r="O82" s="6" t="s">
        <v>28</v>
      </c>
      <c r="P82" s="6"/>
      <c r="Q82" s="6"/>
      <c r="R82" s="6"/>
      <c r="S82" s="6"/>
      <c r="T82" s="6"/>
    </row>
    <row r="83" customFormat="false" ht="46.25" hidden="false" customHeight="false" outlineLevel="0" collapsed="false">
      <c r="A83" s="6" t="n">
        <v>82</v>
      </c>
      <c r="B83" s="6" t="s">
        <v>9</v>
      </c>
      <c r="C83" s="7" t="n">
        <v>0.575694444444444</v>
      </c>
      <c r="D83" s="7" t="n">
        <v>0.607638888888889</v>
      </c>
      <c r="E83" s="6" t="s">
        <v>30</v>
      </c>
      <c r="F83" s="6" t="s">
        <v>30</v>
      </c>
      <c r="G83" s="6" t="s">
        <v>407</v>
      </c>
      <c r="H83" s="6" t="s">
        <v>408</v>
      </c>
      <c r="I83" s="6" t="s">
        <v>408</v>
      </c>
      <c r="J83" s="6"/>
      <c r="K83" s="6" t="n">
        <v>1</v>
      </c>
      <c r="L83" s="6"/>
      <c r="M83" s="6" t="s">
        <v>180</v>
      </c>
      <c r="N83" s="6" t="s">
        <v>63</v>
      </c>
      <c r="O83" s="6" t="s">
        <v>409</v>
      </c>
      <c r="P83" s="6"/>
      <c r="Q83" s="6" t="n">
        <v>2</v>
      </c>
      <c r="R83" s="6" t="n">
        <v>120</v>
      </c>
      <c r="S83" s="6" t="n">
        <f aca="false">R83-Q83</f>
        <v>118</v>
      </c>
      <c r="T83" s="6" t="s">
        <v>115</v>
      </c>
    </row>
    <row r="84" customFormat="false" ht="23.85" hidden="false" customHeight="false" outlineLevel="0" collapsed="false">
      <c r="A84" s="6" t="n">
        <v>83</v>
      </c>
      <c r="B84" s="6" t="s">
        <v>9</v>
      </c>
      <c r="C84" s="7" t="n">
        <v>0.576388888888889</v>
      </c>
      <c r="D84" s="7"/>
      <c r="E84" s="6" t="s">
        <v>28</v>
      </c>
      <c r="F84" s="6" t="s">
        <v>251</v>
      </c>
      <c r="G84" s="6" t="s">
        <v>410</v>
      </c>
      <c r="H84" s="6" t="s">
        <v>411</v>
      </c>
      <c r="I84" s="6" t="s">
        <v>412</v>
      </c>
      <c r="J84" s="6" t="s">
        <v>413</v>
      </c>
      <c r="K84" s="6" t="n">
        <v>1</v>
      </c>
      <c r="L84" s="6"/>
      <c r="M84" s="6" t="s">
        <v>28</v>
      </c>
      <c r="N84" s="6"/>
      <c r="O84" s="6" t="s">
        <v>28</v>
      </c>
      <c r="P84" s="6"/>
      <c r="Q84" s="6"/>
      <c r="R84" s="6"/>
      <c r="S84" s="6"/>
      <c r="T84" s="6"/>
    </row>
    <row r="85" customFormat="false" ht="23.85" hidden="false" customHeight="false" outlineLevel="0" collapsed="false">
      <c r="A85" s="6" t="n">
        <v>84</v>
      </c>
      <c r="B85" s="6" t="s">
        <v>9</v>
      </c>
      <c r="C85" s="7" t="n">
        <v>0.576388888888889</v>
      </c>
      <c r="D85" s="7" t="n">
        <v>0.607638888888889</v>
      </c>
      <c r="E85" s="6" t="s">
        <v>30</v>
      </c>
      <c r="F85" s="6" t="s">
        <v>30</v>
      </c>
      <c r="G85" s="6" t="s">
        <v>414</v>
      </c>
      <c r="H85" s="6" t="s">
        <v>415</v>
      </c>
      <c r="I85" s="6" t="s">
        <v>416</v>
      </c>
      <c r="J85" s="6"/>
      <c r="K85" s="6" t="n">
        <v>2</v>
      </c>
      <c r="L85" s="6"/>
      <c r="M85" s="6" t="s">
        <v>417</v>
      </c>
      <c r="N85" s="6" t="s">
        <v>55</v>
      </c>
      <c r="O85" s="6" t="s">
        <v>418</v>
      </c>
      <c r="P85" s="6"/>
      <c r="Q85" s="6" t="n">
        <v>5</v>
      </c>
      <c r="R85" s="6" t="n">
        <v>120</v>
      </c>
      <c r="S85" s="6" t="n">
        <f aca="false">R85-Q85</f>
        <v>115</v>
      </c>
      <c r="T85" s="6" t="s">
        <v>115</v>
      </c>
    </row>
    <row r="86" customFormat="false" ht="35.05" hidden="false" customHeight="false" outlineLevel="0" collapsed="false">
      <c r="A86" s="6" t="n">
        <v>85</v>
      </c>
      <c r="B86" s="6" t="s">
        <v>9</v>
      </c>
      <c r="C86" s="7" t="n">
        <v>0.577083333333333</v>
      </c>
      <c r="D86" s="7" t="n">
        <v>0.607638888888889</v>
      </c>
      <c r="E86" s="6" t="s">
        <v>30</v>
      </c>
      <c r="F86" s="6" t="s">
        <v>30</v>
      </c>
      <c r="G86" s="6" t="s">
        <v>419</v>
      </c>
      <c r="H86" s="6" t="s">
        <v>420</v>
      </c>
      <c r="I86" s="6" t="s">
        <v>421</v>
      </c>
      <c r="J86" s="6"/>
      <c r="K86" s="6" t="n">
        <v>3</v>
      </c>
      <c r="L86" s="6"/>
      <c r="M86" s="6" t="s">
        <v>240</v>
      </c>
      <c r="N86" s="6" t="s">
        <v>63</v>
      </c>
      <c r="O86" s="6" t="s">
        <v>240</v>
      </c>
      <c r="P86" s="6"/>
      <c r="Q86" s="6" t="n">
        <v>80</v>
      </c>
      <c r="R86" s="6" t="n">
        <v>120</v>
      </c>
      <c r="S86" s="6" t="n">
        <f aca="false">R86-Q86</f>
        <v>40</v>
      </c>
      <c r="T86" s="6" t="s">
        <v>115</v>
      </c>
    </row>
    <row r="87" customFormat="false" ht="15" hidden="false" customHeight="false" outlineLevel="0" collapsed="false">
      <c r="A87" s="6" t="n">
        <v>86</v>
      </c>
      <c r="B87" s="6" t="s">
        <v>9</v>
      </c>
      <c r="C87" s="7" t="n">
        <v>0.583333333333333</v>
      </c>
      <c r="D87" s="7"/>
      <c r="E87" s="6" t="s">
        <v>28</v>
      </c>
      <c r="F87" s="6" t="s">
        <v>251</v>
      </c>
      <c r="G87" s="6" t="s">
        <v>422</v>
      </c>
      <c r="H87" s="6" t="s">
        <v>423</v>
      </c>
      <c r="I87" s="6" t="s">
        <v>424</v>
      </c>
      <c r="J87" s="6" t="s">
        <v>425</v>
      </c>
      <c r="K87" s="6" t="n">
        <v>1</v>
      </c>
      <c r="L87" s="6"/>
      <c r="M87" s="6" t="s">
        <v>28</v>
      </c>
      <c r="N87" s="6"/>
      <c r="O87" s="6" t="s">
        <v>28</v>
      </c>
      <c r="P87" s="6"/>
      <c r="Q87" s="6"/>
      <c r="R87" s="6"/>
      <c r="S87" s="6"/>
      <c r="T87" s="6"/>
    </row>
    <row r="88" customFormat="false" ht="35.05" hidden="false" customHeight="false" outlineLevel="0" collapsed="false">
      <c r="A88" s="6" t="n">
        <v>87</v>
      </c>
      <c r="B88" s="6" t="s">
        <v>9</v>
      </c>
      <c r="C88" s="7" t="n">
        <v>0.583333333333333</v>
      </c>
      <c r="D88" s="7"/>
      <c r="E88" s="6" t="s">
        <v>13</v>
      </c>
      <c r="F88" s="6" t="s">
        <v>95</v>
      </c>
      <c r="G88" s="6" t="s">
        <v>426</v>
      </c>
      <c r="H88" s="6" t="s">
        <v>427</v>
      </c>
      <c r="I88" s="6" t="s">
        <v>428</v>
      </c>
      <c r="J88" s="6" t="s">
        <v>429</v>
      </c>
      <c r="K88" s="6" t="n">
        <v>3</v>
      </c>
      <c r="L88" s="6" t="n">
        <v>1</v>
      </c>
      <c r="M88" s="6" t="s">
        <v>62</v>
      </c>
      <c r="N88" s="6" t="s">
        <v>63</v>
      </c>
      <c r="O88" s="6" t="s">
        <v>62</v>
      </c>
      <c r="P88" s="6"/>
      <c r="Q88" s="6"/>
      <c r="R88" s="6"/>
      <c r="S88" s="6"/>
      <c r="T88" s="6"/>
    </row>
    <row r="89" customFormat="false" ht="15" hidden="false" customHeight="false" outlineLevel="0" collapsed="false">
      <c r="A89" s="6" t="n">
        <v>88</v>
      </c>
      <c r="B89" s="6" t="s">
        <v>9</v>
      </c>
      <c r="C89" s="7" t="n">
        <v>0.590277777777778</v>
      </c>
      <c r="D89" s="7"/>
      <c r="E89" s="6" t="s">
        <v>28</v>
      </c>
      <c r="F89" s="6" t="s">
        <v>251</v>
      </c>
      <c r="G89" s="6" t="s">
        <v>430</v>
      </c>
      <c r="H89" s="6" t="s">
        <v>431</v>
      </c>
      <c r="I89" s="6" t="s">
        <v>432</v>
      </c>
      <c r="J89" s="6" t="s">
        <v>433</v>
      </c>
      <c r="K89" s="6" t="n">
        <v>1</v>
      </c>
      <c r="L89" s="6"/>
      <c r="M89" s="6" t="s">
        <v>28</v>
      </c>
      <c r="N89" s="6"/>
      <c r="O89" s="6" t="s">
        <v>28</v>
      </c>
      <c r="P89" s="6"/>
      <c r="Q89" s="6"/>
      <c r="R89" s="6"/>
      <c r="S89" s="6"/>
      <c r="T89" s="6"/>
    </row>
    <row r="90" customFormat="false" ht="23.85" hidden="false" customHeight="false" outlineLevel="0" collapsed="false">
      <c r="A90" s="6" t="n">
        <v>89</v>
      </c>
      <c r="B90" s="6" t="s">
        <v>9</v>
      </c>
      <c r="C90" s="7" t="n">
        <v>0.597222222222222</v>
      </c>
      <c r="D90" s="7"/>
      <c r="E90" s="6" t="s">
        <v>28</v>
      </c>
      <c r="F90" s="6" t="s">
        <v>251</v>
      </c>
      <c r="G90" s="6" t="s">
        <v>434</v>
      </c>
      <c r="H90" s="6" t="s">
        <v>435</v>
      </c>
      <c r="I90" s="6" t="s">
        <v>436</v>
      </c>
      <c r="J90" s="6" t="s">
        <v>437</v>
      </c>
      <c r="K90" s="6" t="n">
        <v>1</v>
      </c>
      <c r="L90" s="6"/>
      <c r="M90" s="6" t="s">
        <v>28</v>
      </c>
      <c r="N90" s="6"/>
      <c r="O90" s="6" t="s">
        <v>28</v>
      </c>
      <c r="P90" s="6"/>
      <c r="Q90" s="6"/>
      <c r="R90" s="6"/>
      <c r="S90" s="6"/>
      <c r="T90" s="6"/>
    </row>
    <row r="91" customFormat="false" ht="35.05" hidden="false" customHeight="false" outlineLevel="0" collapsed="false">
      <c r="A91" s="6" t="n">
        <v>90</v>
      </c>
      <c r="B91" s="6" t="s">
        <v>9</v>
      </c>
      <c r="C91" s="7" t="n">
        <v>0.607638888888889</v>
      </c>
      <c r="D91" s="7"/>
      <c r="E91" s="6" t="s">
        <v>24</v>
      </c>
      <c r="F91" s="6" t="s">
        <v>24</v>
      </c>
      <c r="G91" s="6" t="s">
        <v>438</v>
      </c>
      <c r="H91" s="6" t="s">
        <v>51</v>
      </c>
      <c r="I91" s="6" t="s">
        <v>52</v>
      </c>
      <c r="J91" s="6" t="s">
        <v>53</v>
      </c>
      <c r="K91" s="6" t="n">
        <v>1</v>
      </c>
      <c r="L91" s="6"/>
      <c r="M91" s="6" t="s">
        <v>54</v>
      </c>
      <c r="N91" s="6" t="s">
        <v>55</v>
      </c>
      <c r="O91" s="6" t="s">
        <v>439</v>
      </c>
      <c r="P91" s="6" t="s">
        <v>174</v>
      </c>
      <c r="Q91" s="6"/>
      <c r="R91" s="6"/>
      <c r="S91" s="6"/>
      <c r="T91" s="6"/>
    </row>
    <row r="92" customFormat="false" ht="46.25" hidden="false" customHeight="false" outlineLevel="0" collapsed="false">
      <c r="A92" s="6" t="n">
        <v>91</v>
      </c>
      <c r="B92" s="6" t="s">
        <v>9</v>
      </c>
      <c r="C92" s="7" t="n">
        <v>0.649305555555556</v>
      </c>
      <c r="D92" s="7"/>
      <c r="E92" s="6" t="s">
        <v>13</v>
      </c>
      <c r="F92" s="6" t="s">
        <v>181</v>
      </c>
      <c r="G92" s="6" t="s">
        <v>440</v>
      </c>
      <c r="H92" s="6" t="s">
        <v>441</v>
      </c>
      <c r="I92" s="6" t="s">
        <v>442</v>
      </c>
      <c r="J92" s="6" t="s">
        <v>443</v>
      </c>
      <c r="K92" s="6" t="n">
        <v>2</v>
      </c>
      <c r="L92" s="6"/>
      <c r="M92" s="6" t="s">
        <v>62</v>
      </c>
      <c r="N92" s="6" t="s">
        <v>63</v>
      </c>
      <c r="O92" s="6" t="s">
        <v>444</v>
      </c>
      <c r="P92" s="6"/>
      <c r="Q92" s="6"/>
      <c r="R92" s="6"/>
      <c r="S92" s="6"/>
      <c r="T92" s="6"/>
    </row>
    <row r="93" customFormat="false" ht="23.85" hidden="false" customHeight="false" outlineLevel="0" collapsed="false">
      <c r="A93" s="6" t="n">
        <v>92</v>
      </c>
      <c r="B93" s="6" t="s">
        <v>9</v>
      </c>
      <c r="C93" s="7" t="n">
        <v>0.652777777777778</v>
      </c>
      <c r="D93" s="7"/>
      <c r="E93" s="6" t="s">
        <v>20</v>
      </c>
      <c r="F93" s="6" t="s">
        <v>181</v>
      </c>
      <c r="G93" s="6" t="s">
        <v>445</v>
      </c>
      <c r="H93" s="6" t="s">
        <v>446</v>
      </c>
      <c r="I93" s="6" t="s">
        <v>447</v>
      </c>
      <c r="J93" s="6" t="s">
        <v>448</v>
      </c>
      <c r="K93" s="6" t="n">
        <v>2</v>
      </c>
      <c r="L93" s="6"/>
      <c r="M93" s="6" t="s">
        <v>220</v>
      </c>
      <c r="N93" s="6" t="s">
        <v>63</v>
      </c>
      <c r="O93" s="6" t="s">
        <v>221</v>
      </c>
      <c r="P93" s="6"/>
      <c r="Q93" s="6"/>
      <c r="R93" s="6"/>
      <c r="S93" s="6"/>
      <c r="T93" s="6"/>
    </row>
    <row r="94" customFormat="false" ht="23.85" hidden="false" customHeight="false" outlineLevel="0" collapsed="false">
      <c r="A94" s="6" t="n">
        <v>93</v>
      </c>
      <c r="B94" s="6" t="s">
        <v>9</v>
      </c>
      <c r="C94" s="7" t="n">
        <v>0.652777777777778</v>
      </c>
      <c r="D94" s="7"/>
      <c r="E94" s="6" t="s">
        <v>19</v>
      </c>
      <c r="F94" s="6" t="s">
        <v>181</v>
      </c>
      <c r="G94" s="6" t="s">
        <v>449</v>
      </c>
      <c r="H94" s="6" t="s">
        <v>450</v>
      </c>
      <c r="I94" s="6" t="s">
        <v>451</v>
      </c>
      <c r="J94" s="6" t="s">
        <v>452</v>
      </c>
      <c r="K94" s="6" t="n">
        <v>2</v>
      </c>
      <c r="L94" s="6"/>
      <c r="M94" s="6" t="s">
        <v>204</v>
      </c>
      <c r="N94" s="6" t="s">
        <v>63</v>
      </c>
      <c r="O94" s="6" t="s">
        <v>204</v>
      </c>
      <c r="P94" s="6"/>
      <c r="Q94" s="6"/>
      <c r="R94" s="6"/>
      <c r="S94" s="6"/>
      <c r="T94" s="6"/>
    </row>
    <row r="95" customFormat="false" ht="23.85" hidden="false" customHeight="false" outlineLevel="0" collapsed="false">
      <c r="A95" s="6" t="n">
        <v>94</v>
      </c>
      <c r="B95" s="6" t="s">
        <v>9</v>
      </c>
      <c r="C95" s="7" t="n">
        <v>0.652777777777778</v>
      </c>
      <c r="D95" s="7"/>
      <c r="E95" s="6" t="s">
        <v>12</v>
      </c>
      <c r="F95" s="6" t="s">
        <v>192</v>
      </c>
      <c r="G95" s="6" t="s">
        <v>453</v>
      </c>
      <c r="H95" s="6" t="s">
        <v>454</v>
      </c>
      <c r="I95" s="6" t="s">
        <v>455</v>
      </c>
      <c r="J95" s="6" t="s">
        <v>456</v>
      </c>
      <c r="K95" s="6" t="n">
        <v>1</v>
      </c>
      <c r="L95" s="6"/>
      <c r="M95" s="6" t="s">
        <v>197</v>
      </c>
      <c r="N95" s="6" t="s">
        <v>55</v>
      </c>
      <c r="O95" s="6" t="s">
        <v>197</v>
      </c>
      <c r="P95" s="6"/>
      <c r="Q95" s="6"/>
      <c r="R95" s="6"/>
      <c r="S95" s="6"/>
      <c r="T95" s="6"/>
    </row>
    <row r="96" customFormat="false" ht="46.25" hidden="false" customHeight="false" outlineLevel="0" collapsed="false">
      <c r="A96" s="6" t="n">
        <v>95</v>
      </c>
      <c r="B96" s="6" t="s">
        <v>9</v>
      </c>
      <c r="C96" s="7" t="n">
        <v>0.652777777777778</v>
      </c>
      <c r="D96" s="7"/>
      <c r="E96" s="6" t="s">
        <v>26</v>
      </c>
      <c r="F96" s="6" t="s">
        <v>181</v>
      </c>
      <c r="G96" s="6" t="s">
        <v>457</v>
      </c>
      <c r="H96" s="6" t="s">
        <v>458</v>
      </c>
      <c r="I96" s="6" t="s">
        <v>459</v>
      </c>
      <c r="J96" s="6" t="s">
        <v>460</v>
      </c>
      <c r="K96" s="6" t="n">
        <v>3</v>
      </c>
      <c r="L96" s="6"/>
      <c r="M96" s="6" t="s">
        <v>240</v>
      </c>
      <c r="N96" s="6" t="s">
        <v>63</v>
      </c>
      <c r="O96" s="6" t="s">
        <v>240</v>
      </c>
      <c r="P96" s="6"/>
      <c r="Q96" s="6"/>
      <c r="R96" s="6"/>
      <c r="S96" s="6"/>
      <c r="T96" s="6"/>
    </row>
    <row r="97" customFormat="false" ht="35.05" hidden="false" customHeight="false" outlineLevel="0" collapsed="false">
      <c r="A97" s="6" t="n">
        <v>96</v>
      </c>
      <c r="B97" s="6" t="s">
        <v>9</v>
      </c>
      <c r="C97" s="7" t="n">
        <v>0.652777777777778</v>
      </c>
      <c r="D97" s="7"/>
      <c r="E97" s="6" t="s">
        <v>16</v>
      </c>
      <c r="F97" s="6" t="s">
        <v>181</v>
      </c>
      <c r="G97" s="6" t="s">
        <v>461</v>
      </c>
      <c r="H97" s="6" t="s">
        <v>462</v>
      </c>
      <c r="I97" s="6" t="s">
        <v>463</v>
      </c>
      <c r="J97" s="6" t="s">
        <v>464</v>
      </c>
      <c r="K97" s="6" t="n">
        <v>2</v>
      </c>
      <c r="L97" s="6"/>
      <c r="M97" s="6" t="s">
        <v>235</v>
      </c>
      <c r="N97" s="6" t="s">
        <v>55</v>
      </c>
      <c r="O97" s="6" t="s">
        <v>235</v>
      </c>
      <c r="P97" s="6"/>
      <c r="Q97" s="6"/>
      <c r="R97" s="6"/>
      <c r="S97" s="6"/>
      <c r="T97" s="6"/>
    </row>
    <row r="98" customFormat="false" ht="35.05" hidden="false" customHeight="false" outlineLevel="0" collapsed="false">
      <c r="A98" s="6" t="n">
        <v>97</v>
      </c>
      <c r="B98" s="6" t="s">
        <v>9</v>
      </c>
      <c r="C98" s="7" t="n">
        <v>0.652777777777778</v>
      </c>
      <c r="D98" s="7"/>
      <c r="E98" s="6" t="s">
        <v>29</v>
      </c>
      <c r="F98" s="6" t="s">
        <v>181</v>
      </c>
      <c r="G98" s="6" t="s">
        <v>465</v>
      </c>
      <c r="H98" s="6" t="s">
        <v>466</v>
      </c>
      <c r="I98" s="6" t="s">
        <v>467</v>
      </c>
      <c r="J98" s="6" t="s">
        <v>468</v>
      </c>
      <c r="K98" s="6" t="n">
        <v>2</v>
      </c>
      <c r="L98" s="6"/>
      <c r="M98" s="6" t="s">
        <v>186</v>
      </c>
      <c r="N98" s="6" t="s">
        <v>55</v>
      </c>
      <c r="O98" s="6" t="s">
        <v>186</v>
      </c>
      <c r="P98" s="6"/>
      <c r="Q98" s="6"/>
      <c r="R98" s="6"/>
      <c r="S98" s="6"/>
      <c r="T98" s="6"/>
    </row>
    <row r="99" customFormat="false" ht="23.85" hidden="false" customHeight="false" outlineLevel="0" collapsed="false">
      <c r="A99" s="6" t="n">
        <v>98</v>
      </c>
      <c r="B99" s="6" t="s">
        <v>9</v>
      </c>
      <c r="C99" s="7" t="n">
        <v>0.652777777777778</v>
      </c>
      <c r="D99" s="7"/>
      <c r="E99" s="6" t="s">
        <v>18</v>
      </c>
      <c r="F99" s="6" t="s">
        <v>192</v>
      </c>
      <c r="G99" s="6" t="s">
        <v>469</v>
      </c>
      <c r="H99" s="6" t="s">
        <v>470</v>
      </c>
      <c r="I99" s="6" t="s">
        <v>471</v>
      </c>
      <c r="J99" s="6" t="s">
        <v>472</v>
      </c>
      <c r="K99" s="6" t="n">
        <v>1</v>
      </c>
      <c r="L99" s="6"/>
      <c r="M99" s="6" t="s">
        <v>215</v>
      </c>
      <c r="N99" s="6" t="s">
        <v>63</v>
      </c>
      <c r="O99" s="6" t="s">
        <v>473</v>
      </c>
      <c r="P99" s="6"/>
      <c r="Q99" s="6"/>
      <c r="R99" s="6"/>
      <c r="S99" s="6"/>
      <c r="T99" s="6"/>
    </row>
    <row r="100" customFormat="false" ht="23.85" hidden="false" customHeight="false" outlineLevel="0" collapsed="false">
      <c r="A100" s="6" t="n">
        <v>99</v>
      </c>
      <c r="B100" s="6" t="s">
        <v>9</v>
      </c>
      <c r="C100" s="7" t="n">
        <v>0.652777777777778</v>
      </c>
      <c r="D100" s="7"/>
      <c r="E100" s="6" t="s">
        <v>28</v>
      </c>
      <c r="F100" s="6" t="s">
        <v>251</v>
      </c>
      <c r="G100" s="6" t="s">
        <v>474</v>
      </c>
      <c r="H100" s="6" t="s">
        <v>475</v>
      </c>
      <c r="I100" s="6" t="s">
        <v>476</v>
      </c>
      <c r="J100" s="6" t="s">
        <v>477</v>
      </c>
      <c r="K100" s="6" t="n">
        <v>1</v>
      </c>
      <c r="L100" s="6"/>
      <c r="M100" s="6" t="s">
        <v>28</v>
      </c>
      <c r="N100" s="6"/>
      <c r="O100" s="6" t="s">
        <v>28</v>
      </c>
      <c r="P100" s="6"/>
      <c r="Q100" s="6"/>
      <c r="R100" s="6"/>
      <c r="S100" s="6"/>
      <c r="T100" s="6"/>
    </row>
    <row r="101" customFormat="false" ht="35.05" hidden="false" customHeight="false" outlineLevel="0" collapsed="false">
      <c r="A101" s="6" t="n">
        <v>100</v>
      </c>
      <c r="B101" s="6" t="s">
        <v>9</v>
      </c>
      <c r="C101" s="7" t="n">
        <v>0.652777777777778</v>
      </c>
      <c r="D101" s="7"/>
      <c r="E101" s="6" t="s">
        <v>14</v>
      </c>
      <c r="F101" s="6" t="s">
        <v>181</v>
      </c>
      <c r="G101" s="6" t="s">
        <v>478</v>
      </c>
      <c r="H101" s="6" t="s">
        <v>479</v>
      </c>
      <c r="I101" s="6" t="s">
        <v>480</v>
      </c>
      <c r="J101" s="6" t="s">
        <v>481</v>
      </c>
      <c r="K101" s="6" t="n">
        <v>2</v>
      </c>
      <c r="L101" s="6"/>
      <c r="M101" s="6" t="s">
        <v>69</v>
      </c>
      <c r="N101" s="6" t="s">
        <v>55</v>
      </c>
      <c r="O101" s="6" t="s">
        <v>69</v>
      </c>
      <c r="P101" s="6"/>
      <c r="Q101" s="6"/>
      <c r="R101" s="6"/>
      <c r="S101" s="6"/>
      <c r="T101" s="6"/>
    </row>
    <row r="102" customFormat="false" ht="35.05" hidden="false" customHeight="false" outlineLevel="0" collapsed="false">
      <c r="A102" s="6" t="n">
        <v>101</v>
      </c>
      <c r="B102" s="6" t="s">
        <v>9</v>
      </c>
      <c r="C102" s="7" t="n">
        <v>0.652777777777778</v>
      </c>
      <c r="D102" s="7"/>
      <c r="E102" s="6" t="s">
        <v>25</v>
      </c>
      <c r="F102" s="6" t="s">
        <v>181</v>
      </c>
      <c r="G102" s="6" t="s">
        <v>482</v>
      </c>
      <c r="H102" s="6" t="s">
        <v>483</v>
      </c>
      <c r="I102" s="6" t="s">
        <v>484</v>
      </c>
      <c r="J102" s="6" t="s">
        <v>485</v>
      </c>
      <c r="K102" s="6" t="n">
        <v>2</v>
      </c>
      <c r="L102" s="6"/>
      <c r="M102" s="6" t="s">
        <v>245</v>
      </c>
      <c r="N102" s="6" t="s">
        <v>63</v>
      </c>
      <c r="O102" s="6" t="s">
        <v>246</v>
      </c>
      <c r="P102" s="6"/>
      <c r="Q102" s="6"/>
      <c r="R102" s="6"/>
      <c r="S102" s="6"/>
      <c r="T102" s="6"/>
    </row>
    <row r="103" customFormat="false" ht="35.05" hidden="false" customHeight="false" outlineLevel="0" collapsed="false">
      <c r="A103" s="6" t="n">
        <v>102</v>
      </c>
      <c r="B103" s="6" t="s">
        <v>9</v>
      </c>
      <c r="C103" s="7" t="n">
        <v>0.652777777777778</v>
      </c>
      <c r="D103" s="7"/>
      <c r="E103" s="6" t="s">
        <v>23</v>
      </c>
      <c r="F103" s="6" t="s">
        <v>181</v>
      </c>
      <c r="G103" s="6" t="s">
        <v>486</v>
      </c>
      <c r="H103" s="6" t="s">
        <v>487</v>
      </c>
      <c r="I103" s="6" t="s">
        <v>488</v>
      </c>
      <c r="J103" s="6" t="s">
        <v>489</v>
      </c>
      <c r="K103" s="6" t="n">
        <v>2</v>
      </c>
      <c r="L103" s="6"/>
      <c r="M103" s="6" t="s">
        <v>180</v>
      </c>
      <c r="N103" s="6" t="s">
        <v>63</v>
      </c>
      <c r="O103" s="6" t="s">
        <v>210</v>
      </c>
      <c r="P103" s="6"/>
      <c r="Q103" s="6"/>
      <c r="R103" s="6"/>
      <c r="S103" s="6"/>
      <c r="T103" s="6"/>
    </row>
    <row r="104" customFormat="false" ht="23.85" hidden="false" customHeight="false" outlineLevel="0" collapsed="false">
      <c r="A104" s="6" t="n">
        <v>103</v>
      </c>
      <c r="B104" s="6" t="s">
        <v>9</v>
      </c>
      <c r="C104" s="7" t="n">
        <v>0.659722222222222</v>
      </c>
      <c r="D104" s="7"/>
      <c r="E104" s="6" t="s">
        <v>29</v>
      </c>
      <c r="F104" s="6" t="s">
        <v>192</v>
      </c>
      <c r="G104" s="6" t="s">
        <v>490</v>
      </c>
      <c r="H104" s="6" t="s">
        <v>491</v>
      </c>
      <c r="I104" s="6" t="s">
        <v>492</v>
      </c>
      <c r="J104" s="6" t="s">
        <v>493</v>
      </c>
      <c r="K104" s="6" t="n">
        <v>1</v>
      </c>
      <c r="L104" s="6"/>
      <c r="M104" s="6" t="s">
        <v>186</v>
      </c>
      <c r="N104" s="6" t="s">
        <v>55</v>
      </c>
      <c r="O104" s="6" t="s">
        <v>186</v>
      </c>
      <c r="P104" s="6"/>
      <c r="Q104" s="6"/>
      <c r="R104" s="6"/>
      <c r="S104" s="6"/>
      <c r="T104" s="6"/>
    </row>
    <row r="105" customFormat="false" ht="23.85" hidden="false" customHeight="false" outlineLevel="0" collapsed="false">
      <c r="A105" s="6" t="n">
        <v>104</v>
      </c>
      <c r="B105" s="6" t="s">
        <v>9</v>
      </c>
      <c r="C105" s="7" t="n">
        <v>0.659722222222222</v>
      </c>
      <c r="D105" s="7"/>
      <c r="E105" s="6" t="s">
        <v>13</v>
      </c>
      <c r="F105" s="6" t="s">
        <v>192</v>
      </c>
      <c r="G105" s="6" t="s">
        <v>494</v>
      </c>
      <c r="H105" s="6" t="s">
        <v>495</v>
      </c>
      <c r="I105" s="6" t="s">
        <v>496</v>
      </c>
      <c r="J105" s="6" t="s">
        <v>497</v>
      </c>
      <c r="K105" s="6" t="n">
        <v>1</v>
      </c>
      <c r="L105" s="6"/>
      <c r="M105" s="6" t="s">
        <v>62</v>
      </c>
      <c r="N105" s="6" t="s">
        <v>63</v>
      </c>
      <c r="O105" s="6" t="s">
        <v>62</v>
      </c>
      <c r="P105" s="6"/>
      <c r="Q105" s="6"/>
      <c r="R105" s="6"/>
      <c r="S105" s="6"/>
      <c r="T105" s="6"/>
    </row>
    <row r="106" customFormat="false" ht="23.85" hidden="false" customHeight="false" outlineLevel="0" collapsed="false">
      <c r="A106" s="6" t="n">
        <v>105</v>
      </c>
      <c r="B106" s="6" t="s">
        <v>9</v>
      </c>
      <c r="C106" s="7" t="n">
        <v>0.659722222222222</v>
      </c>
      <c r="D106" s="7"/>
      <c r="E106" s="6" t="s">
        <v>28</v>
      </c>
      <c r="F106" s="6" t="s">
        <v>251</v>
      </c>
      <c r="G106" s="6" t="s">
        <v>498</v>
      </c>
      <c r="H106" s="6" t="s">
        <v>499</v>
      </c>
      <c r="I106" s="6" t="s">
        <v>500</v>
      </c>
      <c r="J106" s="6" t="s">
        <v>501</v>
      </c>
      <c r="K106" s="6" t="n">
        <v>1</v>
      </c>
      <c r="L106" s="6"/>
      <c r="M106" s="6" t="s">
        <v>28</v>
      </c>
      <c r="N106" s="6"/>
      <c r="O106" s="6" t="s">
        <v>28</v>
      </c>
      <c r="P106" s="6"/>
      <c r="Q106" s="6"/>
      <c r="R106" s="6"/>
      <c r="S106" s="6"/>
      <c r="T106" s="6"/>
    </row>
    <row r="107" customFormat="false" ht="46.25" hidden="false" customHeight="false" outlineLevel="0" collapsed="false">
      <c r="A107" s="6" t="n">
        <v>106</v>
      </c>
      <c r="B107" s="6" t="s">
        <v>9</v>
      </c>
      <c r="C107" s="7" t="n">
        <v>0.663194444444444</v>
      </c>
      <c r="D107" s="7"/>
      <c r="E107" s="6" t="s">
        <v>20</v>
      </c>
      <c r="F107" s="6" t="s">
        <v>181</v>
      </c>
      <c r="G107" s="6" t="s">
        <v>502</v>
      </c>
      <c r="H107" s="6" t="s">
        <v>503</v>
      </c>
      <c r="I107" s="6" t="s">
        <v>504</v>
      </c>
      <c r="J107" s="6" t="s">
        <v>505</v>
      </c>
      <c r="K107" s="6" t="n">
        <v>2</v>
      </c>
      <c r="L107" s="6"/>
      <c r="M107" s="6" t="s">
        <v>220</v>
      </c>
      <c r="N107" s="6" t="s">
        <v>63</v>
      </c>
      <c r="O107" s="6" t="s">
        <v>221</v>
      </c>
      <c r="P107" s="6" t="s">
        <v>506</v>
      </c>
      <c r="Q107" s="6"/>
      <c r="R107" s="6"/>
      <c r="S107" s="6"/>
      <c r="T107" s="6"/>
    </row>
    <row r="108" customFormat="false" ht="23.85" hidden="false" customHeight="false" outlineLevel="0" collapsed="false">
      <c r="A108" s="6" t="n">
        <v>107</v>
      </c>
      <c r="B108" s="6" t="s">
        <v>9</v>
      </c>
      <c r="C108" s="7" t="n">
        <v>0.663194444444444</v>
      </c>
      <c r="D108" s="7"/>
      <c r="E108" s="6" t="s">
        <v>19</v>
      </c>
      <c r="F108" s="6" t="s">
        <v>181</v>
      </c>
      <c r="G108" s="6" t="s">
        <v>507</v>
      </c>
      <c r="H108" s="6" t="s">
        <v>508</v>
      </c>
      <c r="I108" s="6" t="s">
        <v>509</v>
      </c>
      <c r="J108" s="6" t="s">
        <v>61</v>
      </c>
      <c r="K108" s="6" t="n">
        <v>1</v>
      </c>
      <c r="L108" s="6"/>
      <c r="M108" s="6" t="s">
        <v>204</v>
      </c>
      <c r="N108" s="6" t="s">
        <v>63</v>
      </c>
      <c r="O108" s="6" t="s">
        <v>510</v>
      </c>
      <c r="P108" s="6"/>
      <c r="Q108" s="6"/>
      <c r="R108" s="6"/>
      <c r="S108" s="6"/>
      <c r="T108" s="6"/>
    </row>
    <row r="109" customFormat="false" ht="35.05" hidden="false" customHeight="false" outlineLevel="0" collapsed="false">
      <c r="A109" s="6" t="n">
        <v>108</v>
      </c>
      <c r="B109" s="6" t="s">
        <v>9</v>
      </c>
      <c r="C109" s="7" t="n">
        <v>0.663194444444444</v>
      </c>
      <c r="D109" s="7"/>
      <c r="E109" s="6" t="s">
        <v>26</v>
      </c>
      <c r="F109" s="6" t="s">
        <v>192</v>
      </c>
      <c r="G109" s="6" t="s">
        <v>511</v>
      </c>
      <c r="H109" s="6" t="s">
        <v>512</v>
      </c>
      <c r="I109" s="6" t="s">
        <v>513</v>
      </c>
      <c r="J109" s="6" t="s">
        <v>514</v>
      </c>
      <c r="K109" s="6" t="n">
        <v>2</v>
      </c>
      <c r="L109" s="6"/>
      <c r="M109" s="6" t="s">
        <v>240</v>
      </c>
      <c r="N109" s="6" t="s">
        <v>63</v>
      </c>
      <c r="O109" s="6" t="s">
        <v>240</v>
      </c>
      <c r="P109" s="6"/>
      <c r="Q109" s="6"/>
      <c r="R109" s="6"/>
      <c r="S109" s="6"/>
      <c r="T109" s="6"/>
    </row>
    <row r="110" customFormat="false" ht="46.25" hidden="false" customHeight="false" outlineLevel="0" collapsed="false">
      <c r="A110" s="6" t="n">
        <v>109</v>
      </c>
      <c r="B110" s="6" t="s">
        <v>9</v>
      </c>
      <c r="C110" s="7" t="n">
        <v>0.663194444444444</v>
      </c>
      <c r="D110" s="7"/>
      <c r="E110" s="6" t="s">
        <v>23</v>
      </c>
      <c r="F110" s="6" t="s">
        <v>95</v>
      </c>
      <c r="G110" s="6" t="s">
        <v>515</v>
      </c>
      <c r="H110" s="6" t="s">
        <v>516</v>
      </c>
      <c r="I110" s="6" t="s">
        <v>517</v>
      </c>
      <c r="J110" s="6" t="s">
        <v>518</v>
      </c>
      <c r="K110" s="6" t="n">
        <v>3</v>
      </c>
      <c r="L110" s="6" t="n">
        <v>2</v>
      </c>
      <c r="M110" s="6" t="s">
        <v>180</v>
      </c>
      <c r="N110" s="6" t="s">
        <v>63</v>
      </c>
      <c r="O110" s="6" t="s">
        <v>290</v>
      </c>
      <c r="P110" s="6"/>
      <c r="Q110" s="6"/>
      <c r="R110" s="6"/>
      <c r="S110" s="6"/>
      <c r="T110" s="6"/>
    </row>
    <row r="111" customFormat="false" ht="102.2" hidden="false" customHeight="false" outlineLevel="0" collapsed="false">
      <c r="A111" s="6" t="n">
        <v>110</v>
      </c>
      <c r="B111" s="6" t="s">
        <v>9</v>
      </c>
      <c r="C111" s="7" t="n">
        <v>0.663194444444444</v>
      </c>
      <c r="D111" s="7"/>
      <c r="E111" s="6" t="s">
        <v>12</v>
      </c>
      <c r="F111" s="6" t="s">
        <v>192</v>
      </c>
      <c r="G111" s="6" t="s">
        <v>519</v>
      </c>
      <c r="H111" s="6" t="s">
        <v>520</v>
      </c>
      <c r="I111" s="6" t="s">
        <v>521</v>
      </c>
      <c r="J111" s="6" t="s">
        <v>522</v>
      </c>
      <c r="K111" s="6" t="n">
        <v>1</v>
      </c>
      <c r="L111" s="6"/>
      <c r="M111" s="6" t="s">
        <v>197</v>
      </c>
      <c r="N111" s="6" t="s">
        <v>55</v>
      </c>
      <c r="O111" s="6" t="s">
        <v>197</v>
      </c>
      <c r="P111" s="6" t="s">
        <v>523</v>
      </c>
      <c r="Q111" s="6"/>
      <c r="R111" s="6"/>
      <c r="S111" s="6"/>
      <c r="T111" s="6"/>
    </row>
    <row r="112" customFormat="false" ht="23.85" hidden="false" customHeight="false" outlineLevel="0" collapsed="false">
      <c r="A112" s="6" t="n">
        <v>111</v>
      </c>
      <c r="B112" s="6" t="s">
        <v>9</v>
      </c>
      <c r="C112" s="7" t="n">
        <v>0.663194444444444</v>
      </c>
      <c r="D112" s="7"/>
      <c r="E112" s="6" t="s">
        <v>18</v>
      </c>
      <c r="F112" s="6" t="s">
        <v>192</v>
      </c>
      <c r="G112" s="6" t="s">
        <v>524</v>
      </c>
      <c r="H112" s="6" t="s">
        <v>525</v>
      </c>
      <c r="I112" s="6" t="s">
        <v>526</v>
      </c>
      <c r="J112" s="6" t="s">
        <v>527</v>
      </c>
      <c r="K112" s="6" t="n">
        <v>1</v>
      </c>
      <c r="L112" s="6"/>
      <c r="M112" s="6" t="s">
        <v>215</v>
      </c>
      <c r="N112" s="6" t="s">
        <v>63</v>
      </c>
      <c r="O112" s="6" t="s">
        <v>473</v>
      </c>
      <c r="P112" s="6"/>
      <c r="Q112" s="6"/>
      <c r="R112" s="6"/>
      <c r="S112" s="6"/>
      <c r="T112" s="6"/>
    </row>
    <row r="113" customFormat="false" ht="23.85" hidden="false" customHeight="false" outlineLevel="0" collapsed="false">
      <c r="A113" s="6" t="n">
        <v>112</v>
      </c>
      <c r="B113" s="6" t="s">
        <v>9</v>
      </c>
      <c r="C113" s="7" t="n">
        <v>0.663194444444444</v>
      </c>
      <c r="D113" s="7"/>
      <c r="E113" s="6" t="s">
        <v>14</v>
      </c>
      <c r="F113" s="6" t="s">
        <v>192</v>
      </c>
      <c r="G113" s="6" t="s">
        <v>528</v>
      </c>
      <c r="H113" s="6" t="s">
        <v>529</v>
      </c>
      <c r="I113" s="6" t="s">
        <v>530</v>
      </c>
      <c r="J113" s="6" t="s">
        <v>531</v>
      </c>
      <c r="K113" s="6" t="n">
        <v>1</v>
      </c>
      <c r="L113" s="6"/>
      <c r="M113" s="6"/>
      <c r="N113" s="6"/>
      <c r="O113" s="6"/>
      <c r="P113" s="6"/>
      <c r="Q113" s="6"/>
      <c r="R113" s="6"/>
      <c r="S113" s="6"/>
      <c r="T113" s="6"/>
    </row>
    <row r="114" customFormat="false" ht="23.85" hidden="false" customHeight="false" outlineLevel="0" collapsed="false">
      <c r="A114" s="6" t="n">
        <v>113</v>
      </c>
      <c r="B114" s="6" t="s">
        <v>9</v>
      </c>
      <c r="C114" s="7" t="n">
        <v>0.663194444444444</v>
      </c>
      <c r="D114" s="7"/>
      <c r="E114" s="6" t="s">
        <v>25</v>
      </c>
      <c r="F114" s="6" t="s">
        <v>181</v>
      </c>
      <c r="G114" s="6" t="s">
        <v>532</v>
      </c>
      <c r="H114" s="6" t="s">
        <v>533</v>
      </c>
      <c r="I114" s="6" t="s">
        <v>534</v>
      </c>
      <c r="J114" s="6" t="s">
        <v>535</v>
      </c>
      <c r="K114" s="6" t="n">
        <v>2</v>
      </c>
      <c r="L114" s="6"/>
      <c r="M114" s="6" t="s">
        <v>245</v>
      </c>
      <c r="N114" s="6" t="s">
        <v>63</v>
      </c>
      <c r="O114" s="6" t="s">
        <v>246</v>
      </c>
      <c r="P114" s="6"/>
      <c r="Q114" s="6"/>
      <c r="R114" s="6"/>
      <c r="S114" s="6"/>
      <c r="T114" s="6"/>
    </row>
    <row r="115" customFormat="false" ht="23.85" hidden="false" customHeight="false" outlineLevel="0" collapsed="false">
      <c r="A115" s="6" t="n">
        <v>114</v>
      </c>
      <c r="B115" s="6" t="s">
        <v>9</v>
      </c>
      <c r="C115" s="7" t="n">
        <v>0.663194444444444</v>
      </c>
      <c r="D115" s="7"/>
      <c r="E115" s="6" t="s">
        <v>16</v>
      </c>
      <c r="F115" s="6" t="s">
        <v>199</v>
      </c>
      <c r="G115" s="6" t="s">
        <v>536</v>
      </c>
      <c r="H115" s="6" t="s">
        <v>537</v>
      </c>
      <c r="I115" s="6" t="s">
        <v>538</v>
      </c>
      <c r="J115" s="6" t="s">
        <v>539</v>
      </c>
      <c r="K115" s="6" t="n">
        <v>1</v>
      </c>
      <c r="L115" s="6"/>
      <c r="M115" s="6" t="s">
        <v>235</v>
      </c>
      <c r="N115" s="6" t="s">
        <v>55</v>
      </c>
      <c r="O115" s="6" t="s">
        <v>235</v>
      </c>
      <c r="P115" s="6"/>
      <c r="Q115" s="6"/>
      <c r="R115" s="6"/>
      <c r="S115" s="6"/>
      <c r="T115" s="6"/>
    </row>
    <row r="116" customFormat="false" ht="35.05" hidden="false" customHeight="false" outlineLevel="0" collapsed="false">
      <c r="A116" s="6" t="n">
        <v>115</v>
      </c>
      <c r="B116" s="6" t="s">
        <v>9</v>
      </c>
      <c r="C116" s="7" t="n">
        <v>0.666666666666667</v>
      </c>
      <c r="D116" s="7"/>
      <c r="E116" s="6" t="s">
        <v>29</v>
      </c>
      <c r="F116" s="6" t="s">
        <v>181</v>
      </c>
      <c r="G116" s="6" t="s">
        <v>540</v>
      </c>
      <c r="H116" s="6" t="s">
        <v>541</v>
      </c>
      <c r="I116" s="6" t="s">
        <v>542</v>
      </c>
      <c r="J116" s="6" t="s">
        <v>543</v>
      </c>
      <c r="K116" s="6" t="n">
        <v>2</v>
      </c>
      <c r="L116" s="6"/>
      <c r="M116" s="6" t="s">
        <v>186</v>
      </c>
      <c r="N116" s="6" t="s">
        <v>55</v>
      </c>
      <c r="O116" s="6" t="s">
        <v>186</v>
      </c>
      <c r="P116" s="6"/>
      <c r="Q116" s="6"/>
      <c r="R116" s="6"/>
      <c r="S116" s="6"/>
      <c r="T116" s="6"/>
    </row>
    <row r="117" customFormat="false" ht="23.85" hidden="false" customHeight="false" outlineLevel="0" collapsed="false">
      <c r="A117" s="6" t="n">
        <v>116</v>
      </c>
      <c r="B117" s="6" t="s">
        <v>9</v>
      </c>
      <c r="C117" s="7" t="n">
        <v>0.666666666666667</v>
      </c>
      <c r="D117" s="7"/>
      <c r="E117" s="6" t="s">
        <v>28</v>
      </c>
      <c r="F117" s="6" t="s">
        <v>251</v>
      </c>
      <c r="G117" s="6" t="s">
        <v>544</v>
      </c>
      <c r="H117" s="6" t="s">
        <v>545</v>
      </c>
      <c r="I117" s="6" t="s">
        <v>546</v>
      </c>
      <c r="J117" s="6" t="s">
        <v>547</v>
      </c>
      <c r="K117" s="6" t="n">
        <v>1</v>
      </c>
      <c r="L117" s="6"/>
      <c r="M117" s="6" t="s">
        <v>28</v>
      </c>
      <c r="N117" s="6"/>
      <c r="O117" s="6" t="s">
        <v>28</v>
      </c>
      <c r="P117" s="6"/>
      <c r="Q117" s="6"/>
      <c r="R117" s="6"/>
      <c r="S117" s="6"/>
      <c r="T117" s="6"/>
    </row>
    <row r="118" customFormat="false" ht="79.85" hidden="false" customHeight="false" outlineLevel="0" collapsed="false">
      <c r="A118" s="6" t="n">
        <v>117</v>
      </c>
      <c r="B118" s="6" t="s">
        <v>9</v>
      </c>
      <c r="C118" s="7" t="n">
        <v>0.670138888888889</v>
      </c>
      <c r="D118" s="7"/>
      <c r="E118" s="6" t="s">
        <v>13</v>
      </c>
      <c r="F118" s="6" t="s">
        <v>192</v>
      </c>
      <c r="G118" s="6" t="s">
        <v>548</v>
      </c>
      <c r="H118" s="6" t="s">
        <v>549</v>
      </c>
      <c r="I118" s="6" t="s">
        <v>550</v>
      </c>
      <c r="J118" s="6" t="s">
        <v>551</v>
      </c>
      <c r="K118" s="6" t="n">
        <v>1</v>
      </c>
      <c r="L118" s="6"/>
      <c r="M118" s="6" t="s">
        <v>62</v>
      </c>
      <c r="N118" s="6" t="s">
        <v>63</v>
      </c>
      <c r="O118" s="6" t="s">
        <v>444</v>
      </c>
      <c r="P118" s="6" t="s">
        <v>552</v>
      </c>
      <c r="Q118" s="6"/>
      <c r="R118" s="6"/>
      <c r="S118" s="6"/>
      <c r="T118" s="6"/>
    </row>
    <row r="119" customFormat="false" ht="23.85" hidden="false" customHeight="false" outlineLevel="0" collapsed="false">
      <c r="A119" s="6" t="n">
        <v>118</v>
      </c>
      <c r="B119" s="6" t="s">
        <v>9</v>
      </c>
      <c r="C119" s="7" t="n">
        <v>0.673611111111111</v>
      </c>
      <c r="D119" s="7"/>
      <c r="E119" s="6" t="s">
        <v>12</v>
      </c>
      <c r="F119" s="6" t="s">
        <v>192</v>
      </c>
      <c r="G119" s="6" t="s">
        <v>553</v>
      </c>
      <c r="H119" s="6" t="s">
        <v>554</v>
      </c>
      <c r="I119" s="6" t="s">
        <v>555</v>
      </c>
      <c r="J119" s="6" t="s">
        <v>556</v>
      </c>
      <c r="K119" s="6" t="n">
        <v>1</v>
      </c>
      <c r="L119" s="6"/>
      <c r="M119" s="6" t="s">
        <v>197</v>
      </c>
      <c r="N119" s="6" t="s">
        <v>55</v>
      </c>
      <c r="O119" s="6" t="s">
        <v>197</v>
      </c>
      <c r="P119" s="6"/>
      <c r="Q119" s="6"/>
      <c r="R119" s="6"/>
      <c r="S119" s="6"/>
      <c r="T119" s="6"/>
    </row>
    <row r="120" customFormat="false" ht="124.6" hidden="false" customHeight="false" outlineLevel="0" collapsed="false">
      <c r="A120" s="6" t="n">
        <v>119</v>
      </c>
      <c r="B120" s="6" t="s">
        <v>9</v>
      </c>
      <c r="C120" s="7" t="n">
        <v>0.673611111111111</v>
      </c>
      <c r="D120" s="7"/>
      <c r="E120" s="6" t="s">
        <v>20</v>
      </c>
      <c r="F120" s="6" t="s">
        <v>95</v>
      </c>
      <c r="G120" s="6" t="s">
        <v>557</v>
      </c>
      <c r="H120" s="6" t="s">
        <v>558</v>
      </c>
      <c r="I120" s="6" t="s">
        <v>559</v>
      </c>
      <c r="J120" s="6" t="s">
        <v>560</v>
      </c>
      <c r="K120" s="6" t="n">
        <v>3</v>
      </c>
      <c r="L120" s="6" t="n">
        <v>2</v>
      </c>
      <c r="M120" s="6" t="s">
        <v>220</v>
      </c>
      <c r="N120" s="6" t="s">
        <v>63</v>
      </c>
      <c r="O120" s="6" t="s">
        <v>221</v>
      </c>
      <c r="P120" s="6" t="s">
        <v>561</v>
      </c>
      <c r="Q120" s="6"/>
      <c r="R120" s="6"/>
      <c r="S120" s="6"/>
      <c r="T120" s="6"/>
    </row>
    <row r="121" customFormat="false" ht="23.85" hidden="false" customHeight="false" outlineLevel="0" collapsed="false">
      <c r="A121" s="6" t="n">
        <v>120</v>
      </c>
      <c r="B121" s="6" t="s">
        <v>9</v>
      </c>
      <c r="C121" s="7" t="n">
        <v>0.673611111111111</v>
      </c>
      <c r="D121" s="7"/>
      <c r="E121" s="6" t="s">
        <v>28</v>
      </c>
      <c r="F121" s="6" t="s">
        <v>251</v>
      </c>
      <c r="G121" s="6" t="s">
        <v>562</v>
      </c>
      <c r="H121" s="6" t="s">
        <v>563</v>
      </c>
      <c r="I121" s="6" t="s">
        <v>564</v>
      </c>
      <c r="J121" s="6" t="s">
        <v>565</v>
      </c>
      <c r="K121" s="6" t="n">
        <v>1</v>
      </c>
      <c r="L121" s="6"/>
      <c r="M121" s="6" t="s">
        <v>28</v>
      </c>
      <c r="N121" s="6"/>
      <c r="O121" s="6" t="s">
        <v>28</v>
      </c>
      <c r="P121" s="6"/>
      <c r="Q121" s="6"/>
      <c r="R121" s="6"/>
      <c r="S121" s="6"/>
      <c r="T121" s="6"/>
    </row>
    <row r="122" customFormat="false" ht="68.65" hidden="false" customHeight="false" outlineLevel="0" collapsed="false">
      <c r="A122" s="6" t="n">
        <v>121</v>
      </c>
      <c r="B122" s="6" t="s">
        <v>9</v>
      </c>
      <c r="C122" s="7" t="n">
        <v>0.673611111111111</v>
      </c>
      <c r="D122" s="7"/>
      <c r="E122" s="6" t="s">
        <v>26</v>
      </c>
      <c r="F122" s="6" t="s">
        <v>199</v>
      </c>
      <c r="G122" s="6" t="s">
        <v>566</v>
      </c>
      <c r="H122" s="6" t="s">
        <v>567</v>
      </c>
      <c r="I122" s="6" t="s">
        <v>568</v>
      </c>
      <c r="J122" s="6" t="s">
        <v>569</v>
      </c>
      <c r="K122" s="6" t="n">
        <v>3</v>
      </c>
      <c r="L122" s="6" t="n">
        <v>1</v>
      </c>
      <c r="M122" s="6" t="s">
        <v>240</v>
      </c>
      <c r="N122" s="6" t="s">
        <v>63</v>
      </c>
      <c r="O122" s="6" t="s">
        <v>240</v>
      </c>
      <c r="P122" s="6" t="s">
        <v>570</v>
      </c>
      <c r="Q122" s="6"/>
      <c r="R122" s="6"/>
      <c r="S122" s="6"/>
      <c r="T122" s="6"/>
    </row>
    <row r="123" customFormat="false" ht="68.65" hidden="false" customHeight="false" outlineLevel="0" collapsed="false">
      <c r="A123" s="6" t="n">
        <v>122</v>
      </c>
      <c r="B123" s="6" t="s">
        <v>9</v>
      </c>
      <c r="C123" s="7" t="n">
        <v>0.673611111111111</v>
      </c>
      <c r="D123" s="7"/>
      <c r="E123" s="6" t="s">
        <v>25</v>
      </c>
      <c r="F123" s="6" t="s">
        <v>95</v>
      </c>
      <c r="G123" s="6" t="s">
        <v>571</v>
      </c>
      <c r="H123" s="6" t="s">
        <v>572</v>
      </c>
      <c r="I123" s="6" t="s">
        <v>573</v>
      </c>
      <c r="J123" s="6" t="s">
        <v>574</v>
      </c>
      <c r="K123" s="6" t="n">
        <v>3</v>
      </c>
      <c r="L123" s="6" t="n">
        <v>2</v>
      </c>
      <c r="M123" s="6" t="s">
        <v>245</v>
      </c>
      <c r="N123" s="6" t="s">
        <v>63</v>
      </c>
      <c r="O123" s="6" t="s">
        <v>246</v>
      </c>
      <c r="P123" s="6" t="s">
        <v>575</v>
      </c>
      <c r="Q123" s="6"/>
      <c r="R123" s="6"/>
      <c r="S123" s="6"/>
      <c r="T123" s="6"/>
    </row>
    <row r="124" customFormat="false" ht="23.85" hidden="false" customHeight="false" outlineLevel="0" collapsed="false">
      <c r="A124" s="6" t="n">
        <v>123</v>
      </c>
      <c r="B124" s="6" t="s">
        <v>9</v>
      </c>
      <c r="C124" s="7" t="n">
        <v>0.673611111111111</v>
      </c>
      <c r="D124" s="7"/>
      <c r="E124" s="6" t="s">
        <v>19</v>
      </c>
      <c r="F124" s="6" t="s">
        <v>192</v>
      </c>
      <c r="G124" s="6" t="s">
        <v>576</v>
      </c>
      <c r="H124" s="6" t="s">
        <v>577</v>
      </c>
      <c r="I124" s="6" t="s">
        <v>578</v>
      </c>
      <c r="J124" s="6" t="s">
        <v>579</v>
      </c>
      <c r="K124" s="6" t="n">
        <v>1</v>
      </c>
      <c r="L124" s="6"/>
      <c r="M124" s="6" t="s">
        <v>204</v>
      </c>
      <c r="N124" s="6" t="s">
        <v>63</v>
      </c>
      <c r="O124" s="6" t="s">
        <v>510</v>
      </c>
      <c r="P124" s="6"/>
      <c r="Q124" s="6"/>
      <c r="R124" s="6"/>
      <c r="S124" s="6"/>
      <c r="T124" s="6"/>
    </row>
    <row r="125" customFormat="false" ht="91" hidden="false" customHeight="false" outlineLevel="0" collapsed="false">
      <c r="A125" s="6" t="n">
        <v>124</v>
      </c>
      <c r="B125" s="6" t="s">
        <v>9</v>
      </c>
      <c r="C125" s="7" t="n">
        <v>0.673611111111111</v>
      </c>
      <c r="D125" s="7"/>
      <c r="E125" s="6" t="s">
        <v>14</v>
      </c>
      <c r="F125" s="6" t="s">
        <v>95</v>
      </c>
      <c r="G125" s="6" t="s">
        <v>580</v>
      </c>
      <c r="H125" s="6" t="s">
        <v>581</v>
      </c>
      <c r="I125" s="6" t="s">
        <v>582</v>
      </c>
      <c r="J125" s="6" t="s">
        <v>583</v>
      </c>
      <c r="K125" s="6" t="n">
        <v>3</v>
      </c>
      <c r="L125" s="6" t="n">
        <v>3</v>
      </c>
      <c r="M125" s="6" t="s">
        <v>69</v>
      </c>
      <c r="N125" s="6" t="s">
        <v>55</v>
      </c>
      <c r="O125" s="6" t="s">
        <v>69</v>
      </c>
      <c r="P125" s="6" t="s">
        <v>584</v>
      </c>
      <c r="Q125" s="6"/>
      <c r="R125" s="6"/>
      <c r="S125" s="6"/>
      <c r="T125" s="6"/>
    </row>
    <row r="126" customFormat="false" ht="68.65" hidden="false" customHeight="false" outlineLevel="0" collapsed="false">
      <c r="A126" s="6" t="n">
        <v>125</v>
      </c>
      <c r="B126" s="6" t="s">
        <v>9</v>
      </c>
      <c r="C126" s="7" t="n">
        <v>0.673611111111111</v>
      </c>
      <c r="D126" s="7"/>
      <c r="E126" s="6" t="s">
        <v>18</v>
      </c>
      <c r="F126" s="6" t="s">
        <v>95</v>
      </c>
      <c r="G126" s="6" t="s">
        <v>585</v>
      </c>
      <c r="H126" s="6" t="s">
        <v>586</v>
      </c>
      <c r="I126" s="6" t="s">
        <v>587</v>
      </c>
      <c r="J126" s="6" t="s">
        <v>588</v>
      </c>
      <c r="K126" s="6" t="n">
        <v>3</v>
      </c>
      <c r="L126" s="6" t="n">
        <v>2</v>
      </c>
      <c r="M126" s="6" t="s">
        <v>215</v>
      </c>
      <c r="N126" s="6" t="s">
        <v>63</v>
      </c>
      <c r="O126" s="6" t="s">
        <v>215</v>
      </c>
      <c r="P126" s="6" t="s">
        <v>589</v>
      </c>
      <c r="Q126" s="6"/>
      <c r="R126" s="6"/>
      <c r="S126" s="6"/>
      <c r="T126" s="6"/>
    </row>
    <row r="127" customFormat="false" ht="113.4" hidden="false" customHeight="false" outlineLevel="0" collapsed="false">
      <c r="A127" s="6" t="n">
        <v>126</v>
      </c>
      <c r="B127" s="6" t="s">
        <v>9</v>
      </c>
      <c r="C127" s="7" t="n">
        <v>0.673611111111111</v>
      </c>
      <c r="D127" s="7"/>
      <c r="E127" s="6" t="s">
        <v>16</v>
      </c>
      <c r="F127" s="6" t="s">
        <v>95</v>
      </c>
      <c r="G127" s="6" t="s">
        <v>590</v>
      </c>
      <c r="H127" s="6" t="s">
        <v>591</v>
      </c>
      <c r="I127" s="6" t="s">
        <v>592</v>
      </c>
      <c r="J127" s="6" t="s">
        <v>593</v>
      </c>
      <c r="K127" s="6" t="n">
        <v>3</v>
      </c>
      <c r="L127" s="6" t="n">
        <v>2</v>
      </c>
      <c r="M127" s="6" t="s">
        <v>235</v>
      </c>
      <c r="N127" s="6" t="s">
        <v>55</v>
      </c>
      <c r="O127" s="6" t="s">
        <v>235</v>
      </c>
      <c r="P127" s="6" t="s">
        <v>594</v>
      </c>
      <c r="Q127" s="6"/>
      <c r="R127" s="6"/>
      <c r="S127" s="6"/>
      <c r="T127" s="6"/>
    </row>
    <row r="128" customFormat="false" ht="23.85" hidden="false" customHeight="false" outlineLevel="0" collapsed="false">
      <c r="A128" s="6" t="n">
        <v>127</v>
      </c>
      <c r="B128" s="6" t="s">
        <v>9</v>
      </c>
      <c r="C128" s="7" t="n">
        <v>0.677083333333333</v>
      </c>
      <c r="D128" s="7"/>
      <c r="E128" s="6" t="s">
        <v>29</v>
      </c>
      <c r="F128" s="6" t="s">
        <v>192</v>
      </c>
      <c r="G128" s="6" t="s">
        <v>595</v>
      </c>
      <c r="H128" s="6" t="s">
        <v>596</v>
      </c>
      <c r="I128" s="6" t="s">
        <v>597</v>
      </c>
      <c r="J128" s="6" t="s">
        <v>598</v>
      </c>
      <c r="K128" s="6" t="n">
        <v>1</v>
      </c>
      <c r="L128" s="6"/>
      <c r="M128" s="6" t="s">
        <v>186</v>
      </c>
      <c r="N128" s="6" t="s">
        <v>55</v>
      </c>
      <c r="O128" s="6" t="s">
        <v>186</v>
      </c>
      <c r="P128" s="6"/>
      <c r="Q128" s="6"/>
      <c r="R128" s="6"/>
      <c r="S128" s="6"/>
      <c r="T128" s="6"/>
    </row>
    <row r="129" customFormat="false" ht="23.85" hidden="false" customHeight="false" outlineLevel="0" collapsed="false">
      <c r="A129" s="6" t="n">
        <v>128</v>
      </c>
      <c r="B129" s="6" t="s">
        <v>9</v>
      </c>
      <c r="C129" s="7" t="n">
        <v>0.680555555555556</v>
      </c>
      <c r="D129" s="7"/>
      <c r="E129" s="6" t="s">
        <v>28</v>
      </c>
      <c r="F129" s="6" t="s">
        <v>251</v>
      </c>
      <c r="G129" s="6" t="s">
        <v>599</v>
      </c>
      <c r="H129" s="6" t="s">
        <v>600</v>
      </c>
      <c r="I129" s="6" t="s">
        <v>601</v>
      </c>
      <c r="J129" s="6" t="s">
        <v>602</v>
      </c>
      <c r="K129" s="6" t="n">
        <v>1</v>
      </c>
      <c r="L129" s="6"/>
      <c r="M129" s="6" t="s">
        <v>28</v>
      </c>
      <c r="N129" s="6"/>
      <c r="O129" s="6" t="s">
        <v>28</v>
      </c>
      <c r="P129" s="6"/>
      <c r="Q129" s="6"/>
      <c r="R129" s="6"/>
      <c r="S129" s="6"/>
      <c r="T129" s="6"/>
    </row>
    <row r="130" customFormat="false" ht="68.65" hidden="false" customHeight="false" outlineLevel="0" collapsed="false">
      <c r="A130" s="6" t="n">
        <v>129</v>
      </c>
      <c r="B130" s="6" t="s">
        <v>9</v>
      </c>
      <c r="C130" s="7" t="n">
        <v>0.680555555555556</v>
      </c>
      <c r="D130" s="7"/>
      <c r="E130" s="6" t="s">
        <v>13</v>
      </c>
      <c r="F130" s="6" t="s">
        <v>95</v>
      </c>
      <c r="G130" s="6" t="s">
        <v>603</v>
      </c>
      <c r="H130" s="6" t="s">
        <v>604</v>
      </c>
      <c r="I130" s="6" t="s">
        <v>605</v>
      </c>
      <c r="J130" s="6" t="s">
        <v>606</v>
      </c>
      <c r="K130" s="6" t="n">
        <v>3</v>
      </c>
      <c r="L130" s="6" t="n">
        <v>2</v>
      </c>
      <c r="M130" s="6" t="s">
        <v>62</v>
      </c>
      <c r="N130" s="6" t="s">
        <v>63</v>
      </c>
      <c r="O130" s="6" t="s">
        <v>62</v>
      </c>
      <c r="P130" s="6" t="s">
        <v>607</v>
      </c>
      <c r="Q130" s="6"/>
      <c r="R130" s="6"/>
      <c r="S130" s="6"/>
      <c r="T130" s="6"/>
    </row>
    <row r="131" customFormat="false" ht="35.05" hidden="false" customHeight="false" outlineLevel="0" collapsed="false">
      <c r="A131" s="6" t="n">
        <v>130</v>
      </c>
      <c r="B131" s="6" t="s">
        <v>9</v>
      </c>
      <c r="C131" s="7" t="n">
        <v>0.684027777777778</v>
      </c>
      <c r="D131" s="7"/>
      <c r="E131" s="6" t="s">
        <v>29</v>
      </c>
      <c r="F131" s="6" t="s">
        <v>192</v>
      </c>
      <c r="G131" s="6" t="s">
        <v>608</v>
      </c>
      <c r="H131" s="6" t="s">
        <v>609</v>
      </c>
      <c r="I131" s="6" t="s">
        <v>610</v>
      </c>
      <c r="J131" s="6" t="s">
        <v>611</v>
      </c>
      <c r="K131" s="6" t="n">
        <v>1</v>
      </c>
      <c r="L131" s="6"/>
      <c r="M131" s="6" t="s">
        <v>186</v>
      </c>
      <c r="N131" s="6" t="s">
        <v>55</v>
      </c>
      <c r="O131" s="6" t="s">
        <v>186</v>
      </c>
      <c r="P131" s="6"/>
      <c r="Q131" s="6"/>
      <c r="R131" s="6"/>
      <c r="S131" s="6"/>
      <c r="T131" s="6"/>
    </row>
    <row r="132" customFormat="false" ht="57.45" hidden="false" customHeight="false" outlineLevel="0" collapsed="false">
      <c r="A132" s="6" t="n">
        <v>131</v>
      </c>
      <c r="B132" s="6" t="s">
        <v>9</v>
      </c>
      <c r="C132" s="7" t="n">
        <v>0.684027777777778</v>
      </c>
      <c r="D132" s="7"/>
      <c r="E132" s="6" t="s">
        <v>19</v>
      </c>
      <c r="F132" s="6" t="s">
        <v>95</v>
      </c>
      <c r="G132" s="6" t="s">
        <v>612</v>
      </c>
      <c r="H132" s="6" t="s">
        <v>613</v>
      </c>
      <c r="I132" s="6" t="s">
        <v>614</v>
      </c>
      <c r="J132" s="6" t="s">
        <v>615</v>
      </c>
      <c r="K132" s="6" t="n">
        <v>3</v>
      </c>
      <c r="L132" s="6" t="n">
        <v>1</v>
      </c>
      <c r="M132" s="6" t="s">
        <v>204</v>
      </c>
      <c r="N132" s="6" t="s">
        <v>63</v>
      </c>
      <c r="O132" s="6" t="s">
        <v>204</v>
      </c>
      <c r="P132" s="6" t="s">
        <v>616</v>
      </c>
      <c r="Q132" s="6"/>
      <c r="R132" s="6"/>
      <c r="S132" s="6"/>
      <c r="T132" s="6"/>
    </row>
    <row r="133" customFormat="false" ht="35.05" hidden="false" customHeight="false" outlineLevel="0" collapsed="false">
      <c r="A133" s="6" t="n">
        <v>132</v>
      </c>
      <c r="B133" s="6" t="s">
        <v>9</v>
      </c>
      <c r="C133" s="7" t="n">
        <v>0.684027777777778</v>
      </c>
      <c r="D133" s="7"/>
      <c r="E133" s="6" t="s">
        <v>12</v>
      </c>
      <c r="F133" s="6" t="s">
        <v>95</v>
      </c>
      <c r="G133" s="6" t="s">
        <v>617</v>
      </c>
      <c r="H133" s="6" t="s">
        <v>618</v>
      </c>
      <c r="I133" s="6" t="s">
        <v>619</v>
      </c>
      <c r="J133" s="6" t="s">
        <v>620</v>
      </c>
      <c r="K133" s="6" t="n">
        <v>3</v>
      </c>
      <c r="L133" s="6" t="n">
        <v>3</v>
      </c>
      <c r="M133" s="6" t="s">
        <v>197</v>
      </c>
      <c r="N133" s="6" t="s">
        <v>55</v>
      </c>
      <c r="O133" s="6" t="s">
        <v>197</v>
      </c>
      <c r="P133" s="6"/>
      <c r="Q133" s="6"/>
      <c r="R133" s="6"/>
      <c r="S133" s="6"/>
      <c r="T133" s="6"/>
    </row>
    <row r="134" customFormat="false" ht="23.85" hidden="false" customHeight="false" outlineLevel="0" collapsed="false">
      <c r="A134" s="6" t="n">
        <v>133</v>
      </c>
      <c r="B134" s="6" t="s">
        <v>9</v>
      </c>
      <c r="C134" s="7" t="n">
        <v>0.6875</v>
      </c>
      <c r="D134" s="7"/>
      <c r="E134" s="6" t="s">
        <v>28</v>
      </c>
      <c r="F134" s="6" t="s">
        <v>251</v>
      </c>
      <c r="G134" s="6" t="s">
        <v>621</v>
      </c>
      <c r="H134" s="6" t="s">
        <v>622</v>
      </c>
      <c r="I134" s="6" t="s">
        <v>623</v>
      </c>
      <c r="J134" s="6" t="s">
        <v>624</v>
      </c>
      <c r="K134" s="6" t="n">
        <v>1</v>
      </c>
      <c r="L134" s="6"/>
      <c r="M134" s="6" t="s">
        <v>28</v>
      </c>
      <c r="N134" s="6"/>
      <c r="O134" s="6" t="s">
        <v>28</v>
      </c>
      <c r="P134" s="6"/>
      <c r="Q134" s="6"/>
      <c r="R134" s="6"/>
      <c r="S134" s="6"/>
      <c r="T134" s="6"/>
    </row>
    <row r="135" customFormat="false" ht="79.85" hidden="false" customHeight="false" outlineLevel="0" collapsed="false">
      <c r="A135" s="6" t="n">
        <v>134</v>
      </c>
      <c r="B135" s="6" t="s">
        <v>9</v>
      </c>
      <c r="C135" s="7" t="n">
        <v>0.690972222222222</v>
      </c>
      <c r="D135" s="7"/>
      <c r="E135" s="6" t="s">
        <v>29</v>
      </c>
      <c r="F135" s="6" t="s">
        <v>95</v>
      </c>
      <c r="G135" s="6" t="s">
        <v>625</v>
      </c>
      <c r="H135" s="6" t="s">
        <v>626</v>
      </c>
      <c r="I135" s="6" t="s">
        <v>627</v>
      </c>
      <c r="J135" s="6" t="s">
        <v>628</v>
      </c>
      <c r="K135" s="6" t="n">
        <v>3</v>
      </c>
      <c r="L135" s="6" t="n">
        <v>2</v>
      </c>
      <c r="M135" s="6" t="s">
        <v>186</v>
      </c>
      <c r="N135" s="6" t="s">
        <v>55</v>
      </c>
      <c r="O135" s="6" t="s">
        <v>186</v>
      </c>
      <c r="P135" s="6" t="s">
        <v>629</v>
      </c>
      <c r="Q135" s="6"/>
      <c r="R135" s="6"/>
      <c r="S135" s="6"/>
      <c r="T135" s="6"/>
    </row>
    <row r="136" customFormat="false" ht="23.85" hidden="false" customHeight="false" outlineLevel="0" collapsed="false">
      <c r="A136" s="6" t="n">
        <v>135</v>
      </c>
      <c r="B136" s="6" t="s">
        <v>9</v>
      </c>
      <c r="C136" s="7" t="n">
        <v>0.694444444444444</v>
      </c>
      <c r="D136" s="7"/>
      <c r="E136" s="6" t="s">
        <v>28</v>
      </c>
      <c r="F136" s="6" t="s">
        <v>251</v>
      </c>
      <c r="G136" s="6" t="s">
        <v>630</v>
      </c>
      <c r="H136" s="6" t="s">
        <v>631</v>
      </c>
      <c r="I136" s="6" t="s">
        <v>632</v>
      </c>
      <c r="J136" s="6" t="s">
        <v>633</v>
      </c>
      <c r="K136" s="6" t="n">
        <v>1</v>
      </c>
      <c r="L136" s="6"/>
      <c r="M136" s="6" t="s">
        <v>28</v>
      </c>
      <c r="N136" s="6"/>
      <c r="O136" s="6" t="s">
        <v>28</v>
      </c>
      <c r="P136" s="6"/>
      <c r="Q136" s="6"/>
      <c r="R136" s="6"/>
      <c r="S136" s="6"/>
      <c r="T136" s="6"/>
    </row>
    <row r="137" customFormat="false" ht="15" hidden="false" customHeight="false" outlineLevel="0" collapsed="false">
      <c r="A137" s="6" t="n">
        <v>136</v>
      </c>
      <c r="B137" s="6" t="s">
        <v>9</v>
      </c>
      <c r="C137" s="7" t="n">
        <v>0.694444444444444</v>
      </c>
      <c r="D137" s="7"/>
      <c r="E137" s="6" t="s">
        <v>23</v>
      </c>
      <c r="F137" s="6" t="s">
        <v>175</v>
      </c>
      <c r="G137" s="6" t="s">
        <v>634</v>
      </c>
      <c r="H137" s="6" t="s">
        <v>177</v>
      </c>
      <c r="I137" s="6" t="s">
        <v>178</v>
      </c>
      <c r="J137" s="6" t="s">
        <v>179</v>
      </c>
      <c r="K137" s="6" t="n">
        <v>1</v>
      </c>
      <c r="L137" s="6"/>
      <c r="M137" s="6" t="s">
        <v>180</v>
      </c>
      <c r="N137" s="6" t="s">
        <v>63</v>
      </c>
      <c r="O137" s="6" t="s">
        <v>290</v>
      </c>
      <c r="P137" s="6"/>
      <c r="Q137" s="6"/>
      <c r="R137" s="6"/>
      <c r="S137" s="6"/>
      <c r="T137" s="6"/>
    </row>
    <row r="138" customFormat="false" ht="23.85" hidden="false" customHeight="false" outlineLevel="0" collapsed="false">
      <c r="A138" s="6" t="n">
        <v>137</v>
      </c>
      <c r="B138" s="6" t="s">
        <v>9</v>
      </c>
      <c r="C138" s="7" t="n">
        <v>0.711805555555556</v>
      </c>
      <c r="D138" s="7"/>
      <c r="E138" s="6" t="s">
        <v>13</v>
      </c>
      <c r="F138" s="6" t="s">
        <v>192</v>
      </c>
      <c r="G138" s="6" t="s">
        <v>635</v>
      </c>
      <c r="H138" s="6" t="s">
        <v>636</v>
      </c>
      <c r="I138" s="6" t="s">
        <v>637</v>
      </c>
      <c r="J138" s="6" t="s">
        <v>638</v>
      </c>
      <c r="K138" s="6" t="n">
        <v>2</v>
      </c>
      <c r="L138" s="6"/>
      <c r="M138" s="6" t="s">
        <v>62</v>
      </c>
      <c r="N138" s="6" t="s">
        <v>63</v>
      </c>
      <c r="O138" s="6" t="s">
        <v>62</v>
      </c>
      <c r="P138" s="6"/>
      <c r="Q138" s="6"/>
      <c r="R138" s="6"/>
      <c r="S138" s="6"/>
      <c r="T138" s="6"/>
    </row>
    <row r="139" customFormat="false" ht="91" hidden="false" customHeight="false" outlineLevel="0" collapsed="false">
      <c r="A139" s="6" t="n">
        <v>138</v>
      </c>
      <c r="B139" s="6" t="s">
        <v>9</v>
      </c>
      <c r="C139" s="7" t="n">
        <v>0.722222222222222</v>
      </c>
      <c r="D139" s="7"/>
      <c r="E139" s="6" t="s">
        <v>13</v>
      </c>
      <c r="F139" s="6" t="s">
        <v>95</v>
      </c>
      <c r="G139" s="6" t="s">
        <v>639</v>
      </c>
      <c r="H139" s="6" t="s">
        <v>640</v>
      </c>
      <c r="I139" s="6" t="s">
        <v>641</v>
      </c>
      <c r="J139" s="6" t="s">
        <v>642</v>
      </c>
      <c r="K139" s="6" t="n">
        <v>3</v>
      </c>
      <c r="L139" s="6" t="n">
        <v>2</v>
      </c>
      <c r="M139" s="6" t="s">
        <v>62</v>
      </c>
      <c r="N139" s="6" t="s">
        <v>63</v>
      </c>
      <c r="O139" s="6" t="s">
        <v>62</v>
      </c>
      <c r="P139" s="6" t="s">
        <v>643</v>
      </c>
      <c r="Q139" s="6"/>
      <c r="R139" s="6"/>
      <c r="S139" s="6"/>
      <c r="T139" s="6"/>
    </row>
    <row r="140" customFormat="false" ht="23.85" hidden="false" customHeight="false" outlineLevel="0" collapsed="false">
      <c r="A140" s="6" t="n">
        <v>139</v>
      </c>
      <c r="B140" s="6" t="s">
        <v>10</v>
      </c>
      <c r="C140" s="7"/>
      <c r="D140" s="7"/>
      <c r="E140" s="6" t="s">
        <v>24</v>
      </c>
      <c r="F140" s="6" t="s">
        <v>24</v>
      </c>
      <c r="G140" s="6" t="s">
        <v>644</v>
      </c>
      <c r="H140" s="6" t="s">
        <v>51</v>
      </c>
      <c r="I140" s="6" t="s">
        <v>52</v>
      </c>
      <c r="J140" s="6" t="s">
        <v>53</v>
      </c>
      <c r="K140" s="6" t="n">
        <v>1</v>
      </c>
      <c r="L140" s="6"/>
      <c r="M140" s="6" t="s">
        <v>54</v>
      </c>
      <c r="N140" s="6" t="s">
        <v>55</v>
      </c>
      <c r="O140" s="6" t="s">
        <v>439</v>
      </c>
      <c r="P140" s="6"/>
      <c r="Q140" s="6"/>
      <c r="R140" s="6"/>
      <c r="S140" s="6"/>
      <c r="T140" s="6"/>
    </row>
    <row r="141" customFormat="false" ht="35.05" hidden="false" customHeight="false" outlineLevel="0" collapsed="false">
      <c r="A141" s="6" t="n">
        <v>140</v>
      </c>
      <c r="B141" s="6" t="s">
        <v>10</v>
      </c>
      <c r="C141" s="7" t="n">
        <v>0.395833333333333</v>
      </c>
      <c r="D141" s="7"/>
      <c r="E141" s="6" t="s">
        <v>13</v>
      </c>
      <c r="F141" s="6" t="s">
        <v>199</v>
      </c>
      <c r="G141" s="6" t="s">
        <v>645</v>
      </c>
      <c r="H141" s="6" t="s">
        <v>646</v>
      </c>
      <c r="I141" s="6" t="s">
        <v>647</v>
      </c>
      <c r="J141" s="6" t="s">
        <v>648</v>
      </c>
      <c r="K141" s="6" t="n">
        <v>2</v>
      </c>
      <c r="L141" s="6"/>
      <c r="M141" s="6" t="s">
        <v>62</v>
      </c>
      <c r="N141" s="6" t="s">
        <v>63</v>
      </c>
      <c r="O141" s="6" t="s">
        <v>62</v>
      </c>
      <c r="P141" s="6"/>
      <c r="Q141" s="6"/>
      <c r="R141" s="6"/>
      <c r="S141" s="6"/>
      <c r="T141" s="6"/>
    </row>
    <row r="142" customFormat="false" ht="35.05" hidden="false" customHeight="false" outlineLevel="0" collapsed="false">
      <c r="A142" s="6" t="n">
        <v>141</v>
      </c>
      <c r="B142" s="6" t="s">
        <v>10</v>
      </c>
      <c r="C142" s="7" t="n">
        <v>0.40625</v>
      </c>
      <c r="D142" s="7"/>
      <c r="E142" s="6" t="s">
        <v>17</v>
      </c>
      <c r="F142" s="6" t="s">
        <v>70</v>
      </c>
      <c r="G142" s="6" t="s">
        <v>649</v>
      </c>
      <c r="H142" s="6" t="s">
        <v>650</v>
      </c>
      <c r="I142" s="6" t="s">
        <v>651</v>
      </c>
      <c r="J142" s="6" t="s">
        <v>652</v>
      </c>
      <c r="K142" s="6" t="n">
        <v>2</v>
      </c>
      <c r="L142" s="6"/>
      <c r="M142" s="6" t="s">
        <v>69</v>
      </c>
      <c r="N142" s="6" t="s">
        <v>55</v>
      </c>
      <c r="O142" s="6" t="s">
        <v>69</v>
      </c>
      <c r="P142" s="6"/>
      <c r="Q142" s="6"/>
      <c r="R142" s="6"/>
      <c r="S142" s="6"/>
      <c r="T142" s="6"/>
    </row>
    <row r="143" customFormat="false" ht="23.85" hidden="false" customHeight="false" outlineLevel="0" collapsed="false">
      <c r="A143" s="6" t="n">
        <v>142</v>
      </c>
      <c r="B143" s="6" t="s">
        <v>10</v>
      </c>
      <c r="C143" s="7" t="n">
        <v>0.40625</v>
      </c>
      <c r="D143" s="7"/>
      <c r="E143" s="6" t="s">
        <v>13</v>
      </c>
      <c r="F143" s="6" t="s">
        <v>181</v>
      </c>
      <c r="G143" s="6" t="s">
        <v>653</v>
      </c>
      <c r="H143" s="6" t="s">
        <v>654</v>
      </c>
      <c r="I143" s="6" t="s">
        <v>655</v>
      </c>
      <c r="J143" s="6" t="s">
        <v>656</v>
      </c>
      <c r="K143" s="6" t="n">
        <v>2</v>
      </c>
      <c r="L143" s="6"/>
      <c r="M143" s="6" t="s">
        <v>62</v>
      </c>
      <c r="N143" s="6" t="s">
        <v>63</v>
      </c>
      <c r="O143" s="6" t="s">
        <v>62</v>
      </c>
      <c r="P143" s="6"/>
      <c r="Q143" s="6"/>
      <c r="R143" s="6"/>
      <c r="S143" s="6"/>
      <c r="T143" s="6"/>
    </row>
    <row r="144" customFormat="false" ht="68.65" hidden="false" customHeight="false" outlineLevel="0" collapsed="false">
      <c r="A144" s="6" t="n">
        <v>143</v>
      </c>
      <c r="B144" s="6" t="s">
        <v>10</v>
      </c>
      <c r="C144" s="7" t="n">
        <v>0.416666666666667</v>
      </c>
      <c r="D144" s="7"/>
      <c r="E144" s="6" t="s">
        <v>17</v>
      </c>
      <c r="F144" s="6" t="s">
        <v>95</v>
      </c>
      <c r="G144" s="6" t="s">
        <v>657</v>
      </c>
      <c r="H144" s="6" t="s">
        <v>658</v>
      </c>
      <c r="I144" s="6" t="s">
        <v>659</v>
      </c>
      <c r="J144" s="6" t="s">
        <v>660</v>
      </c>
      <c r="K144" s="6" t="n">
        <v>3</v>
      </c>
      <c r="L144" s="6" t="n">
        <v>1</v>
      </c>
      <c r="M144" s="6" t="s">
        <v>69</v>
      </c>
      <c r="N144" s="6" t="s">
        <v>55</v>
      </c>
      <c r="O144" s="6" t="s">
        <v>69</v>
      </c>
      <c r="P144" s="6" t="s">
        <v>661</v>
      </c>
      <c r="Q144" s="6"/>
      <c r="R144" s="6"/>
      <c r="S144" s="6"/>
      <c r="T144" s="6"/>
    </row>
    <row r="145" customFormat="false" ht="35.05" hidden="false" customHeight="false" outlineLevel="0" collapsed="false">
      <c r="A145" s="6" t="n">
        <v>144</v>
      </c>
      <c r="B145" s="6" t="s">
        <v>10</v>
      </c>
      <c r="C145" s="7" t="n">
        <v>0.416666666666667</v>
      </c>
      <c r="D145" s="7"/>
      <c r="E145" s="6" t="s">
        <v>13</v>
      </c>
      <c r="F145" s="6" t="s">
        <v>95</v>
      </c>
      <c r="G145" s="6" t="s">
        <v>662</v>
      </c>
      <c r="H145" s="6" t="s">
        <v>663</v>
      </c>
      <c r="I145" s="6" t="s">
        <v>664</v>
      </c>
      <c r="J145" s="6" t="s">
        <v>665</v>
      </c>
      <c r="K145" s="6" t="n">
        <v>3</v>
      </c>
      <c r="L145" s="6" t="n">
        <v>2</v>
      </c>
      <c r="M145" s="6" t="s">
        <v>62</v>
      </c>
      <c r="N145" s="6" t="s">
        <v>63</v>
      </c>
      <c r="O145" s="6" t="s">
        <v>62</v>
      </c>
      <c r="P145" s="6"/>
      <c r="Q145" s="6"/>
      <c r="R145" s="6"/>
      <c r="S145" s="6"/>
      <c r="T145" s="6"/>
    </row>
    <row r="146" customFormat="false" ht="35.05" hidden="false" customHeight="false" outlineLevel="0" collapsed="false">
      <c r="A146" s="6" t="n">
        <v>145</v>
      </c>
      <c r="B146" s="6" t="s">
        <v>10</v>
      </c>
      <c r="C146" s="7" t="n">
        <v>0.447916666666667</v>
      </c>
      <c r="D146" s="7"/>
      <c r="E146" s="6" t="s">
        <v>24</v>
      </c>
      <c r="F146" s="6" t="s">
        <v>24</v>
      </c>
      <c r="G146" s="6" t="s">
        <v>666</v>
      </c>
      <c r="H146" s="6" t="s">
        <v>51</v>
      </c>
      <c r="I146" s="6" t="s">
        <v>52</v>
      </c>
      <c r="J146" s="6" t="s">
        <v>53</v>
      </c>
      <c r="K146" s="6" t="n">
        <v>1</v>
      </c>
      <c r="L146" s="6"/>
      <c r="M146" s="6" t="s">
        <v>54</v>
      </c>
      <c r="N146" s="6" t="s">
        <v>55</v>
      </c>
      <c r="O146" s="6" t="s">
        <v>439</v>
      </c>
      <c r="P146" s="6" t="s">
        <v>174</v>
      </c>
      <c r="Q146" s="6"/>
      <c r="R146" s="6"/>
      <c r="S146" s="6"/>
      <c r="T146" s="6"/>
    </row>
    <row r="147" customFormat="false" ht="15" hidden="false" customHeight="false" outlineLevel="0" collapsed="false">
      <c r="A147" s="6" t="n">
        <v>146</v>
      </c>
      <c r="B147" s="6" t="s">
        <v>10</v>
      </c>
      <c r="C147" s="7" t="n">
        <v>0.493055555555556</v>
      </c>
      <c r="D147" s="7"/>
      <c r="E147" s="6" t="s">
        <v>28</v>
      </c>
      <c r="F147" s="6" t="s">
        <v>251</v>
      </c>
      <c r="G147" s="6" t="s">
        <v>667</v>
      </c>
      <c r="H147" s="6" t="s">
        <v>668</v>
      </c>
      <c r="I147" s="6" t="s">
        <v>669</v>
      </c>
      <c r="J147" s="6" t="s">
        <v>670</v>
      </c>
      <c r="K147" s="6" t="n">
        <v>1</v>
      </c>
      <c r="L147" s="6"/>
      <c r="M147" s="6" t="s">
        <v>28</v>
      </c>
      <c r="N147" s="6"/>
      <c r="O147" s="6" t="s">
        <v>28</v>
      </c>
      <c r="P147" s="6"/>
      <c r="Q147" s="6"/>
      <c r="R147" s="6"/>
      <c r="S147" s="6"/>
      <c r="T147" s="6"/>
    </row>
    <row r="148" customFormat="false" ht="15" hidden="false" customHeight="false" outlineLevel="0" collapsed="false">
      <c r="A148" s="6" t="n">
        <v>147</v>
      </c>
      <c r="B148" s="6" t="s">
        <v>10</v>
      </c>
      <c r="C148" s="7" t="n">
        <v>0.496527777777778</v>
      </c>
      <c r="D148" s="7"/>
      <c r="E148" s="6" t="s">
        <v>23</v>
      </c>
      <c r="F148" s="6" t="s">
        <v>175</v>
      </c>
      <c r="G148" s="6" t="s">
        <v>176</v>
      </c>
      <c r="H148" s="6" t="s">
        <v>177</v>
      </c>
      <c r="I148" s="6" t="s">
        <v>178</v>
      </c>
      <c r="J148" s="6" t="s">
        <v>179</v>
      </c>
      <c r="K148" s="6" t="n">
        <v>1</v>
      </c>
      <c r="L148" s="6"/>
      <c r="M148" s="6" t="s">
        <v>180</v>
      </c>
      <c r="N148" s="6" t="s">
        <v>63</v>
      </c>
      <c r="O148" s="6" t="s">
        <v>290</v>
      </c>
      <c r="P148" s="6"/>
      <c r="Q148" s="6"/>
      <c r="R148" s="6"/>
      <c r="S148" s="6"/>
      <c r="T148" s="6"/>
    </row>
    <row r="149" customFormat="false" ht="35.05" hidden="false" customHeight="false" outlineLevel="0" collapsed="false">
      <c r="A149" s="6" t="n">
        <v>148</v>
      </c>
      <c r="B149" s="6" t="s">
        <v>10</v>
      </c>
      <c r="C149" s="7" t="n">
        <v>0.5</v>
      </c>
      <c r="D149" s="7"/>
      <c r="E149" s="6" t="s">
        <v>20</v>
      </c>
      <c r="F149" s="6" t="s">
        <v>181</v>
      </c>
      <c r="G149" s="6" t="s">
        <v>671</v>
      </c>
      <c r="H149" s="6" t="s">
        <v>672</v>
      </c>
      <c r="I149" s="6" t="s">
        <v>673</v>
      </c>
      <c r="J149" s="6" t="s">
        <v>674</v>
      </c>
      <c r="K149" s="6" t="n">
        <v>2</v>
      </c>
      <c r="L149" s="6"/>
      <c r="M149" s="6" t="s">
        <v>220</v>
      </c>
      <c r="N149" s="6" t="s">
        <v>63</v>
      </c>
      <c r="O149" s="6" t="s">
        <v>221</v>
      </c>
      <c r="P149" s="6"/>
      <c r="Q149" s="6"/>
      <c r="R149" s="6"/>
      <c r="S149" s="6"/>
      <c r="T149" s="6"/>
    </row>
    <row r="150" customFormat="false" ht="23.85" hidden="false" customHeight="false" outlineLevel="0" collapsed="false">
      <c r="A150" s="6" t="n">
        <v>149</v>
      </c>
      <c r="B150" s="6" t="s">
        <v>10</v>
      </c>
      <c r="C150" s="7" t="n">
        <v>0.5</v>
      </c>
      <c r="D150" s="7"/>
      <c r="E150" s="6" t="s">
        <v>28</v>
      </c>
      <c r="F150" s="6" t="s">
        <v>251</v>
      </c>
      <c r="G150" s="6" t="s">
        <v>675</v>
      </c>
      <c r="H150" s="6" t="s">
        <v>676</v>
      </c>
      <c r="I150" s="6" t="s">
        <v>677</v>
      </c>
      <c r="J150" s="6" t="s">
        <v>678</v>
      </c>
      <c r="K150" s="6" t="n">
        <v>1</v>
      </c>
      <c r="L150" s="6"/>
      <c r="M150" s="6" t="s">
        <v>28</v>
      </c>
      <c r="N150" s="6"/>
      <c r="O150" s="6" t="s">
        <v>28</v>
      </c>
      <c r="P150" s="6"/>
      <c r="Q150" s="6"/>
      <c r="R150" s="6"/>
      <c r="S150" s="6"/>
      <c r="T150" s="6"/>
    </row>
    <row r="151" customFormat="false" ht="23.85" hidden="false" customHeight="false" outlineLevel="0" collapsed="false">
      <c r="A151" s="6" t="n">
        <v>150</v>
      </c>
      <c r="B151" s="6" t="s">
        <v>10</v>
      </c>
      <c r="C151" s="7" t="n">
        <v>0.5</v>
      </c>
      <c r="D151" s="7"/>
      <c r="E151" s="6" t="s">
        <v>13</v>
      </c>
      <c r="F151" s="6" t="s">
        <v>70</v>
      </c>
      <c r="G151" s="6" t="s">
        <v>679</v>
      </c>
      <c r="H151" s="6" t="s">
        <v>680</v>
      </c>
      <c r="I151" s="6" t="s">
        <v>681</v>
      </c>
      <c r="J151" s="6" t="s">
        <v>682</v>
      </c>
      <c r="K151" s="6" t="n">
        <v>2</v>
      </c>
      <c r="L151" s="6"/>
      <c r="M151" s="6" t="s">
        <v>62</v>
      </c>
      <c r="N151" s="6" t="s">
        <v>63</v>
      </c>
      <c r="O151" s="6" t="s">
        <v>62</v>
      </c>
      <c r="P151" s="6"/>
      <c r="Q151" s="6"/>
      <c r="R151" s="6"/>
      <c r="S151" s="6"/>
      <c r="T151" s="6"/>
    </row>
    <row r="152" customFormat="false" ht="35.05" hidden="false" customHeight="false" outlineLevel="0" collapsed="false">
      <c r="A152" s="6" t="n">
        <v>151</v>
      </c>
      <c r="B152" s="6" t="s">
        <v>10</v>
      </c>
      <c r="C152" s="7" t="n">
        <v>0.5</v>
      </c>
      <c r="D152" s="7"/>
      <c r="E152" s="6" t="s">
        <v>14</v>
      </c>
      <c r="F152" s="6" t="s">
        <v>181</v>
      </c>
      <c r="G152" s="6" t="s">
        <v>683</v>
      </c>
      <c r="H152" s="6" t="s">
        <v>684</v>
      </c>
      <c r="I152" s="6" t="s">
        <v>685</v>
      </c>
      <c r="J152" s="6" t="s">
        <v>686</v>
      </c>
      <c r="K152" s="6" t="n">
        <v>2</v>
      </c>
      <c r="L152" s="6"/>
      <c r="M152" s="6" t="s">
        <v>69</v>
      </c>
      <c r="N152" s="6" t="s">
        <v>55</v>
      </c>
      <c r="O152" s="6" t="s">
        <v>69</v>
      </c>
      <c r="P152" s="6"/>
      <c r="Q152" s="6"/>
      <c r="R152" s="6"/>
      <c r="S152" s="6"/>
      <c r="T152" s="6"/>
    </row>
    <row r="153" customFormat="false" ht="23.85" hidden="false" customHeight="false" outlineLevel="0" collapsed="false">
      <c r="A153" s="6" t="n">
        <v>152</v>
      </c>
      <c r="B153" s="6" t="s">
        <v>10</v>
      </c>
      <c r="C153" s="7" t="n">
        <v>0.5</v>
      </c>
      <c r="D153" s="7"/>
      <c r="E153" s="6" t="s">
        <v>23</v>
      </c>
      <c r="F153" s="6" t="s">
        <v>192</v>
      </c>
      <c r="G153" s="6" t="s">
        <v>687</v>
      </c>
      <c r="H153" s="6" t="s">
        <v>688</v>
      </c>
      <c r="I153" s="6" t="s">
        <v>689</v>
      </c>
      <c r="J153" s="6" t="s">
        <v>690</v>
      </c>
      <c r="K153" s="6" t="n">
        <v>1</v>
      </c>
      <c r="L153" s="6"/>
      <c r="M153" s="6" t="s">
        <v>180</v>
      </c>
      <c r="N153" s="6" t="s">
        <v>63</v>
      </c>
      <c r="O153" s="6" t="s">
        <v>290</v>
      </c>
      <c r="P153" s="6"/>
      <c r="Q153" s="6"/>
      <c r="R153" s="6"/>
      <c r="S153" s="6"/>
      <c r="T153" s="6"/>
    </row>
    <row r="154" customFormat="false" ht="23.85" hidden="false" customHeight="false" outlineLevel="0" collapsed="false">
      <c r="A154" s="6" t="n">
        <v>153</v>
      </c>
      <c r="B154" s="6" t="s">
        <v>10</v>
      </c>
      <c r="C154" s="7" t="n">
        <v>0.5</v>
      </c>
      <c r="D154" s="7"/>
      <c r="E154" s="6" t="s">
        <v>12</v>
      </c>
      <c r="F154" s="6" t="s">
        <v>199</v>
      </c>
      <c r="G154" s="6" t="s">
        <v>691</v>
      </c>
      <c r="H154" s="6" t="s">
        <v>692</v>
      </c>
      <c r="I154" s="6" t="s">
        <v>693</v>
      </c>
      <c r="J154" s="6" t="s">
        <v>694</v>
      </c>
      <c r="K154" s="6" t="n">
        <v>1</v>
      </c>
      <c r="L154" s="6"/>
      <c r="M154" s="6" t="s">
        <v>197</v>
      </c>
      <c r="N154" s="6" t="s">
        <v>55</v>
      </c>
      <c r="O154" s="6" t="s">
        <v>197</v>
      </c>
      <c r="P154" s="6"/>
      <c r="Q154" s="6"/>
      <c r="R154" s="6"/>
      <c r="S154" s="6"/>
      <c r="T154" s="6"/>
    </row>
    <row r="155" customFormat="false" ht="35.05" hidden="false" customHeight="false" outlineLevel="0" collapsed="false">
      <c r="A155" s="6" t="n">
        <v>154</v>
      </c>
      <c r="B155" s="6" t="s">
        <v>10</v>
      </c>
      <c r="C155" s="7" t="n">
        <v>0.5</v>
      </c>
      <c r="D155" s="7"/>
      <c r="E155" s="6" t="s">
        <v>26</v>
      </c>
      <c r="F155" s="6" t="s">
        <v>192</v>
      </c>
      <c r="G155" s="6" t="s">
        <v>695</v>
      </c>
      <c r="H155" s="6" t="s">
        <v>696</v>
      </c>
      <c r="I155" s="6" t="s">
        <v>697</v>
      </c>
      <c r="J155" s="6" t="s">
        <v>698</v>
      </c>
      <c r="K155" s="6" t="n">
        <v>2</v>
      </c>
      <c r="L155" s="6"/>
      <c r="M155" s="6" t="s">
        <v>240</v>
      </c>
      <c r="N155" s="6" t="s">
        <v>63</v>
      </c>
      <c r="O155" s="6" t="s">
        <v>240</v>
      </c>
      <c r="P155" s="6"/>
      <c r="Q155" s="6"/>
      <c r="R155" s="6"/>
      <c r="S155" s="6"/>
      <c r="T155" s="6"/>
    </row>
    <row r="156" customFormat="false" ht="23.85" hidden="false" customHeight="false" outlineLevel="0" collapsed="false">
      <c r="A156" s="6" t="n">
        <v>155</v>
      </c>
      <c r="B156" s="6" t="s">
        <v>10</v>
      </c>
      <c r="C156" s="7" t="n">
        <v>0.5</v>
      </c>
      <c r="D156" s="7"/>
      <c r="E156" s="6" t="s">
        <v>15</v>
      </c>
      <c r="F156" s="6" t="s">
        <v>192</v>
      </c>
      <c r="G156" s="6" t="s">
        <v>699</v>
      </c>
      <c r="H156" s="6" t="s">
        <v>700</v>
      </c>
      <c r="I156" s="6" t="s">
        <v>701</v>
      </c>
      <c r="J156" s="6" t="s">
        <v>702</v>
      </c>
      <c r="K156" s="6" t="n">
        <v>1</v>
      </c>
      <c r="L156" s="6"/>
      <c r="M156" s="6" t="s">
        <v>226</v>
      </c>
      <c r="N156" s="6" t="s">
        <v>55</v>
      </c>
      <c r="O156" s="6" t="s">
        <v>226</v>
      </c>
      <c r="P156" s="6" t="s">
        <v>703</v>
      </c>
      <c r="Q156" s="6"/>
      <c r="R156" s="6"/>
      <c r="S156" s="6"/>
      <c r="T156" s="6"/>
    </row>
    <row r="157" customFormat="false" ht="23.85" hidden="false" customHeight="false" outlineLevel="0" collapsed="false">
      <c r="A157" s="6" t="n">
        <v>156</v>
      </c>
      <c r="B157" s="6" t="s">
        <v>10</v>
      </c>
      <c r="C157" s="7" t="n">
        <v>0.506944444444444</v>
      </c>
      <c r="D157" s="7"/>
      <c r="E157" s="6" t="s">
        <v>28</v>
      </c>
      <c r="F157" s="6" t="s">
        <v>251</v>
      </c>
      <c r="G157" s="6" t="s">
        <v>704</v>
      </c>
      <c r="H157" s="6" t="s">
        <v>705</v>
      </c>
      <c r="I157" s="6" t="s">
        <v>706</v>
      </c>
      <c r="J157" s="6" t="s">
        <v>707</v>
      </c>
      <c r="K157" s="6" t="n">
        <v>1</v>
      </c>
      <c r="L157" s="6"/>
      <c r="M157" s="6" t="s">
        <v>28</v>
      </c>
      <c r="N157" s="6"/>
      <c r="O157" s="6" t="s">
        <v>28</v>
      </c>
      <c r="P157" s="6"/>
      <c r="Q157" s="6"/>
      <c r="R157" s="6"/>
      <c r="S157" s="6"/>
      <c r="T157" s="6"/>
    </row>
    <row r="158" customFormat="false" ht="23.85" hidden="false" customHeight="false" outlineLevel="0" collapsed="false">
      <c r="A158" s="6" t="n">
        <v>157</v>
      </c>
      <c r="B158" s="6" t="s">
        <v>10</v>
      </c>
      <c r="C158" s="7" t="n">
        <v>0.510416666666667</v>
      </c>
      <c r="D158" s="7"/>
      <c r="E158" s="6" t="s">
        <v>12</v>
      </c>
      <c r="F158" s="6" t="s">
        <v>192</v>
      </c>
      <c r="G158" s="6" t="s">
        <v>708</v>
      </c>
      <c r="H158" s="6" t="s">
        <v>709</v>
      </c>
      <c r="I158" s="6" t="s">
        <v>710</v>
      </c>
      <c r="J158" s="6" t="s">
        <v>711</v>
      </c>
      <c r="K158" s="6" t="n">
        <v>1</v>
      </c>
      <c r="L158" s="6"/>
      <c r="M158" s="6" t="s">
        <v>197</v>
      </c>
      <c r="N158" s="6" t="s">
        <v>55</v>
      </c>
      <c r="O158" s="6" t="s">
        <v>197</v>
      </c>
      <c r="P158" s="6"/>
      <c r="Q158" s="6"/>
      <c r="R158" s="6"/>
      <c r="S158" s="6"/>
      <c r="T158" s="6"/>
    </row>
    <row r="159" customFormat="false" ht="102.2" hidden="false" customHeight="false" outlineLevel="0" collapsed="false">
      <c r="A159" s="6" t="n">
        <v>158</v>
      </c>
      <c r="B159" s="6" t="s">
        <v>10</v>
      </c>
      <c r="C159" s="7" t="n">
        <v>0.510416666666667</v>
      </c>
      <c r="D159" s="7"/>
      <c r="E159" s="6" t="s">
        <v>15</v>
      </c>
      <c r="F159" s="6" t="s">
        <v>95</v>
      </c>
      <c r="G159" s="6" t="s">
        <v>712</v>
      </c>
      <c r="H159" s="6" t="s">
        <v>713</v>
      </c>
      <c r="I159" s="6" t="s">
        <v>714</v>
      </c>
      <c r="J159" s="6" t="s">
        <v>715</v>
      </c>
      <c r="K159" s="6" t="n">
        <v>3</v>
      </c>
      <c r="L159" s="6"/>
      <c r="M159" s="6" t="s">
        <v>226</v>
      </c>
      <c r="N159" s="6" t="s">
        <v>55</v>
      </c>
      <c r="O159" s="6" t="s">
        <v>226</v>
      </c>
      <c r="P159" s="6" t="s">
        <v>716</v>
      </c>
      <c r="Q159" s="6"/>
      <c r="R159" s="6"/>
      <c r="S159" s="6"/>
      <c r="T159" s="6"/>
    </row>
    <row r="160" customFormat="false" ht="158.2" hidden="false" customHeight="false" outlineLevel="0" collapsed="false">
      <c r="A160" s="6" t="n">
        <v>159</v>
      </c>
      <c r="B160" s="6" t="s">
        <v>10</v>
      </c>
      <c r="C160" s="7" t="n">
        <v>0.510416666666667</v>
      </c>
      <c r="D160" s="7"/>
      <c r="E160" s="6" t="s">
        <v>26</v>
      </c>
      <c r="F160" s="6" t="s">
        <v>181</v>
      </c>
      <c r="G160" s="6" t="s">
        <v>717</v>
      </c>
      <c r="H160" s="6" t="s">
        <v>718</v>
      </c>
      <c r="I160" s="6" t="s">
        <v>719</v>
      </c>
      <c r="J160" s="6" t="s">
        <v>720</v>
      </c>
      <c r="K160" s="6" t="n">
        <v>2</v>
      </c>
      <c r="L160" s="6"/>
      <c r="M160" s="6" t="s">
        <v>240</v>
      </c>
      <c r="N160" s="6" t="s">
        <v>63</v>
      </c>
      <c r="O160" s="6" t="s">
        <v>240</v>
      </c>
      <c r="P160" s="6" t="s">
        <v>721</v>
      </c>
      <c r="Q160" s="6"/>
      <c r="R160" s="6"/>
      <c r="S160" s="6"/>
      <c r="T160" s="6"/>
    </row>
    <row r="161" customFormat="false" ht="23.85" hidden="false" customHeight="false" outlineLevel="0" collapsed="false">
      <c r="A161" s="6" t="n">
        <v>160</v>
      </c>
      <c r="B161" s="6" t="s">
        <v>10</v>
      </c>
      <c r="C161" s="7" t="n">
        <v>0.510416666666667</v>
      </c>
      <c r="D161" s="7"/>
      <c r="E161" s="6" t="s">
        <v>20</v>
      </c>
      <c r="F161" s="6" t="s">
        <v>199</v>
      </c>
      <c r="G161" s="6" t="s">
        <v>722</v>
      </c>
      <c r="H161" s="6" t="s">
        <v>723</v>
      </c>
      <c r="I161" s="6" t="s">
        <v>724</v>
      </c>
      <c r="J161" s="6" t="s">
        <v>725</v>
      </c>
      <c r="K161" s="6" t="n">
        <v>1</v>
      </c>
      <c r="L161" s="6"/>
      <c r="M161" s="6" t="s">
        <v>220</v>
      </c>
      <c r="N161" s="6" t="s">
        <v>63</v>
      </c>
      <c r="O161" s="6" t="s">
        <v>221</v>
      </c>
      <c r="P161" s="6"/>
      <c r="Q161" s="6"/>
      <c r="R161" s="6"/>
      <c r="S161" s="6"/>
      <c r="T161" s="6"/>
    </row>
    <row r="162" customFormat="false" ht="35.05" hidden="false" customHeight="false" outlineLevel="0" collapsed="false">
      <c r="A162" s="6" t="n">
        <v>161</v>
      </c>
      <c r="B162" s="6" t="s">
        <v>10</v>
      </c>
      <c r="C162" s="7" t="n">
        <v>0.510416666666667</v>
      </c>
      <c r="D162" s="7"/>
      <c r="E162" s="6" t="s">
        <v>14</v>
      </c>
      <c r="F162" s="6" t="s">
        <v>192</v>
      </c>
      <c r="G162" s="6" t="s">
        <v>726</v>
      </c>
      <c r="H162" s="6" t="s">
        <v>727</v>
      </c>
      <c r="I162" s="6" t="s">
        <v>728</v>
      </c>
      <c r="J162" s="6" t="s">
        <v>729</v>
      </c>
      <c r="K162" s="6" t="n">
        <v>1</v>
      </c>
      <c r="L162" s="6"/>
      <c r="M162" s="6" t="s">
        <v>69</v>
      </c>
      <c r="N162" s="6" t="s">
        <v>55</v>
      </c>
      <c r="O162" s="6" t="s">
        <v>69</v>
      </c>
      <c r="P162" s="6"/>
      <c r="Q162" s="6"/>
      <c r="R162" s="6"/>
      <c r="S162" s="6"/>
      <c r="T162" s="6"/>
    </row>
    <row r="163" customFormat="false" ht="57.45" hidden="false" customHeight="false" outlineLevel="0" collapsed="false">
      <c r="A163" s="6" t="n">
        <v>162</v>
      </c>
      <c r="B163" s="6" t="s">
        <v>10</v>
      </c>
      <c r="C163" s="7" t="n">
        <v>0.510416666666667</v>
      </c>
      <c r="D163" s="7"/>
      <c r="E163" s="6" t="s">
        <v>23</v>
      </c>
      <c r="F163" s="6" t="s">
        <v>192</v>
      </c>
      <c r="G163" s="6" t="s">
        <v>730</v>
      </c>
      <c r="H163" s="6" t="s">
        <v>731</v>
      </c>
      <c r="I163" s="6" t="s">
        <v>732</v>
      </c>
      <c r="J163" s="6" t="s">
        <v>733</v>
      </c>
      <c r="K163" s="6" t="n">
        <v>2</v>
      </c>
      <c r="L163" s="6"/>
      <c r="M163" s="6" t="s">
        <v>180</v>
      </c>
      <c r="N163" s="6" t="s">
        <v>63</v>
      </c>
      <c r="O163" s="6" t="s">
        <v>290</v>
      </c>
      <c r="P163" s="6" t="s">
        <v>734</v>
      </c>
      <c r="Q163" s="6"/>
      <c r="R163" s="6"/>
      <c r="S163" s="6"/>
      <c r="T163" s="6"/>
    </row>
    <row r="164" customFormat="false" ht="15" hidden="false" customHeight="false" outlineLevel="0" collapsed="false">
      <c r="A164" s="6" t="n">
        <v>163</v>
      </c>
      <c r="B164" s="6" t="s">
        <v>10</v>
      </c>
      <c r="C164" s="7" t="n">
        <v>0.513888888888889</v>
      </c>
      <c r="D164" s="7"/>
      <c r="E164" s="6" t="s">
        <v>28</v>
      </c>
      <c r="F164" s="6" t="s">
        <v>251</v>
      </c>
      <c r="G164" s="6" t="s">
        <v>735</v>
      </c>
      <c r="H164" s="6" t="s">
        <v>736</v>
      </c>
      <c r="I164" s="6" t="s">
        <v>737</v>
      </c>
      <c r="J164" s="6" t="s">
        <v>738</v>
      </c>
      <c r="K164" s="6" t="n">
        <v>1</v>
      </c>
      <c r="L164" s="6"/>
      <c r="M164" s="6" t="s">
        <v>28</v>
      </c>
      <c r="N164" s="6"/>
      <c r="O164" s="6" t="s">
        <v>28</v>
      </c>
      <c r="P164" s="6"/>
      <c r="Q164" s="6"/>
      <c r="R164" s="6"/>
      <c r="S164" s="6"/>
      <c r="T164" s="6"/>
    </row>
    <row r="165" customFormat="false" ht="68.65" hidden="false" customHeight="false" outlineLevel="0" collapsed="false">
      <c r="A165" s="6" t="n">
        <v>164</v>
      </c>
      <c r="B165" s="6" t="s">
        <v>10</v>
      </c>
      <c r="C165" s="7" t="n">
        <v>0.520833333333333</v>
      </c>
      <c r="D165" s="7"/>
      <c r="E165" s="6" t="s">
        <v>20</v>
      </c>
      <c r="F165" s="6" t="s">
        <v>95</v>
      </c>
      <c r="G165" s="6" t="s">
        <v>739</v>
      </c>
      <c r="H165" s="6" t="s">
        <v>740</v>
      </c>
      <c r="I165" s="6" t="s">
        <v>741</v>
      </c>
      <c r="J165" s="6" t="s">
        <v>742</v>
      </c>
      <c r="K165" s="6" t="n">
        <v>3</v>
      </c>
      <c r="L165" s="6" t="n">
        <v>2</v>
      </c>
      <c r="M165" s="6" t="s">
        <v>220</v>
      </c>
      <c r="N165" s="6" t="s">
        <v>63</v>
      </c>
      <c r="O165" s="6" t="s">
        <v>221</v>
      </c>
      <c r="P165" s="6" t="s">
        <v>743</v>
      </c>
      <c r="Q165" s="6"/>
      <c r="R165" s="6"/>
      <c r="S165" s="6"/>
      <c r="T165" s="6"/>
    </row>
    <row r="166" customFormat="false" ht="91" hidden="false" customHeight="false" outlineLevel="0" collapsed="false">
      <c r="A166" s="6" t="n">
        <v>165</v>
      </c>
      <c r="B166" s="6" t="s">
        <v>10</v>
      </c>
      <c r="C166" s="7" t="n">
        <v>0.520833333333333</v>
      </c>
      <c r="D166" s="7"/>
      <c r="E166" s="6" t="s">
        <v>26</v>
      </c>
      <c r="F166" s="6" t="s">
        <v>95</v>
      </c>
      <c r="G166" s="6" t="s">
        <v>744</v>
      </c>
      <c r="H166" s="6" t="s">
        <v>745</v>
      </c>
      <c r="I166" s="6" t="s">
        <v>746</v>
      </c>
      <c r="J166" s="6" t="s">
        <v>747</v>
      </c>
      <c r="K166" s="6" t="n">
        <v>3</v>
      </c>
      <c r="L166" s="6" t="n">
        <v>1</v>
      </c>
      <c r="M166" s="6" t="s">
        <v>240</v>
      </c>
      <c r="N166" s="6" t="s">
        <v>63</v>
      </c>
      <c r="O166" s="6" t="s">
        <v>240</v>
      </c>
      <c r="P166" s="6" t="s">
        <v>748</v>
      </c>
      <c r="Q166" s="6"/>
      <c r="R166" s="6"/>
      <c r="S166" s="6"/>
      <c r="T166" s="6"/>
    </row>
    <row r="167" customFormat="false" ht="113.4" hidden="false" customHeight="false" outlineLevel="0" collapsed="false">
      <c r="A167" s="6" t="n">
        <v>166</v>
      </c>
      <c r="B167" s="6" t="s">
        <v>10</v>
      </c>
      <c r="C167" s="7" t="n">
        <v>0.520833333333333</v>
      </c>
      <c r="D167" s="7"/>
      <c r="E167" s="6" t="s">
        <v>14</v>
      </c>
      <c r="F167" s="6" t="s">
        <v>95</v>
      </c>
      <c r="G167" s="6" t="s">
        <v>749</v>
      </c>
      <c r="H167" s="6" t="s">
        <v>750</v>
      </c>
      <c r="I167" s="6" t="s">
        <v>751</v>
      </c>
      <c r="J167" s="6" t="s">
        <v>752</v>
      </c>
      <c r="K167" s="6" t="n">
        <v>3</v>
      </c>
      <c r="L167" s="6" t="n">
        <v>2</v>
      </c>
      <c r="M167" s="6" t="s">
        <v>69</v>
      </c>
      <c r="N167" s="6" t="s">
        <v>55</v>
      </c>
      <c r="O167" s="6" t="s">
        <v>69</v>
      </c>
      <c r="P167" s="6" t="s">
        <v>753</v>
      </c>
      <c r="Q167" s="6"/>
      <c r="R167" s="6"/>
      <c r="S167" s="6"/>
      <c r="T167" s="6"/>
    </row>
    <row r="168" customFormat="false" ht="57.45" hidden="false" customHeight="false" outlineLevel="0" collapsed="false">
      <c r="A168" s="6" t="n">
        <v>167</v>
      </c>
      <c r="B168" s="6" t="s">
        <v>10</v>
      </c>
      <c r="C168" s="7" t="n">
        <v>0.520833333333333</v>
      </c>
      <c r="D168" s="7"/>
      <c r="E168" s="6" t="s">
        <v>23</v>
      </c>
      <c r="F168" s="6" t="s">
        <v>199</v>
      </c>
      <c r="G168" s="6" t="s">
        <v>754</v>
      </c>
      <c r="H168" s="6" t="s">
        <v>755</v>
      </c>
      <c r="I168" s="6" t="s">
        <v>756</v>
      </c>
      <c r="J168" s="6" t="s">
        <v>757</v>
      </c>
      <c r="K168" s="6" t="n">
        <v>3</v>
      </c>
      <c r="L168" s="6" t="n">
        <v>3</v>
      </c>
      <c r="M168" s="6" t="s">
        <v>180</v>
      </c>
      <c r="N168" s="6" t="s">
        <v>63</v>
      </c>
      <c r="O168" s="6" t="s">
        <v>290</v>
      </c>
      <c r="P168" s="6" t="s">
        <v>758</v>
      </c>
      <c r="Q168" s="6"/>
      <c r="R168" s="6"/>
      <c r="S168" s="6"/>
      <c r="T168" s="6"/>
    </row>
    <row r="169" customFormat="false" ht="158.2" hidden="false" customHeight="false" outlineLevel="0" collapsed="false">
      <c r="A169" s="6" t="n">
        <v>168</v>
      </c>
      <c r="B169" s="6" t="s">
        <v>10</v>
      </c>
      <c r="C169" s="7" t="n">
        <v>0.520833333333333</v>
      </c>
      <c r="D169" s="7"/>
      <c r="E169" s="6" t="s">
        <v>12</v>
      </c>
      <c r="F169" s="6" t="s">
        <v>192</v>
      </c>
      <c r="G169" s="6" t="s">
        <v>759</v>
      </c>
      <c r="H169" s="6" t="s">
        <v>760</v>
      </c>
      <c r="I169" s="6" t="s">
        <v>761</v>
      </c>
      <c r="J169" s="6" t="s">
        <v>762</v>
      </c>
      <c r="K169" s="6" t="n">
        <v>2</v>
      </c>
      <c r="L169" s="6"/>
      <c r="M169" s="6" t="s">
        <v>197</v>
      </c>
      <c r="N169" s="6" t="s">
        <v>55</v>
      </c>
      <c r="O169" s="6" t="s">
        <v>197</v>
      </c>
      <c r="P169" s="6" t="s">
        <v>763</v>
      </c>
      <c r="Q169" s="6"/>
      <c r="R169" s="6"/>
      <c r="S169" s="6"/>
      <c r="T169" s="6"/>
    </row>
    <row r="170" customFormat="false" ht="15" hidden="false" customHeight="false" outlineLevel="0" collapsed="false">
      <c r="A170" s="6" t="n">
        <v>169</v>
      </c>
      <c r="B170" s="6" t="s">
        <v>10</v>
      </c>
      <c r="C170" s="7" t="n">
        <v>0.520833333333333</v>
      </c>
      <c r="D170" s="7"/>
      <c r="E170" s="6" t="s">
        <v>28</v>
      </c>
      <c r="F170" s="6" t="s">
        <v>251</v>
      </c>
      <c r="G170" s="6" t="s">
        <v>764</v>
      </c>
      <c r="H170" s="6" t="s">
        <v>765</v>
      </c>
      <c r="I170" s="6" t="s">
        <v>766</v>
      </c>
      <c r="J170" s="6" t="s">
        <v>767</v>
      </c>
      <c r="K170" s="6" t="n">
        <v>1</v>
      </c>
      <c r="L170" s="6"/>
      <c r="M170" s="6" t="s">
        <v>28</v>
      </c>
      <c r="N170" s="6"/>
      <c r="O170" s="6" t="s">
        <v>28</v>
      </c>
      <c r="P170" s="6"/>
      <c r="Q170" s="6"/>
      <c r="R170" s="6"/>
      <c r="S170" s="6"/>
      <c r="T170" s="6"/>
    </row>
    <row r="171" customFormat="false" ht="15" hidden="false" customHeight="false" outlineLevel="0" collapsed="false">
      <c r="A171" s="6" t="n">
        <v>170</v>
      </c>
      <c r="B171" s="6" t="s">
        <v>10</v>
      </c>
      <c r="C171" s="7" t="n">
        <v>0.527777777777778</v>
      </c>
      <c r="D171" s="7"/>
      <c r="E171" s="6" t="s">
        <v>28</v>
      </c>
      <c r="F171" s="6" t="s">
        <v>251</v>
      </c>
      <c r="G171" s="6" t="s">
        <v>768</v>
      </c>
      <c r="H171" s="6" t="s">
        <v>769</v>
      </c>
      <c r="I171" s="6" t="s">
        <v>770</v>
      </c>
      <c r="J171" s="6" t="s">
        <v>771</v>
      </c>
      <c r="K171" s="6" t="n">
        <v>1</v>
      </c>
      <c r="L171" s="6"/>
      <c r="M171" s="6" t="s">
        <v>28</v>
      </c>
      <c r="N171" s="6"/>
      <c r="O171" s="6" t="s">
        <v>28</v>
      </c>
      <c r="P171" s="6"/>
      <c r="Q171" s="6"/>
      <c r="R171" s="6"/>
      <c r="S171" s="6"/>
      <c r="T171" s="6"/>
    </row>
    <row r="172" customFormat="false" ht="57.45" hidden="false" customHeight="false" outlineLevel="0" collapsed="false">
      <c r="A172" s="6" t="n">
        <v>171</v>
      </c>
      <c r="B172" s="6" t="s">
        <v>10</v>
      </c>
      <c r="C172" s="7" t="n">
        <v>0.53125</v>
      </c>
      <c r="D172" s="7"/>
      <c r="E172" s="6" t="s">
        <v>12</v>
      </c>
      <c r="F172" s="6" t="s">
        <v>95</v>
      </c>
      <c r="G172" s="6" t="s">
        <v>772</v>
      </c>
      <c r="H172" s="6" t="s">
        <v>773</v>
      </c>
      <c r="I172" s="6" t="s">
        <v>774</v>
      </c>
      <c r="J172" s="6" t="s">
        <v>775</v>
      </c>
      <c r="K172" s="6" t="n">
        <v>3</v>
      </c>
      <c r="L172" s="6" t="n">
        <v>2</v>
      </c>
      <c r="M172" s="6" t="s">
        <v>197</v>
      </c>
      <c r="N172" s="6" t="s">
        <v>55</v>
      </c>
      <c r="O172" s="6" t="s">
        <v>197</v>
      </c>
      <c r="P172" s="6" t="s">
        <v>776</v>
      </c>
      <c r="Q172" s="6"/>
      <c r="R172" s="6"/>
      <c r="S172" s="6"/>
      <c r="T172" s="6"/>
    </row>
    <row r="173" customFormat="false" ht="23.85" hidden="false" customHeight="false" outlineLevel="0" collapsed="false">
      <c r="A173" s="6" t="n">
        <v>172</v>
      </c>
      <c r="B173" s="6" t="s">
        <v>10</v>
      </c>
      <c r="C173" s="7" t="n">
        <v>0.534722222222222</v>
      </c>
      <c r="D173" s="7"/>
      <c r="E173" s="6" t="s">
        <v>28</v>
      </c>
      <c r="F173" s="6" t="s">
        <v>251</v>
      </c>
      <c r="G173" s="6" t="s">
        <v>777</v>
      </c>
      <c r="H173" s="6" t="s">
        <v>778</v>
      </c>
      <c r="I173" s="6" t="s">
        <v>779</v>
      </c>
      <c r="J173" s="6" t="s">
        <v>780</v>
      </c>
      <c r="K173" s="6" t="n">
        <v>1</v>
      </c>
      <c r="L173" s="6"/>
      <c r="M173" s="6" t="s">
        <v>28</v>
      </c>
      <c r="N173" s="6"/>
      <c r="O173" s="6" t="s">
        <v>28</v>
      </c>
      <c r="P173" s="6"/>
      <c r="Q173" s="6"/>
      <c r="R173" s="6"/>
      <c r="S173" s="6"/>
      <c r="T173" s="6"/>
    </row>
    <row r="174" customFormat="false" ht="15" hidden="false" customHeight="false" outlineLevel="0" collapsed="false">
      <c r="A174" s="6" t="n">
        <v>173</v>
      </c>
      <c r="B174" s="6" t="s">
        <v>10</v>
      </c>
      <c r="C174" s="7" t="n">
        <v>0.541666666666667</v>
      </c>
      <c r="D174" s="7"/>
      <c r="E174" s="6" t="s">
        <v>28</v>
      </c>
      <c r="F174" s="6" t="s">
        <v>251</v>
      </c>
      <c r="G174" s="6" t="s">
        <v>781</v>
      </c>
      <c r="H174" s="6" t="s">
        <v>782</v>
      </c>
      <c r="I174" s="6" t="s">
        <v>783</v>
      </c>
      <c r="J174" s="6" t="s">
        <v>784</v>
      </c>
      <c r="K174" s="6" t="n">
        <v>1</v>
      </c>
      <c r="L174" s="6"/>
      <c r="M174" s="6" t="s">
        <v>28</v>
      </c>
      <c r="N174" s="6"/>
      <c r="O174" s="6" t="s">
        <v>28</v>
      </c>
      <c r="P174" s="6"/>
      <c r="Q174" s="6"/>
      <c r="R174" s="6"/>
      <c r="S174" s="6"/>
      <c r="T174" s="6"/>
    </row>
    <row r="175" customFormat="false" ht="15" hidden="false" customHeight="false" outlineLevel="0" collapsed="false">
      <c r="A175" s="6" t="n">
        <v>174</v>
      </c>
      <c r="B175" s="6" t="s">
        <v>10</v>
      </c>
      <c r="C175" s="7" t="n">
        <v>0.548611111111111</v>
      </c>
      <c r="D175" s="7"/>
      <c r="E175" s="6" t="s">
        <v>28</v>
      </c>
      <c r="F175" s="6" t="s">
        <v>251</v>
      </c>
      <c r="G175" s="6" t="s">
        <v>785</v>
      </c>
      <c r="H175" s="6" t="s">
        <v>786</v>
      </c>
      <c r="I175" s="6" t="s">
        <v>787</v>
      </c>
      <c r="J175" s="6" t="s">
        <v>788</v>
      </c>
      <c r="K175" s="6" t="n">
        <v>1</v>
      </c>
      <c r="L175" s="6"/>
      <c r="M175" s="6" t="s">
        <v>28</v>
      </c>
      <c r="N175" s="6"/>
      <c r="O175" s="6" t="s">
        <v>28</v>
      </c>
      <c r="P175" s="6"/>
      <c r="Q175" s="6"/>
      <c r="R175" s="6"/>
      <c r="S175" s="6"/>
      <c r="T175" s="6"/>
    </row>
    <row r="176" customFormat="false" ht="68.65" hidden="false" customHeight="false" outlineLevel="0" collapsed="false">
      <c r="A176" s="6" t="n">
        <v>175</v>
      </c>
      <c r="B176" s="6" t="s">
        <v>10</v>
      </c>
      <c r="C176" s="7" t="n">
        <v>0.552083333333333</v>
      </c>
      <c r="D176" s="7" t="n">
        <v>0.59375</v>
      </c>
      <c r="E176" s="6" t="s">
        <v>30</v>
      </c>
      <c r="F176" s="6" t="s">
        <v>30</v>
      </c>
      <c r="G176" s="6" t="s">
        <v>789</v>
      </c>
      <c r="H176" s="6" t="s">
        <v>790</v>
      </c>
      <c r="I176" s="6" t="s">
        <v>791</v>
      </c>
      <c r="J176" s="6"/>
      <c r="K176" s="6" t="n">
        <v>6</v>
      </c>
      <c r="L176" s="6"/>
      <c r="M176" s="6" t="s">
        <v>240</v>
      </c>
      <c r="N176" s="6" t="s">
        <v>63</v>
      </c>
      <c r="O176" s="6" t="s">
        <v>792</v>
      </c>
      <c r="P176" s="6"/>
      <c r="Q176" s="6" t="n">
        <v>26</v>
      </c>
      <c r="R176" s="6" t="n">
        <v>50</v>
      </c>
      <c r="S176" s="6" t="n">
        <f aca="false">R176-Q176</f>
        <v>24</v>
      </c>
      <c r="T176" s="6" t="s">
        <v>115</v>
      </c>
    </row>
    <row r="177" customFormat="false" ht="23.85" hidden="false" customHeight="false" outlineLevel="0" collapsed="false">
      <c r="A177" s="6" t="n">
        <v>176</v>
      </c>
      <c r="B177" s="6" t="s">
        <v>10</v>
      </c>
      <c r="C177" s="7" t="n">
        <v>0.555555555555556</v>
      </c>
      <c r="D177" s="7"/>
      <c r="E177" s="6" t="s">
        <v>28</v>
      </c>
      <c r="F177" s="6" t="s">
        <v>251</v>
      </c>
      <c r="G177" s="6" t="s">
        <v>793</v>
      </c>
      <c r="H177" s="6" t="s">
        <v>794</v>
      </c>
      <c r="I177" s="6" t="s">
        <v>795</v>
      </c>
      <c r="J177" s="6" t="s">
        <v>796</v>
      </c>
      <c r="K177" s="6" t="n">
        <v>1</v>
      </c>
      <c r="L177" s="6"/>
      <c r="M177" s="6" t="s">
        <v>28</v>
      </c>
      <c r="N177" s="6"/>
      <c r="O177" s="6" t="s">
        <v>28</v>
      </c>
      <c r="P177" s="6"/>
      <c r="Q177" s="6"/>
      <c r="R177" s="6"/>
      <c r="S177" s="6"/>
      <c r="T177" s="6"/>
    </row>
    <row r="178" customFormat="false" ht="79.85" hidden="false" customHeight="false" outlineLevel="0" collapsed="false">
      <c r="A178" s="6" t="n">
        <v>177</v>
      </c>
      <c r="B178" s="6" t="s">
        <v>10</v>
      </c>
      <c r="C178" s="7" t="n">
        <v>0.5625</v>
      </c>
      <c r="D178" s="7"/>
      <c r="E178" s="6" t="s">
        <v>13</v>
      </c>
      <c r="F178" s="6" t="s">
        <v>797</v>
      </c>
      <c r="G178" s="6" t="s">
        <v>798</v>
      </c>
      <c r="H178" s="6" t="s">
        <v>799</v>
      </c>
      <c r="I178" s="6" t="s">
        <v>800</v>
      </c>
      <c r="J178" s="6" t="s">
        <v>801</v>
      </c>
      <c r="K178" s="6" t="n">
        <v>3</v>
      </c>
      <c r="L178" s="6" t="n">
        <v>7</v>
      </c>
      <c r="M178" s="6" t="s">
        <v>62</v>
      </c>
      <c r="N178" s="6" t="s">
        <v>63</v>
      </c>
      <c r="O178" s="6" t="s">
        <v>802</v>
      </c>
      <c r="P178" s="6" t="s">
        <v>803</v>
      </c>
      <c r="Q178" s="6"/>
      <c r="R178" s="6"/>
      <c r="S178" s="6"/>
      <c r="T178" s="6"/>
    </row>
    <row r="179" customFormat="false" ht="15" hidden="false" customHeight="false" outlineLevel="0" collapsed="false">
      <c r="A179" s="6" t="n">
        <v>178</v>
      </c>
      <c r="B179" s="6" t="s">
        <v>10</v>
      </c>
      <c r="C179" s="7" t="n">
        <v>0.5625</v>
      </c>
      <c r="D179" s="7"/>
      <c r="E179" s="6" t="s">
        <v>28</v>
      </c>
      <c r="F179" s="6" t="s">
        <v>251</v>
      </c>
      <c r="G179" s="6" t="s">
        <v>804</v>
      </c>
      <c r="H179" s="6" t="s">
        <v>805</v>
      </c>
      <c r="I179" s="6" t="s">
        <v>806</v>
      </c>
      <c r="J179" s="6" t="s">
        <v>807</v>
      </c>
      <c r="K179" s="6" t="n">
        <v>1</v>
      </c>
      <c r="L179" s="6"/>
      <c r="M179" s="6" t="s">
        <v>28</v>
      </c>
      <c r="N179" s="6"/>
      <c r="O179" s="6" t="s">
        <v>28</v>
      </c>
      <c r="P179" s="6"/>
      <c r="Q179" s="6"/>
      <c r="R179" s="6"/>
      <c r="S179" s="6"/>
      <c r="T179" s="6"/>
    </row>
    <row r="180" customFormat="false" ht="23.85" hidden="false" customHeight="false" outlineLevel="0" collapsed="false">
      <c r="A180" s="6" t="n">
        <v>179</v>
      </c>
      <c r="B180" s="6" t="s">
        <v>10</v>
      </c>
      <c r="C180" s="7" t="n">
        <v>0.5625</v>
      </c>
      <c r="D180" s="7" t="n">
        <v>0.579861111111111</v>
      </c>
      <c r="E180" s="6" t="s">
        <v>27</v>
      </c>
      <c r="F180" s="6" t="s">
        <v>27</v>
      </c>
      <c r="G180" s="6" t="s">
        <v>808</v>
      </c>
      <c r="H180" s="6" t="s">
        <v>809</v>
      </c>
      <c r="I180" s="6" t="s">
        <v>809</v>
      </c>
      <c r="J180" s="6"/>
      <c r="K180" s="6" t="n">
        <v>1</v>
      </c>
      <c r="L180" s="6"/>
      <c r="M180" s="6" t="s">
        <v>113</v>
      </c>
      <c r="N180" s="6" t="s">
        <v>55</v>
      </c>
      <c r="O180" s="6" t="s">
        <v>810</v>
      </c>
      <c r="P180" s="6"/>
      <c r="Q180" s="6" t="n">
        <v>36</v>
      </c>
      <c r="R180" s="6" t="n">
        <v>40</v>
      </c>
      <c r="S180" s="6" t="n">
        <f aca="false">R180-Q180</f>
        <v>4</v>
      </c>
      <c r="T180" s="6" t="s">
        <v>115</v>
      </c>
    </row>
    <row r="181" customFormat="false" ht="23.85" hidden="false" customHeight="false" outlineLevel="0" collapsed="false">
      <c r="A181" s="6" t="n">
        <v>180</v>
      </c>
      <c r="B181" s="6" t="s">
        <v>10</v>
      </c>
      <c r="C181" s="7" t="n">
        <v>0.5625</v>
      </c>
      <c r="D181" s="7" t="n">
        <v>0.579861111111111</v>
      </c>
      <c r="E181" s="6" t="s">
        <v>27</v>
      </c>
      <c r="F181" s="6" t="s">
        <v>27</v>
      </c>
      <c r="G181" s="6" t="s">
        <v>811</v>
      </c>
      <c r="H181" s="6" t="s">
        <v>812</v>
      </c>
      <c r="I181" s="6" t="s">
        <v>812</v>
      </c>
      <c r="J181" s="6"/>
      <c r="K181" s="6" t="n">
        <v>1</v>
      </c>
      <c r="L181" s="6"/>
      <c r="M181" s="6" t="s">
        <v>113</v>
      </c>
      <c r="N181" s="6" t="s">
        <v>55</v>
      </c>
      <c r="O181" s="6" t="s">
        <v>810</v>
      </c>
      <c r="P181" s="6"/>
      <c r="Q181" s="6" t="n">
        <v>39</v>
      </c>
      <c r="R181" s="6" t="n">
        <v>50</v>
      </c>
      <c r="S181" s="6" t="n">
        <f aca="false">R181-Q181</f>
        <v>11</v>
      </c>
      <c r="T181" s="6" t="s">
        <v>115</v>
      </c>
    </row>
    <row r="182" customFormat="false" ht="46.25" hidden="false" customHeight="false" outlineLevel="0" collapsed="false">
      <c r="A182" s="6" t="n">
        <v>181</v>
      </c>
      <c r="B182" s="6" t="s">
        <v>10</v>
      </c>
      <c r="C182" s="7" t="n">
        <v>0.576388888888889</v>
      </c>
      <c r="D182" s="7"/>
      <c r="E182" s="6" t="s">
        <v>22</v>
      </c>
      <c r="F182" s="6" t="s">
        <v>199</v>
      </c>
      <c r="G182" s="6" t="s">
        <v>813</v>
      </c>
      <c r="H182" s="6" t="s">
        <v>814</v>
      </c>
      <c r="I182" s="6" t="s">
        <v>815</v>
      </c>
      <c r="J182" s="6" t="s">
        <v>816</v>
      </c>
      <c r="K182" s="6" t="n">
        <v>3</v>
      </c>
      <c r="L182" s="6" t="n">
        <v>3</v>
      </c>
      <c r="M182" s="6" t="s">
        <v>28</v>
      </c>
      <c r="N182" s="6"/>
      <c r="O182" s="6" t="s">
        <v>28</v>
      </c>
      <c r="P182" s="6"/>
      <c r="Q182" s="6"/>
      <c r="R182" s="6"/>
      <c r="S182" s="6"/>
      <c r="T182" s="6"/>
    </row>
    <row r="183" customFormat="false" ht="23.85" hidden="false" customHeight="false" outlineLevel="0" collapsed="false">
      <c r="A183" s="6" t="n">
        <v>182</v>
      </c>
      <c r="B183" s="6" t="s">
        <v>10</v>
      </c>
      <c r="C183" s="7" t="n">
        <v>0.583333333333333</v>
      </c>
      <c r="D183" s="7"/>
      <c r="E183" s="6" t="s">
        <v>20</v>
      </c>
      <c r="F183" s="6" t="s">
        <v>181</v>
      </c>
      <c r="G183" s="6" t="s">
        <v>817</v>
      </c>
      <c r="H183" s="6" t="s">
        <v>818</v>
      </c>
      <c r="I183" s="6" t="s">
        <v>819</v>
      </c>
      <c r="J183" s="6" t="s">
        <v>820</v>
      </c>
      <c r="K183" s="6" t="n">
        <v>2</v>
      </c>
      <c r="L183" s="6"/>
      <c r="M183" s="6" t="s">
        <v>220</v>
      </c>
      <c r="N183" s="6" t="s">
        <v>63</v>
      </c>
      <c r="O183" s="6" t="s">
        <v>221</v>
      </c>
      <c r="P183" s="6"/>
      <c r="Q183" s="6"/>
      <c r="R183" s="6"/>
      <c r="S183" s="6"/>
      <c r="T183" s="6"/>
    </row>
    <row r="184" customFormat="false" ht="23.85" hidden="false" customHeight="false" outlineLevel="0" collapsed="false">
      <c r="A184" s="6" t="n">
        <v>183</v>
      </c>
      <c r="B184" s="6" t="s">
        <v>10</v>
      </c>
      <c r="C184" s="7" t="n">
        <v>0.583333333333333</v>
      </c>
      <c r="D184" s="7"/>
      <c r="E184" s="6" t="s">
        <v>23</v>
      </c>
      <c r="F184" s="6" t="s">
        <v>181</v>
      </c>
      <c r="G184" s="6" t="s">
        <v>821</v>
      </c>
      <c r="H184" s="6" t="s">
        <v>822</v>
      </c>
      <c r="I184" s="6" t="s">
        <v>823</v>
      </c>
      <c r="J184" s="6" t="s">
        <v>824</v>
      </c>
      <c r="K184" s="6" t="n">
        <v>2</v>
      </c>
      <c r="L184" s="6"/>
      <c r="M184" s="6" t="s">
        <v>180</v>
      </c>
      <c r="N184" s="6" t="s">
        <v>63</v>
      </c>
      <c r="O184" s="6" t="s">
        <v>180</v>
      </c>
      <c r="P184" s="6"/>
      <c r="Q184" s="6"/>
      <c r="R184" s="6"/>
      <c r="S184" s="6"/>
      <c r="T184" s="6"/>
    </row>
    <row r="185" customFormat="false" ht="46.25" hidden="false" customHeight="false" outlineLevel="0" collapsed="false">
      <c r="A185" s="6" t="n">
        <v>184</v>
      </c>
      <c r="B185" s="6" t="s">
        <v>10</v>
      </c>
      <c r="C185" s="7" t="n">
        <v>0.583333333333333</v>
      </c>
      <c r="D185" s="7"/>
      <c r="E185" s="6" t="s">
        <v>14</v>
      </c>
      <c r="F185" s="6" t="s">
        <v>181</v>
      </c>
      <c r="G185" s="6" t="s">
        <v>825</v>
      </c>
      <c r="H185" s="6" t="s">
        <v>826</v>
      </c>
      <c r="I185" s="6" t="s">
        <v>827</v>
      </c>
      <c r="J185" s="6" t="s">
        <v>828</v>
      </c>
      <c r="K185" s="6" t="n">
        <v>2</v>
      </c>
      <c r="L185" s="6"/>
      <c r="M185" s="6" t="s">
        <v>69</v>
      </c>
      <c r="N185" s="6" t="s">
        <v>55</v>
      </c>
      <c r="O185" s="6" t="s">
        <v>69</v>
      </c>
      <c r="P185" s="6"/>
      <c r="Q185" s="6"/>
      <c r="R185" s="6"/>
      <c r="S185" s="6"/>
      <c r="T185" s="6"/>
    </row>
    <row r="186" customFormat="false" ht="35.05" hidden="false" customHeight="false" outlineLevel="0" collapsed="false">
      <c r="A186" s="6" t="n">
        <v>185</v>
      </c>
      <c r="B186" s="6" t="s">
        <v>10</v>
      </c>
      <c r="C186" s="7" t="n">
        <v>0.583333333333333</v>
      </c>
      <c r="D186" s="7"/>
      <c r="E186" s="6" t="s">
        <v>12</v>
      </c>
      <c r="F186" s="6" t="s">
        <v>181</v>
      </c>
      <c r="G186" s="6" t="s">
        <v>829</v>
      </c>
      <c r="H186" s="6" t="s">
        <v>830</v>
      </c>
      <c r="I186" s="6" t="s">
        <v>831</v>
      </c>
      <c r="J186" s="6" t="s">
        <v>832</v>
      </c>
      <c r="K186" s="6" t="n">
        <v>2</v>
      </c>
      <c r="L186" s="6"/>
      <c r="M186" s="6" t="s">
        <v>197</v>
      </c>
      <c r="N186" s="6" t="s">
        <v>55</v>
      </c>
      <c r="O186" s="6" t="s">
        <v>197</v>
      </c>
      <c r="P186" s="6"/>
      <c r="Q186" s="6"/>
      <c r="R186" s="6"/>
      <c r="S186" s="6"/>
      <c r="T186" s="6"/>
    </row>
    <row r="187" customFormat="false" ht="23.85" hidden="false" customHeight="false" outlineLevel="0" collapsed="false">
      <c r="A187" s="6" t="n">
        <v>186</v>
      </c>
      <c r="B187" s="6" t="s">
        <v>10</v>
      </c>
      <c r="C187" s="7" t="n">
        <v>0.59375</v>
      </c>
      <c r="D187" s="7"/>
      <c r="E187" s="6" t="s">
        <v>12</v>
      </c>
      <c r="F187" s="6" t="s">
        <v>199</v>
      </c>
      <c r="G187" s="6" t="s">
        <v>833</v>
      </c>
      <c r="H187" s="6" t="s">
        <v>834</v>
      </c>
      <c r="I187" s="6" t="s">
        <v>835</v>
      </c>
      <c r="J187" s="6" t="s">
        <v>836</v>
      </c>
      <c r="K187" s="6" t="n">
        <v>2</v>
      </c>
      <c r="L187" s="6"/>
      <c r="M187" s="6" t="s">
        <v>197</v>
      </c>
      <c r="N187" s="6" t="s">
        <v>55</v>
      </c>
      <c r="O187" s="6" t="s">
        <v>197</v>
      </c>
      <c r="P187" s="6"/>
      <c r="Q187" s="6"/>
      <c r="R187" s="6"/>
      <c r="S187" s="6"/>
      <c r="T187" s="6"/>
    </row>
    <row r="188" customFormat="false" ht="124.6" hidden="false" customHeight="false" outlineLevel="0" collapsed="false">
      <c r="A188" s="6" t="n">
        <v>187</v>
      </c>
      <c r="B188" s="6" t="s">
        <v>10</v>
      </c>
      <c r="C188" s="7" t="n">
        <v>0.59375</v>
      </c>
      <c r="D188" s="7"/>
      <c r="E188" s="6" t="s">
        <v>14</v>
      </c>
      <c r="F188" s="6" t="s">
        <v>95</v>
      </c>
      <c r="G188" s="6" t="s">
        <v>837</v>
      </c>
      <c r="H188" s="6" t="s">
        <v>838</v>
      </c>
      <c r="I188" s="6" t="s">
        <v>839</v>
      </c>
      <c r="J188" s="6" t="s">
        <v>840</v>
      </c>
      <c r="K188" s="6" t="n">
        <v>3</v>
      </c>
      <c r="L188" s="6" t="n">
        <v>5</v>
      </c>
      <c r="M188" s="6" t="s">
        <v>69</v>
      </c>
      <c r="N188" s="6" t="s">
        <v>55</v>
      </c>
      <c r="O188" s="6" t="s">
        <v>69</v>
      </c>
      <c r="P188" s="6" t="s">
        <v>841</v>
      </c>
      <c r="Q188" s="6"/>
      <c r="R188" s="6"/>
      <c r="S188" s="6"/>
      <c r="T188" s="6"/>
    </row>
    <row r="189" customFormat="false" ht="91" hidden="false" customHeight="false" outlineLevel="0" collapsed="false">
      <c r="A189" s="6" t="n">
        <v>188</v>
      </c>
      <c r="B189" s="6" t="s">
        <v>10</v>
      </c>
      <c r="C189" s="7" t="n">
        <v>0.59375</v>
      </c>
      <c r="D189" s="7"/>
      <c r="E189" s="6" t="s">
        <v>23</v>
      </c>
      <c r="F189" s="6" t="s">
        <v>199</v>
      </c>
      <c r="G189" s="6" t="s">
        <v>842</v>
      </c>
      <c r="H189" s="6" t="s">
        <v>843</v>
      </c>
      <c r="I189" s="6" t="s">
        <v>844</v>
      </c>
      <c r="J189" s="6" t="s">
        <v>845</v>
      </c>
      <c r="K189" s="6" t="n">
        <v>3</v>
      </c>
      <c r="L189" s="6"/>
      <c r="M189" s="6" t="s">
        <v>180</v>
      </c>
      <c r="N189" s="6" t="s">
        <v>63</v>
      </c>
      <c r="O189" s="6" t="s">
        <v>290</v>
      </c>
      <c r="P189" s="6" t="s">
        <v>846</v>
      </c>
      <c r="Q189" s="6"/>
      <c r="R189" s="6"/>
      <c r="S189" s="6"/>
      <c r="T189" s="6"/>
    </row>
    <row r="190" customFormat="false" ht="57.45" hidden="false" customHeight="false" outlineLevel="0" collapsed="false">
      <c r="A190" s="6" t="n">
        <v>189</v>
      </c>
      <c r="B190" s="6" t="s">
        <v>10</v>
      </c>
      <c r="C190" s="7" t="n">
        <v>0.59375</v>
      </c>
      <c r="D190" s="7"/>
      <c r="E190" s="6" t="s">
        <v>20</v>
      </c>
      <c r="F190" s="6" t="s">
        <v>95</v>
      </c>
      <c r="G190" s="6" t="s">
        <v>847</v>
      </c>
      <c r="H190" s="6" t="s">
        <v>848</v>
      </c>
      <c r="I190" s="6" t="s">
        <v>849</v>
      </c>
      <c r="J190" s="6" t="s">
        <v>850</v>
      </c>
      <c r="K190" s="6" t="n">
        <v>3</v>
      </c>
      <c r="L190" s="6" t="n">
        <v>2</v>
      </c>
      <c r="M190" s="6" t="s">
        <v>220</v>
      </c>
      <c r="N190" s="6" t="s">
        <v>63</v>
      </c>
      <c r="O190" s="6" t="s">
        <v>221</v>
      </c>
      <c r="P190" s="6" t="s">
        <v>851</v>
      </c>
      <c r="Q190" s="6"/>
      <c r="R190" s="6"/>
      <c r="S190" s="6"/>
      <c r="T190" s="6"/>
    </row>
    <row r="191" customFormat="false" ht="46.25" hidden="false" customHeight="false" outlineLevel="0" collapsed="false">
      <c r="A191" s="6" t="n">
        <v>190</v>
      </c>
      <c r="B191" s="6" t="s">
        <v>10</v>
      </c>
      <c r="C191" s="7" t="n">
        <v>0.604166666666667</v>
      </c>
      <c r="D191" s="7"/>
      <c r="E191" s="6" t="s">
        <v>12</v>
      </c>
      <c r="F191" s="6" t="s">
        <v>199</v>
      </c>
      <c r="G191" s="6" t="s">
        <v>852</v>
      </c>
      <c r="H191" s="6" t="s">
        <v>853</v>
      </c>
      <c r="I191" s="6" t="s">
        <v>854</v>
      </c>
      <c r="J191" s="6" t="s">
        <v>855</v>
      </c>
      <c r="K191" s="6" t="n">
        <v>3</v>
      </c>
      <c r="L191" s="6" t="n">
        <v>1</v>
      </c>
      <c r="M191" s="6" t="s">
        <v>197</v>
      </c>
      <c r="N191" s="6" t="s">
        <v>55</v>
      </c>
      <c r="O191" s="6" t="s">
        <v>197</v>
      </c>
      <c r="P191" s="6"/>
      <c r="Q191" s="6"/>
      <c r="R191" s="6"/>
      <c r="S191" s="6"/>
      <c r="T191" s="6"/>
    </row>
    <row r="192" customFormat="false" ht="79.85" hidden="false" customHeight="false" outlineLevel="0" collapsed="false">
      <c r="A192" s="6" t="n">
        <v>191</v>
      </c>
      <c r="B192" s="6" t="s">
        <v>10</v>
      </c>
      <c r="C192" s="7" t="n">
        <v>0.604166666666667</v>
      </c>
      <c r="D192" s="7"/>
      <c r="E192" s="6" t="s">
        <v>13</v>
      </c>
      <c r="F192" s="6" t="s">
        <v>95</v>
      </c>
      <c r="G192" s="6" t="s">
        <v>856</v>
      </c>
      <c r="H192" s="6" t="s">
        <v>857</v>
      </c>
      <c r="I192" s="6" t="s">
        <v>858</v>
      </c>
      <c r="J192" s="6" t="s">
        <v>859</v>
      </c>
      <c r="K192" s="6" t="n">
        <v>3</v>
      </c>
      <c r="L192" s="6" t="n">
        <v>3</v>
      </c>
      <c r="M192" s="6" t="s">
        <v>62</v>
      </c>
      <c r="N192" s="6" t="s">
        <v>63</v>
      </c>
      <c r="O192" s="6" t="s">
        <v>62</v>
      </c>
      <c r="P192" s="6" t="s">
        <v>860</v>
      </c>
      <c r="Q192" s="6"/>
      <c r="R192" s="6"/>
      <c r="S192" s="6"/>
      <c r="T192" s="6"/>
    </row>
    <row r="193" customFormat="false" ht="15" hidden="false" customHeight="false" outlineLevel="0" collapsed="false">
      <c r="A193" s="6" t="n">
        <v>192</v>
      </c>
      <c r="B193" s="6" t="s">
        <v>10</v>
      </c>
      <c r="C193" s="7" t="n">
        <v>0.614583333333333</v>
      </c>
      <c r="D193" s="7"/>
      <c r="E193" s="6" t="s">
        <v>28</v>
      </c>
      <c r="F193" s="6" t="s">
        <v>251</v>
      </c>
      <c r="G193" s="6" t="s">
        <v>861</v>
      </c>
      <c r="H193" s="6" t="s">
        <v>862</v>
      </c>
      <c r="I193" s="6" t="s">
        <v>863</v>
      </c>
      <c r="J193" s="6" t="s">
        <v>864</v>
      </c>
      <c r="K193" s="6" t="n">
        <v>1</v>
      </c>
      <c r="L193" s="6"/>
      <c r="M193" s="6" t="s">
        <v>28</v>
      </c>
      <c r="N193" s="6"/>
      <c r="O193" s="6" t="s">
        <v>28</v>
      </c>
      <c r="P193" s="6"/>
      <c r="Q193" s="6"/>
      <c r="R193" s="6"/>
      <c r="S193" s="6"/>
      <c r="T193" s="6"/>
    </row>
    <row r="194" customFormat="false" ht="46.25" hidden="false" customHeight="false" outlineLevel="0" collapsed="false">
      <c r="A194" s="6" t="n">
        <v>193</v>
      </c>
      <c r="B194" s="6" t="s">
        <v>10</v>
      </c>
      <c r="C194" s="7" t="n">
        <v>0.635416666666667</v>
      </c>
      <c r="D194" s="7"/>
      <c r="E194" s="6" t="s">
        <v>13</v>
      </c>
      <c r="F194" s="6" t="s">
        <v>797</v>
      </c>
      <c r="G194" s="6" t="s">
        <v>865</v>
      </c>
      <c r="H194" s="6" t="s">
        <v>866</v>
      </c>
      <c r="I194" s="6" t="s">
        <v>867</v>
      </c>
      <c r="J194" s="6" t="s">
        <v>868</v>
      </c>
      <c r="K194" s="6" t="n">
        <v>3</v>
      </c>
      <c r="L194" s="6" t="n">
        <v>6</v>
      </c>
      <c r="M194" s="6" t="s">
        <v>62</v>
      </c>
      <c r="N194" s="6" t="s">
        <v>63</v>
      </c>
      <c r="O194" s="6" t="s">
        <v>802</v>
      </c>
      <c r="P194" s="6"/>
      <c r="Q194" s="6"/>
      <c r="R194" s="6"/>
      <c r="S194" s="6"/>
      <c r="T194"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5"/>
    <col collapsed="false" customWidth="true" hidden="false" outlineLevel="0" max="3" min="3" style="0" width="35"/>
    <col collapsed="false" customWidth="true" hidden="false" outlineLevel="0" max="4" min="4" style="0" width="9"/>
    <col collapsed="false" customWidth="true" hidden="false" outlineLevel="0" max="6" min="5" style="0" width="7"/>
    <col collapsed="false" customWidth="true" hidden="false" outlineLevel="0" max="7" min="7" style="0" width="22"/>
    <col collapsed="false" customWidth="true" hidden="false" outlineLevel="0" max="8" min="8" style="0" width="14"/>
    <col collapsed="false" customWidth="true" hidden="false" outlineLevel="0" max="9" min="9" style="0" width="60"/>
    <col collapsed="false" customWidth="true" hidden="false" outlineLevel="0" max="10" min="10" style="0" width="26"/>
  </cols>
  <sheetData>
    <row r="1" customFormat="false" ht="30" hidden="false" customHeight="true" outlineLevel="0" collapsed="false">
      <c r="A1" s="5" t="s">
        <v>869</v>
      </c>
      <c r="B1" s="5" t="s">
        <v>870</v>
      </c>
      <c r="C1" s="5" t="s">
        <v>871</v>
      </c>
      <c r="D1" s="5" t="s">
        <v>872</v>
      </c>
      <c r="E1" s="5" t="s">
        <v>32</v>
      </c>
      <c r="F1" s="5" t="s">
        <v>33</v>
      </c>
      <c r="G1" s="5" t="s">
        <v>8</v>
      </c>
      <c r="H1" s="5" t="s">
        <v>35</v>
      </c>
      <c r="I1" s="5" t="s">
        <v>36</v>
      </c>
      <c r="J1" s="5" t="s">
        <v>42</v>
      </c>
    </row>
    <row r="2" customFormat="false" ht="23.85" hidden="false" customHeight="false" outlineLevel="0" collapsed="false">
      <c r="A2" s="6" t="s">
        <v>52</v>
      </c>
      <c r="B2" s="6"/>
      <c r="C2" s="6" t="s">
        <v>53</v>
      </c>
      <c r="D2" s="6" t="s">
        <v>873</v>
      </c>
      <c r="E2" s="6" t="s">
        <v>9</v>
      </c>
      <c r="F2" s="7" t="n">
        <v>0.34375</v>
      </c>
      <c r="G2" s="6" t="s">
        <v>24</v>
      </c>
      <c r="H2" s="6" t="s">
        <v>24</v>
      </c>
      <c r="I2" s="6" t="s">
        <v>50</v>
      </c>
      <c r="J2" s="6" t="s">
        <v>54</v>
      </c>
    </row>
    <row r="3" customFormat="false" ht="15" hidden="false" customHeight="false" outlineLevel="0" collapsed="false">
      <c r="A3" s="6" t="s">
        <v>60</v>
      </c>
      <c r="B3" s="6" t="s">
        <v>874</v>
      </c>
      <c r="C3" s="6" t="s">
        <v>61</v>
      </c>
      <c r="D3" s="6" t="s">
        <v>873</v>
      </c>
      <c r="E3" s="6" t="s">
        <v>9</v>
      </c>
      <c r="F3" s="7" t="n">
        <v>0.381944444444444</v>
      </c>
      <c r="G3" s="6" t="s">
        <v>13</v>
      </c>
      <c r="H3" s="6" t="s">
        <v>57</v>
      </c>
      <c r="I3" s="6" t="s">
        <v>58</v>
      </c>
      <c r="J3" s="6" t="s">
        <v>62</v>
      </c>
    </row>
    <row r="4" customFormat="false" ht="15" hidden="false" customHeight="false" outlineLevel="0" collapsed="false">
      <c r="A4" s="6" t="s">
        <v>67</v>
      </c>
      <c r="B4" s="6" t="s">
        <v>875</v>
      </c>
      <c r="C4" s="6" t="s">
        <v>68</v>
      </c>
      <c r="D4" s="6" t="s">
        <v>873</v>
      </c>
      <c r="E4" s="6" t="s">
        <v>9</v>
      </c>
      <c r="F4" s="7" t="n">
        <v>0.385416666666667</v>
      </c>
      <c r="G4" s="6" t="s">
        <v>17</v>
      </c>
      <c r="H4" s="6" t="s">
        <v>57</v>
      </c>
      <c r="I4" s="6" t="s">
        <v>65</v>
      </c>
      <c r="J4" s="6" t="s">
        <v>69</v>
      </c>
    </row>
    <row r="5" customFormat="false" ht="15" hidden="false" customHeight="false" outlineLevel="0" collapsed="false">
      <c r="A5" s="6" t="s">
        <v>876</v>
      </c>
      <c r="B5" s="6" t="s">
        <v>875</v>
      </c>
      <c r="C5" s="6" t="s">
        <v>877</v>
      </c>
      <c r="D5" s="6" t="s">
        <v>873</v>
      </c>
      <c r="E5" s="6" t="s">
        <v>9</v>
      </c>
      <c r="F5" s="7" t="n">
        <v>0.388888888888889</v>
      </c>
      <c r="G5" s="6" t="s">
        <v>17</v>
      </c>
      <c r="H5" s="6" t="s">
        <v>70</v>
      </c>
      <c r="I5" s="6" t="s">
        <v>71</v>
      </c>
      <c r="J5" s="6" t="s">
        <v>69</v>
      </c>
    </row>
    <row r="6" customFormat="false" ht="15" hidden="false" customHeight="false" outlineLevel="0" collapsed="false">
      <c r="A6" s="6" t="s">
        <v>878</v>
      </c>
      <c r="B6" s="6" t="s">
        <v>879</v>
      </c>
      <c r="C6" s="6" t="s">
        <v>880</v>
      </c>
      <c r="D6" s="6" t="s">
        <v>873</v>
      </c>
      <c r="E6" s="6" t="s">
        <v>9</v>
      </c>
      <c r="F6" s="7" t="n">
        <v>0.388888888888889</v>
      </c>
      <c r="G6" s="6" t="s">
        <v>17</v>
      </c>
      <c r="H6" s="6" t="s">
        <v>70</v>
      </c>
      <c r="I6" s="6" t="s">
        <v>71</v>
      </c>
      <c r="J6" s="6" t="s">
        <v>69</v>
      </c>
    </row>
    <row r="7" customFormat="false" ht="15" hidden="false" customHeight="false" outlineLevel="0" collapsed="false">
      <c r="A7" s="6" t="s">
        <v>881</v>
      </c>
      <c r="B7" s="6" t="s">
        <v>875</v>
      </c>
      <c r="C7" s="6" t="s">
        <v>61</v>
      </c>
      <c r="D7" s="6" t="s">
        <v>873</v>
      </c>
      <c r="E7" s="6" t="s">
        <v>9</v>
      </c>
      <c r="F7" s="7" t="n">
        <v>0.388888888888889</v>
      </c>
      <c r="G7" s="6" t="s">
        <v>13</v>
      </c>
      <c r="H7" s="6" t="s">
        <v>70</v>
      </c>
      <c r="I7" s="6" t="s">
        <v>75</v>
      </c>
      <c r="J7" s="6" t="s">
        <v>62</v>
      </c>
    </row>
    <row r="8" customFormat="false" ht="15" hidden="false" customHeight="false" outlineLevel="0" collapsed="false">
      <c r="A8" s="6" t="s">
        <v>882</v>
      </c>
      <c r="B8" s="6" t="s">
        <v>883</v>
      </c>
      <c r="C8" s="6" t="s">
        <v>884</v>
      </c>
      <c r="D8" s="6" t="s">
        <v>873</v>
      </c>
      <c r="E8" s="6" t="s">
        <v>9</v>
      </c>
      <c r="F8" s="7" t="n">
        <v>0.388888888888889</v>
      </c>
      <c r="G8" s="6" t="s">
        <v>13</v>
      </c>
      <c r="H8" s="6" t="s">
        <v>70</v>
      </c>
      <c r="I8" s="6" t="s">
        <v>75</v>
      </c>
      <c r="J8" s="6" t="s">
        <v>62</v>
      </c>
    </row>
    <row r="9" customFormat="false" ht="15" hidden="false" customHeight="false" outlineLevel="0" collapsed="false">
      <c r="A9" s="6" t="s">
        <v>885</v>
      </c>
      <c r="B9" s="6" t="s">
        <v>875</v>
      </c>
      <c r="C9" s="6" t="s">
        <v>886</v>
      </c>
      <c r="D9" s="6" t="s">
        <v>873</v>
      </c>
      <c r="E9" s="6" t="s">
        <v>9</v>
      </c>
      <c r="F9" s="7" t="n">
        <v>0.395833333333333</v>
      </c>
      <c r="G9" s="6" t="s">
        <v>13</v>
      </c>
      <c r="H9" s="6" t="s">
        <v>70</v>
      </c>
      <c r="I9" s="6" t="s">
        <v>79</v>
      </c>
      <c r="J9" s="6" t="s">
        <v>62</v>
      </c>
    </row>
    <row r="10" customFormat="false" ht="15" hidden="false" customHeight="false" outlineLevel="0" collapsed="false">
      <c r="A10" s="6" t="s">
        <v>882</v>
      </c>
      <c r="B10" s="6" t="s">
        <v>883</v>
      </c>
      <c r="C10" s="6" t="s">
        <v>884</v>
      </c>
      <c r="D10" s="6" t="s">
        <v>873</v>
      </c>
      <c r="E10" s="6" t="s">
        <v>9</v>
      </c>
      <c r="F10" s="7" t="n">
        <v>0.395833333333333</v>
      </c>
      <c r="G10" s="6" t="s">
        <v>13</v>
      </c>
      <c r="H10" s="6" t="s">
        <v>70</v>
      </c>
      <c r="I10" s="6" t="s">
        <v>79</v>
      </c>
      <c r="J10" s="6" t="s">
        <v>62</v>
      </c>
    </row>
    <row r="11" customFormat="false" ht="15" hidden="false" customHeight="false" outlineLevel="0" collapsed="false">
      <c r="A11" s="6" t="s">
        <v>67</v>
      </c>
      <c r="B11" s="6" t="s">
        <v>875</v>
      </c>
      <c r="C11" s="6" t="s">
        <v>68</v>
      </c>
      <c r="D11" s="6" t="s">
        <v>873</v>
      </c>
      <c r="E11" s="6" t="s">
        <v>9</v>
      </c>
      <c r="F11" s="7" t="n">
        <v>0.395833333333333</v>
      </c>
      <c r="G11" s="6" t="s">
        <v>17</v>
      </c>
      <c r="H11" s="6" t="s">
        <v>70</v>
      </c>
      <c r="I11" s="6" t="s">
        <v>83</v>
      </c>
      <c r="J11" s="6" t="s">
        <v>69</v>
      </c>
    </row>
    <row r="12" customFormat="false" ht="15" hidden="false" customHeight="false" outlineLevel="0" collapsed="false">
      <c r="A12" s="6" t="s">
        <v>878</v>
      </c>
      <c r="B12" s="6" t="s">
        <v>879</v>
      </c>
      <c r="C12" s="6" t="s">
        <v>880</v>
      </c>
      <c r="D12" s="6" t="s">
        <v>873</v>
      </c>
      <c r="E12" s="6" t="s">
        <v>9</v>
      </c>
      <c r="F12" s="7" t="n">
        <v>0.395833333333333</v>
      </c>
      <c r="G12" s="6" t="s">
        <v>17</v>
      </c>
      <c r="H12" s="6" t="s">
        <v>70</v>
      </c>
      <c r="I12" s="6" t="s">
        <v>83</v>
      </c>
      <c r="J12" s="6" t="s">
        <v>69</v>
      </c>
    </row>
    <row r="13" customFormat="false" ht="15" hidden="false" customHeight="false" outlineLevel="0" collapsed="false">
      <c r="A13" s="6" t="s">
        <v>887</v>
      </c>
      <c r="B13" s="6" t="s">
        <v>875</v>
      </c>
      <c r="C13" s="6" t="s">
        <v>888</v>
      </c>
      <c r="D13" s="6" t="s">
        <v>873</v>
      </c>
      <c r="E13" s="6" t="s">
        <v>9</v>
      </c>
      <c r="F13" s="7" t="n">
        <v>0.402777777777778</v>
      </c>
      <c r="G13" s="6" t="s">
        <v>17</v>
      </c>
      <c r="H13" s="6" t="s">
        <v>70</v>
      </c>
      <c r="I13" s="6" t="s">
        <v>87</v>
      </c>
      <c r="J13" s="6" t="s">
        <v>69</v>
      </c>
    </row>
    <row r="14" customFormat="false" ht="15" hidden="false" customHeight="false" outlineLevel="0" collapsed="false">
      <c r="A14" s="6" t="s">
        <v>878</v>
      </c>
      <c r="B14" s="6" t="s">
        <v>879</v>
      </c>
      <c r="C14" s="6" t="s">
        <v>880</v>
      </c>
      <c r="D14" s="6" t="s">
        <v>873</v>
      </c>
      <c r="E14" s="6" t="s">
        <v>9</v>
      </c>
      <c r="F14" s="7" t="n">
        <v>0.402777777777778</v>
      </c>
      <c r="G14" s="6" t="s">
        <v>17</v>
      </c>
      <c r="H14" s="6" t="s">
        <v>70</v>
      </c>
      <c r="I14" s="6" t="s">
        <v>87</v>
      </c>
      <c r="J14" s="6" t="s">
        <v>69</v>
      </c>
    </row>
    <row r="15" customFormat="false" ht="15" hidden="false" customHeight="false" outlineLevel="0" collapsed="false">
      <c r="A15" s="6" t="s">
        <v>889</v>
      </c>
      <c r="B15" s="6" t="s">
        <v>890</v>
      </c>
      <c r="C15" s="6" t="s">
        <v>891</v>
      </c>
      <c r="D15" s="6" t="s">
        <v>873</v>
      </c>
      <c r="E15" s="6" t="s">
        <v>9</v>
      </c>
      <c r="F15" s="7" t="n">
        <v>0.402777777777778</v>
      </c>
      <c r="G15" s="6" t="s">
        <v>13</v>
      </c>
      <c r="H15" s="6" t="s">
        <v>70</v>
      </c>
      <c r="I15" s="6" t="s">
        <v>91</v>
      </c>
      <c r="J15" s="6" t="s">
        <v>62</v>
      </c>
    </row>
    <row r="16" customFormat="false" ht="15" hidden="false" customHeight="false" outlineLevel="0" collapsed="false">
      <c r="A16" s="6" t="s">
        <v>882</v>
      </c>
      <c r="B16" s="6" t="s">
        <v>883</v>
      </c>
      <c r="C16" s="6" t="s">
        <v>884</v>
      </c>
      <c r="D16" s="6" t="s">
        <v>873</v>
      </c>
      <c r="E16" s="6" t="s">
        <v>9</v>
      </c>
      <c r="F16" s="7" t="n">
        <v>0.402777777777778</v>
      </c>
      <c r="G16" s="6" t="s">
        <v>13</v>
      </c>
      <c r="H16" s="6" t="s">
        <v>70</v>
      </c>
      <c r="I16" s="6" t="s">
        <v>91</v>
      </c>
      <c r="J16" s="6" t="s">
        <v>62</v>
      </c>
    </row>
    <row r="17" customFormat="false" ht="23.85" hidden="false" customHeight="false" outlineLevel="0" collapsed="false">
      <c r="A17" s="6" t="s">
        <v>881</v>
      </c>
      <c r="B17" s="6" t="s">
        <v>875</v>
      </c>
      <c r="C17" s="6" t="s">
        <v>61</v>
      </c>
      <c r="D17" s="6" t="s">
        <v>873</v>
      </c>
      <c r="E17" s="6" t="s">
        <v>9</v>
      </c>
      <c r="F17" s="7" t="n">
        <v>0.409722222222222</v>
      </c>
      <c r="G17" s="6" t="s">
        <v>13</v>
      </c>
      <c r="H17" s="6" t="s">
        <v>95</v>
      </c>
      <c r="I17" s="6" t="s">
        <v>96</v>
      </c>
      <c r="J17" s="6" t="s">
        <v>62</v>
      </c>
    </row>
    <row r="18" customFormat="false" ht="23.85" hidden="false" customHeight="false" outlineLevel="0" collapsed="false">
      <c r="A18" s="6" t="s">
        <v>885</v>
      </c>
      <c r="B18" s="6" t="s">
        <v>875</v>
      </c>
      <c r="C18" s="6" t="s">
        <v>886</v>
      </c>
      <c r="D18" s="6" t="s">
        <v>873</v>
      </c>
      <c r="E18" s="6" t="s">
        <v>9</v>
      </c>
      <c r="F18" s="7" t="n">
        <v>0.409722222222222</v>
      </c>
      <c r="G18" s="6" t="s">
        <v>13</v>
      </c>
      <c r="H18" s="6" t="s">
        <v>95</v>
      </c>
      <c r="I18" s="6" t="s">
        <v>96</v>
      </c>
      <c r="J18" s="6" t="s">
        <v>62</v>
      </c>
    </row>
    <row r="19" customFormat="false" ht="23.85" hidden="false" customHeight="false" outlineLevel="0" collapsed="false">
      <c r="A19" s="6" t="s">
        <v>889</v>
      </c>
      <c r="B19" s="6" t="s">
        <v>890</v>
      </c>
      <c r="C19" s="6" t="s">
        <v>891</v>
      </c>
      <c r="D19" s="6" t="s">
        <v>873</v>
      </c>
      <c r="E19" s="6" t="s">
        <v>9</v>
      </c>
      <c r="F19" s="7" t="n">
        <v>0.409722222222222</v>
      </c>
      <c r="G19" s="6" t="s">
        <v>13</v>
      </c>
      <c r="H19" s="6" t="s">
        <v>95</v>
      </c>
      <c r="I19" s="6" t="s">
        <v>96</v>
      </c>
      <c r="J19" s="6" t="s">
        <v>62</v>
      </c>
    </row>
    <row r="20" customFormat="false" ht="15" hidden="false" customHeight="false" outlineLevel="0" collapsed="false">
      <c r="A20" s="6" t="s">
        <v>892</v>
      </c>
      <c r="B20" s="6" t="s">
        <v>875</v>
      </c>
      <c r="C20" s="6" t="s">
        <v>893</v>
      </c>
      <c r="D20" s="6" t="s">
        <v>873</v>
      </c>
      <c r="E20" s="6" t="s">
        <v>9</v>
      </c>
      <c r="F20" s="7" t="n">
        <v>0.409722222222222</v>
      </c>
      <c r="G20" s="6" t="s">
        <v>17</v>
      </c>
      <c r="H20" s="6" t="s">
        <v>70</v>
      </c>
      <c r="I20" s="6" t="s">
        <v>101</v>
      </c>
      <c r="J20" s="6" t="s">
        <v>69</v>
      </c>
    </row>
    <row r="21" customFormat="false" ht="15" hidden="false" customHeight="false" outlineLevel="0" collapsed="false">
      <c r="A21" s="6" t="s">
        <v>878</v>
      </c>
      <c r="B21" s="6" t="s">
        <v>879</v>
      </c>
      <c r="C21" s="6" t="s">
        <v>880</v>
      </c>
      <c r="D21" s="6" t="s">
        <v>873</v>
      </c>
      <c r="E21" s="6" t="s">
        <v>9</v>
      </c>
      <c r="F21" s="7" t="n">
        <v>0.409722222222222</v>
      </c>
      <c r="G21" s="6" t="s">
        <v>17</v>
      </c>
      <c r="H21" s="6" t="s">
        <v>70</v>
      </c>
      <c r="I21" s="6" t="s">
        <v>101</v>
      </c>
      <c r="J21" s="6" t="s">
        <v>69</v>
      </c>
    </row>
    <row r="22" customFormat="false" ht="23.85" hidden="false" customHeight="false" outlineLevel="0" collapsed="false">
      <c r="A22" s="6" t="s">
        <v>876</v>
      </c>
      <c r="B22" s="6" t="s">
        <v>875</v>
      </c>
      <c r="C22" s="6" t="s">
        <v>877</v>
      </c>
      <c r="D22" s="6" t="s">
        <v>873</v>
      </c>
      <c r="E22" s="6" t="s">
        <v>9</v>
      </c>
      <c r="F22" s="7" t="n">
        <v>0.416666666666667</v>
      </c>
      <c r="G22" s="6" t="s">
        <v>17</v>
      </c>
      <c r="H22" s="6" t="s">
        <v>95</v>
      </c>
      <c r="I22" s="6" t="s">
        <v>105</v>
      </c>
      <c r="J22" s="6" t="s">
        <v>69</v>
      </c>
    </row>
    <row r="23" customFormat="false" ht="23.85" hidden="false" customHeight="false" outlineLevel="0" collapsed="false">
      <c r="A23" s="6" t="s">
        <v>894</v>
      </c>
      <c r="B23" s="6" t="s">
        <v>895</v>
      </c>
      <c r="C23" s="6" t="s">
        <v>896</v>
      </c>
      <c r="D23" s="6" t="s">
        <v>873</v>
      </c>
      <c r="E23" s="6" t="s">
        <v>9</v>
      </c>
      <c r="F23" s="7" t="n">
        <v>0.416666666666667</v>
      </c>
      <c r="G23" s="6" t="s">
        <v>17</v>
      </c>
      <c r="H23" s="6" t="s">
        <v>95</v>
      </c>
      <c r="I23" s="6" t="s">
        <v>105</v>
      </c>
      <c r="J23" s="6" t="s">
        <v>69</v>
      </c>
    </row>
    <row r="24" customFormat="false" ht="23.85" hidden="false" customHeight="false" outlineLevel="0" collapsed="false">
      <c r="A24" s="6" t="s">
        <v>892</v>
      </c>
      <c r="B24" s="6" t="s">
        <v>875</v>
      </c>
      <c r="C24" s="6" t="s">
        <v>893</v>
      </c>
      <c r="D24" s="6" t="s">
        <v>873</v>
      </c>
      <c r="E24" s="6" t="s">
        <v>9</v>
      </c>
      <c r="F24" s="7" t="n">
        <v>0.416666666666667</v>
      </c>
      <c r="G24" s="6" t="s">
        <v>17</v>
      </c>
      <c r="H24" s="6" t="s">
        <v>95</v>
      </c>
      <c r="I24" s="6" t="s">
        <v>105</v>
      </c>
      <c r="J24" s="6" t="s">
        <v>69</v>
      </c>
    </row>
    <row r="25" customFormat="false" ht="23.85" hidden="false" customHeight="false" outlineLevel="0" collapsed="false">
      <c r="A25" s="6" t="s">
        <v>897</v>
      </c>
      <c r="B25" s="6"/>
      <c r="C25" s="6"/>
      <c r="D25" s="6" t="s">
        <v>52</v>
      </c>
      <c r="E25" s="6" t="s">
        <v>9</v>
      </c>
      <c r="F25" s="7" t="n">
        <v>0.447916666666667</v>
      </c>
      <c r="G25" s="6" t="s">
        <v>27</v>
      </c>
      <c r="H25" s="6" t="s">
        <v>27</v>
      </c>
      <c r="I25" s="6" t="s">
        <v>110</v>
      </c>
      <c r="J25" s="6" t="s">
        <v>113</v>
      </c>
    </row>
    <row r="26" customFormat="false" ht="23.85" hidden="false" customHeight="false" outlineLevel="0" collapsed="false">
      <c r="A26" s="6" t="s">
        <v>898</v>
      </c>
      <c r="B26" s="6"/>
      <c r="C26" s="6"/>
      <c r="D26" s="6" t="s">
        <v>52</v>
      </c>
      <c r="E26" s="6" t="s">
        <v>9</v>
      </c>
      <c r="F26" s="7" t="n">
        <v>0.447916666666667</v>
      </c>
      <c r="G26" s="6" t="s">
        <v>27</v>
      </c>
      <c r="H26" s="6" t="s">
        <v>27</v>
      </c>
      <c r="I26" s="6" t="s">
        <v>110</v>
      </c>
      <c r="J26" s="6" t="s">
        <v>113</v>
      </c>
    </row>
    <row r="27" customFormat="false" ht="23.85" hidden="false" customHeight="false" outlineLevel="0" collapsed="false">
      <c r="A27" s="6" t="s">
        <v>899</v>
      </c>
      <c r="B27" s="6"/>
      <c r="C27" s="6"/>
      <c r="D27" s="6" t="s">
        <v>52</v>
      </c>
      <c r="E27" s="6" t="s">
        <v>9</v>
      </c>
      <c r="F27" s="7" t="n">
        <v>0.447916666666667</v>
      </c>
      <c r="G27" s="6" t="s">
        <v>27</v>
      </c>
      <c r="H27" s="6" t="s">
        <v>27</v>
      </c>
      <c r="I27" s="6" t="s">
        <v>116</v>
      </c>
      <c r="J27" s="6" t="s">
        <v>113</v>
      </c>
    </row>
    <row r="28" customFormat="false" ht="23.85" hidden="false" customHeight="false" outlineLevel="0" collapsed="false">
      <c r="A28" s="6" t="s">
        <v>900</v>
      </c>
      <c r="B28" s="6"/>
      <c r="C28" s="6"/>
      <c r="D28" s="6" t="s">
        <v>52</v>
      </c>
      <c r="E28" s="6" t="s">
        <v>9</v>
      </c>
      <c r="F28" s="7" t="n">
        <v>0.447916666666667</v>
      </c>
      <c r="G28" s="6" t="s">
        <v>27</v>
      </c>
      <c r="H28" s="6" t="s">
        <v>27</v>
      </c>
      <c r="I28" s="6" t="s">
        <v>116</v>
      </c>
      <c r="J28" s="6" t="s">
        <v>113</v>
      </c>
    </row>
    <row r="29" customFormat="false" ht="23.85" hidden="false" customHeight="false" outlineLevel="0" collapsed="false">
      <c r="A29" s="6" t="s">
        <v>901</v>
      </c>
      <c r="B29" s="6"/>
      <c r="C29" s="6"/>
      <c r="D29" s="6" t="s">
        <v>52</v>
      </c>
      <c r="E29" s="6" t="s">
        <v>9</v>
      </c>
      <c r="F29" s="7" t="n">
        <v>0.447916666666667</v>
      </c>
      <c r="G29" s="6" t="s">
        <v>27</v>
      </c>
      <c r="H29" s="6" t="s">
        <v>27</v>
      </c>
      <c r="I29" s="6" t="s">
        <v>119</v>
      </c>
      <c r="J29" s="6" t="s">
        <v>113</v>
      </c>
    </row>
    <row r="30" customFormat="false" ht="23.85" hidden="false" customHeight="false" outlineLevel="0" collapsed="false">
      <c r="A30" s="6" t="s">
        <v>902</v>
      </c>
      <c r="B30" s="6"/>
      <c r="C30" s="6"/>
      <c r="D30" s="6" t="s">
        <v>52</v>
      </c>
      <c r="E30" s="6" t="s">
        <v>9</v>
      </c>
      <c r="F30" s="7" t="n">
        <v>0.447916666666667</v>
      </c>
      <c r="G30" s="6" t="s">
        <v>27</v>
      </c>
      <c r="H30" s="6" t="s">
        <v>27</v>
      </c>
      <c r="I30" s="6" t="s">
        <v>119</v>
      </c>
      <c r="J30" s="6" t="s">
        <v>113</v>
      </c>
    </row>
    <row r="31" customFormat="false" ht="23.85" hidden="false" customHeight="false" outlineLevel="0" collapsed="false">
      <c r="A31" s="6" t="s">
        <v>903</v>
      </c>
      <c r="B31" s="6"/>
      <c r="C31" s="6"/>
      <c r="D31" s="6" t="s">
        <v>52</v>
      </c>
      <c r="E31" s="6" t="s">
        <v>9</v>
      </c>
      <c r="F31" s="7" t="n">
        <v>0.447916666666667</v>
      </c>
      <c r="G31" s="6" t="s">
        <v>27</v>
      </c>
      <c r="H31" s="6" t="s">
        <v>27</v>
      </c>
      <c r="I31" s="6" t="s">
        <v>123</v>
      </c>
      <c r="J31" s="6" t="s">
        <v>113</v>
      </c>
    </row>
    <row r="32" customFormat="false" ht="23.85" hidden="false" customHeight="false" outlineLevel="0" collapsed="false">
      <c r="A32" s="6" t="s">
        <v>904</v>
      </c>
      <c r="B32" s="6"/>
      <c r="C32" s="6"/>
      <c r="D32" s="6" t="s">
        <v>52</v>
      </c>
      <c r="E32" s="6" t="s">
        <v>9</v>
      </c>
      <c r="F32" s="7" t="n">
        <v>0.447916666666667</v>
      </c>
      <c r="G32" s="6" t="s">
        <v>27</v>
      </c>
      <c r="H32" s="6" t="s">
        <v>27</v>
      </c>
      <c r="I32" s="6" t="s">
        <v>123</v>
      </c>
      <c r="J32" s="6" t="s">
        <v>113</v>
      </c>
    </row>
    <row r="33" customFormat="false" ht="23.85" hidden="false" customHeight="false" outlineLevel="0" collapsed="false">
      <c r="A33" s="6" t="s">
        <v>127</v>
      </c>
      <c r="B33" s="6"/>
      <c r="C33" s="6"/>
      <c r="D33" s="6" t="s">
        <v>52</v>
      </c>
      <c r="E33" s="6" t="s">
        <v>9</v>
      </c>
      <c r="F33" s="7" t="n">
        <v>0.447916666666667</v>
      </c>
      <c r="G33" s="6" t="s">
        <v>27</v>
      </c>
      <c r="H33" s="6" t="s">
        <v>27</v>
      </c>
      <c r="I33" s="6" t="s">
        <v>126</v>
      </c>
      <c r="J33" s="6" t="s">
        <v>113</v>
      </c>
    </row>
    <row r="34" customFormat="false" ht="15" hidden="false" customHeight="false" outlineLevel="0" collapsed="false">
      <c r="A34" s="6" t="s">
        <v>357</v>
      </c>
      <c r="B34" s="6"/>
      <c r="C34" s="6"/>
      <c r="D34" s="6" t="s">
        <v>52</v>
      </c>
      <c r="E34" s="6" t="s">
        <v>9</v>
      </c>
      <c r="F34" s="7" t="n">
        <v>0.447916666666667</v>
      </c>
      <c r="G34" s="6" t="s">
        <v>27</v>
      </c>
      <c r="H34" s="6" t="s">
        <v>27</v>
      </c>
      <c r="I34" s="6" t="s">
        <v>128</v>
      </c>
      <c r="J34" s="6" t="s">
        <v>113</v>
      </c>
    </row>
    <row r="35" customFormat="false" ht="15" hidden="false" customHeight="false" outlineLevel="0" collapsed="false">
      <c r="A35" s="6" t="s">
        <v>905</v>
      </c>
      <c r="B35" s="6"/>
      <c r="C35" s="6"/>
      <c r="D35" s="6" t="s">
        <v>52</v>
      </c>
      <c r="E35" s="6" t="s">
        <v>9</v>
      </c>
      <c r="F35" s="7" t="n">
        <v>0.447916666666667</v>
      </c>
      <c r="G35" s="6" t="s">
        <v>27</v>
      </c>
      <c r="H35" s="6" t="s">
        <v>27</v>
      </c>
      <c r="I35" s="6" t="s">
        <v>128</v>
      </c>
      <c r="J35" s="6" t="s">
        <v>113</v>
      </c>
    </row>
    <row r="36" customFormat="false" ht="23.85" hidden="false" customHeight="false" outlineLevel="0" collapsed="false">
      <c r="A36" s="6" t="s">
        <v>906</v>
      </c>
      <c r="B36" s="6"/>
      <c r="C36" s="6"/>
      <c r="D36" s="6" t="s">
        <v>52</v>
      </c>
      <c r="E36" s="6" t="s">
        <v>9</v>
      </c>
      <c r="F36" s="7" t="n">
        <v>0.447916666666667</v>
      </c>
      <c r="G36" s="6" t="s">
        <v>27</v>
      </c>
      <c r="H36" s="6" t="s">
        <v>27</v>
      </c>
      <c r="I36" s="6" t="s">
        <v>131</v>
      </c>
      <c r="J36" s="6" t="s">
        <v>113</v>
      </c>
    </row>
    <row r="37" customFormat="false" ht="23.85" hidden="false" customHeight="false" outlineLevel="0" collapsed="false">
      <c r="A37" s="6" t="s">
        <v>907</v>
      </c>
      <c r="B37" s="6"/>
      <c r="C37" s="6"/>
      <c r="D37" s="6" t="s">
        <v>52</v>
      </c>
      <c r="E37" s="6" t="s">
        <v>9</v>
      </c>
      <c r="F37" s="7" t="n">
        <v>0.447916666666667</v>
      </c>
      <c r="G37" s="6" t="s">
        <v>27</v>
      </c>
      <c r="H37" s="6" t="s">
        <v>27</v>
      </c>
      <c r="I37" s="6" t="s">
        <v>131</v>
      </c>
      <c r="J37" s="6" t="s">
        <v>113</v>
      </c>
    </row>
    <row r="38" customFormat="false" ht="23.85" hidden="false" customHeight="false" outlineLevel="0" collapsed="false">
      <c r="A38" s="6" t="s">
        <v>908</v>
      </c>
      <c r="B38" s="6"/>
      <c r="C38" s="6"/>
      <c r="D38" s="6" t="s">
        <v>52</v>
      </c>
      <c r="E38" s="6" t="s">
        <v>9</v>
      </c>
      <c r="F38" s="7" t="n">
        <v>0.447916666666667</v>
      </c>
      <c r="G38" s="6" t="s">
        <v>27</v>
      </c>
      <c r="H38" s="6" t="s">
        <v>27</v>
      </c>
      <c r="I38" s="6" t="s">
        <v>134</v>
      </c>
      <c r="J38" s="6" t="s">
        <v>113</v>
      </c>
    </row>
    <row r="39" customFormat="false" ht="23.85" hidden="false" customHeight="false" outlineLevel="0" collapsed="false">
      <c r="A39" s="6" t="s">
        <v>909</v>
      </c>
      <c r="B39" s="6"/>
      <c r="C39" s="6"/>
      <c r="D39" s="6" t="s">
        <v>52</v>
      </c>
      <c r="E39" s="6" t="s">
        <v>9</v>
      </c>
      <c r="F39" s="7" t="n">
        <v>0.447916666666667</v>
      </c>
      <c r="G39" s="6" t="s">
        <v>27</v>
      </c>
      <c r="H39" s="6" t="s">
        <v>27</v>
      </c>
      <c r="I39" s="6" t="s">
        <v>134</v>
      </c>
      <c r="J39" s="6" t="s">
        <v>113</v>
      </c>
    </row>
    <row r="40" customFormat="false" ht="23.85" hidden="false" customHeight="false" outlineLevel="0" collapsed="false">
      <c r="A40" s="6" t="s">
        <v>138</v>
      </c>
      <c r="B40" s="6"/>
      <c r="C40" s="6"/>
      <c r="D40" s="6" t="s">
        <v>52</v>
      </c>
      <c r="E40" s="6" t="s">
        <v>9</v>
      </c>
      <c r="F40" s="7" t="n">
        <v>0.447916666666667</v>
      </c>
      <c r="G40" s="6" t="s">
        <v>27</v>
      </c>
      <c r="H40" s="6" t="s">
        <v>27</v>
      </c>
      <c r="I40" s="6" t="s">
        <v>137</v>
      </c>
      <c r="J40" s="6" t="s">
        <v>113</v>
      </c>
    </row>
    <row r="41" customFormat="false" ht="23.85" hidden="false" customHeight="false" outlineLevel="0" collapsed="false">
      <c r="A41" s="6" t="s">
        <v>910</v>
      </c>
      <c r="B41" s="6"/>
      <c r="C41" s="6"/>
      <c r="D41" s="6" t="s">
        <v>52</v>
      </c>
      <c r="E41" s="6" t="s">
        <v>9</v>
      </c>
      <c r="F41" s="7" t="n">
        <v>0.447916666666667</v>
      </c>
      <c r="G41" s="6" t="s">
        <v>27</v>
      </c>
      <c r="H41" s="6" t="s">
        <v>27</v>
      </c>
      <c r="I41" s="6" t="s">
        <v>139</v>
      </c>
      <c r="J41" s="6" t="s">
        <v>113</v>
      </c>
    </row>
    <row r="42" customFormat="false" ht="23.85" hidden="false" customHeight="false" outlineLevel="0" collapsed="false">
      <c r="A42" s="6" t="s">
        <v>911</v>
      </c>
      <c r="B42" s="6"/>
      <c r="C42" s="6"/>
      <c r="D42" s="6" t="s">
        <v>52</v>
      </c>
      <c r="E42" s="6" t="s">
        <v>9</v>
      </c>
      <c r="F42" s="7" t="n">
        <v>0.447916666666667</v>
      </c>
      <c r="G42" s="6" t="s">
        <v>27</v>
      </c>
      <c r="H42" s="6" t="s">
        <v>27</v>
      </c>
      <c r="I42" s="6" t="s">
        <v>139</v>
      </c>
      <c r="J42" s="6" t="s">
        <v>113</v>
      </c>
    </row>
    <row r="43" customFormat="false" ht="23.85" hidden="false" customHeight="false" outlineLevel="0" collapsed="false">
      <c r="A43" s="6" t="s">
        <v>912</v>
      </c>
      <c r="B43" s="6"/>
      <c r="C43" s="6"/>
      <c r="D43" s="6" t="s">
        <v>52</v>
      </c>
      <c r="E43" s="6" t="s">
        <v>9</v>
      </c>
      <c r="F43" s="7" t="n">
        <v>0.447916666666667</v>
      </c>
      <c r="G43" s="6" t="s">
        <v>27</v>
      </c>
      <c r="H43" s="6" t="s">
        <v>27</v>
      </c>
      <c r="I43" s="6" t="s">
        <v>142</v>
      </c>
      <c r="J43" s="6" t="s">
        <v>113</v>
      </c>
    </row>
    <row r="44" customFormat="false" ht="23.85" hidden="false" customHeight="false" outlineLevel="0" collapsed="false">
      <c r="A44" s="6" t="s">
        <v>913</v>
      </c>
      <c r="B44" s="6"/>
      <c r="C44" s="6"/>
      <c r="D44" s="6" t="s">
        <v>52</v>
      </c>
      <c r="E44" s="6" t="s">
        <v>9</v>
      </c>
      <c r="F44" s="7" t="n">
        <v>0.447916666666667</v>
      </c>
      <c r="G44" s="6" t="s">
        <v>27</v>
      </c>
      <c r="H44" s="6" t="s">
        <v>27</v>
      </c>
      <c r="I44" s="6" t="s">
        <v>142</v>
      </c>
      <c r="J44" s="6" t="s">
        <v>113</v>
      </c>
    </row>
    <row r="45" customFormat="false" ht="23.85" hidden="false" customHeight="false" outlineLevel="0" collapsed="false">
      <c r="A45" s="6" t="s">
        <v>914</v>
      </c>
      <c r="B45" s="6"/>
      <c r="C45" s="6"/>
      <c r="D45" s="6" t="s">
        <v>52</v>
      </c>
      <c r="E45" s="6" t="s">
        <v>9</v>
      </c>
      <c r="F45" s="7" t="n">
        <v>0.447916666666667</v>
      </c>
      <c r="G45" s="6" t="s">
        <v>27</v>
      </c>
      <c r="H45" s="6" t="s">
        <v>27</v>
      </c>
      <c r="I45" s="6" t="s">
        <v>146</v>
      </c>
      <c r="J45" s="6" t="s">
        <v>113</v>
      </c>
    </row>
    <row r="46" customFormat="false" ht="23.85" hidden="false" customHeight="false" outlineLevel="0" collapsed="false">
      <c r="A46" s="6" t="s">
        <v>915</v>
      </c>
      <c r="B46" s="6"/>
      <c r="C46" s="6"/>
      <c r="D46" s="6" t="s">
        <v>52</v>
      </c>
      <c r="E46" s="6" t="s">
        <v>9</v>
      </c>
      <c r="F46" s="7" t="n">
        <v>0.447916666666667</v>
      </c>
      <c r="G46" s="6" t="s">
        <v>27</v>
      </c>
      <c r="H46" s="6" t="s">
        <v>27</v>
      </c>
      <c r="I46" s="6" t="s">
        <v>146</v>
      </c>
      <c r="J46" s="6" t="s">
        <v>113</v>
      </c>
    </row>
    <row r="47" customFormat="false" ht="15" hidden="false" customHeight="false" outlineLevel="0" collapsed="false">
      <c r="A47" s="6" t="s">
        <v>916</v>
      </c>
      <c r="B47" s="6"/>
      <c r="C47" s="6"/>
      <c r="D47" s="6" t="s">
        <v>52</v>
      </c>
      <c r="E47" s="6" t="s">
        <v>9</v>
      </c>
      <c r="F47" s="7" t="n">
        <v>0.447916666666667</v>
      </c>
      <c r="G47" s="6" t="s">
        <v>27</v>
      </c>
      <c r="H47" s="6" t="s">
        <v>27</v>
      </c>
      <c r="I47" s="6" t="s">
        <v>149</v>
      </c>
      <c r="J47" s="6" t="s">
        <v>113</v>
      </c>
    </row>
    <row r="48" customFormat="false" ht="15" hidden="false" customHeight="false" outlineLevel="0" collapsed="false">
      <c r="A48" s="6" t="s">
        <v>917</v>
      </c>
      <c r="B48" s="6"/>
      <c r="C48" s="6"/>
      <c r="D48" s="6" t="s">
        <v>52</v>
      </c>
      <c r="E48" s="6" t="s">
        <v>9</v>
      </c>
      <c r="F48" s="7" t="n">
        <v>0.447916666666667</v>
      </c>
      <c r="G48" s="6" t="s">
        <v>27</v>
      </c>
      <c r="H48" s="6" t="s">
        <v>27</v>
      </c>
      <c r="I48" s="6" t="s">
        <v>149</v>
      </c>
      <c r="J48" s="6" t="s">
        <v>113</v>
      </c>
    </row>
    <row r="49" customFormat="false" ht="23.85" hidden="false" customHeight="false" outlineLevel="0" collapsed="false">
      <c r="A49" s="6" t="s">
        <v>918</v>
      </c>
      <c r="B49" s="6"/>
      <c r="C49" s="6"/>
      <c r="D49" s="6" t="s">
        <v>52</v>
      </c>
      <c r="E49" s="6" t="s">
        <v>9</v>
      </c>
      <c r="F49" s="7" t="n">
        <v>0.447916666666667</v>
      </c>
      <c r="G49" s="6" t="s">
        <v>27</v>
      </c>
      <c r="H49" s="6" t="s">
        <v>27</v>
      </c>
      <c r="I49" s="6" t="s">
        <v>152</v>
      </c>
      <c r="J49" s="6" t="s">
        <v>113</v>
      </c>
    </row>
    <row r="50" customFormat="false" ht="23.85" hidden="false" customHeight="false" outlineLevel="0" collapsed="false">
      <c r="A50" s="6" t="s">
        <v>919</v>
      </c>
      <c r="B50" s="6"/>
      <c r="C50" s="6"/>
      <c r="D50" s="6" t="s">
        <v>52</v>
      </c>
      <c r="E50" s="6" t="s">
        <v>9</v>
      </c>
      <c r="F50" s="7" t="n">
        <v>0.447916666666667</v>
      </c>
      <c r="G50" s="6" t="s">
        <v>27</v>
      </c>
      <c r="H50" s="6" t="s">
        <v>27</v>
      </c>
      <c r="I50" s="6" t="s">
        <v>152</v>
      </c>
      <c r="J50" s="6" t="s">
        <v>113</v>
      </c>
    </row>
    <row r="51" customFormat="false" ht="23.85" hidden="false" customHeight="false" outlineLevel="0" collapsed="false">
      <c r="A51" s="6" t="s">
        <v>920</v>
      </c>
      <c r="B51" s="6"/>
      <c r="C51" s="6"/>
      <c r="D51" s="6" t="s">
        <v>52</v>
      </c>
      <c r="E51" s="6" t="s">
        <v>9</v>
      </c>
      <c r="F51" s="7" t="n">
        <v>0.447916666666667</v>
      </c>
      <c r="G51" s="6" t="s">
        <v>27</v>
      </c>
      <c r="H51" s="6" t="s">
        <v>27</v>
      </c>
      <c r="I51" s="6" t="s">
        <v>155</v>
      </c>
      <c r="J51" s="6" t="s">
        <v>113</v>
      </c>
    </row>
    <row r="52" customFormat="false" ht="23.85" hidden="false" customHeight="false" outlineLevel="0" collapsed="false">
      <c r="A52" s="6" t="s">
        <v>921</v>
      </c>
      <c r="B52" s="6"/>
      <c r="C52" s="6"/>
      <c r="D52" s="6" t="s">
        <v>52</v>
      </c>
      <c r="E52" s="6" t="s">
        <v>9</v>
      </c>
      <c r="F52" s="7" t="n">
        <v>0.447916666666667</v>
      </c>
      <c r="G52" s="6" t="s">
        <v>27</v>
      </c>
      <c r="H52" s="6" t="s">
        <v>27</v>
      </c>
      <c r="I52" s="6" t="s">
        <v>155</v>
      </c>
      <c r="J52" s="6" t="s">
        <v>113</v>
      </c>
    </row>
    <row r="53" customFormat="false" ht="23.85" hidden="false" customHeight="false" outlineLevel="0" collapsed="false">
      <c r="A53" s="6" t="s">
        <v>922</v>
      </c>
      <c r="B53" s="6"/>
      <c r="C53" s="6"/>
      <c r="D53" s="6" t="s">
        <v>52</v>
      </c>
      <c r="E53" s="6" t="s">
        <v>9</v>
      </c>
      <c r="F53" s="7" t="n">
        <v>0.447916666666667</v>
      </c>
      <c r="G53" s="6" t="s">
        <v>27</v>
      </c>
      <c r="H53" s="6" t="s">
        <v>27</v>
      </c>
      <c r="I53" s="6" t="s">
        <v>158</v>
      </c>
      <c r="J53" s="6" t="s">
        <v>113</v>
      </c>
    </row>
    <row r="54" customFormat="false" ht="23.85" hidden="false" customHeight="false" outlineLevel="0" collapsed="false">
      <c r="A54" s="6" t="s">
        <v>923</v>
      </c>
      <c r="B54" s="6"/>
      <c r="C54" s="6"/>
      <c r="D54" s="6" t="s">
        <v>52</v>
      </c>
      <c r="E54" s="6" t="s">
        <v>9</v>
      </c>
      <c r="F54" s="7" t="n">
        <v>0.447916666666667</v>
      </c>
      <c r="G54" s="6" t="s">
        <v>27</v>
      </c>
      <c r="H54" s="6" t="s">
        <v>27</v>
      </c>
      <c r="I54" s="6" t="s">
        <v>158</v>
      </c>
      <c r="J54" s="6" t="s">
        <v>113</v>
      </c>
    </row>
    <row r="55" customFormat="false" ht="23.85" hidden="false" customHeight="false" outlineLevel="0" collapsed="false">
      <c r="A55" s="6" t="s">
        <v>924</v>
      </c>
      <c r="B55" s="6"/>
      <c r="C55" s="6"/>
      <c r="D55" s="6" t="s">
        <v>52</v>
      </c>
      <c r="E55" s="6" t="s">
        <v>9</v>
      </c>
      <c r="F55" s="7" t="n">
        <v>0.447916666666667</v>
      </c>
      <c r="G55" s="6" t="s">
        <v>27</v>
      </c>
      <c r="H55" s="6" t="s">
        <v>27</v>
      </c>
      <c r="I55" s="6" t="s">
        <v>161</v>
      </c>
      <c r="J55" s="6" t="s">
        <v>113</v>
      </c>
    </row>
    <row r="56" customFormat="false" ht="23.85" hidden="false" customHeight="false" outlineLevel="0" collapsed="false">
      <c r="A56" s="6" t="s">
        <v>925</v>
      </c>
      <c r="B56" s="6"/>
      <c r="C56" s="6"/>
      <c r="D56" s="6" t="s">
        <v>52</v>
      </c>
      <c r="E56" s="6" t="s">
        <v>9</v>
      </c>
      <c r="F56" s="7" t="n">
        <v>0.447916666666667</v>
      </c>
      <c r="G56" s="6" t="s">
        <v>27</v>
      </c>
      <c r="H56" s="6" t="s">
        <v>27</v>
      </c>
      <c r="I56" s="6" t="s">
        <v>161</v>
      </c>
      <c r="J56" s="6" t="s">
        <v>113</v>
      </c>
    </row>
    <row r="57" customFormat="false" ht="23.85" hidden="false" customHeight="false" outlineLevel="0" collapsed="false">
      <c r="A57" s="6" t="s">
        <v>926</v>
      </c>
      <c r="B57" s="6"/>
      <c r="C57" s="6"/>
      <c r="D57" s="6" t="s">
        <v>52</v>
      </c>
      <c r="E57" s="6" t="s">
        <v>9</v>
      </c>
      <c r="F57" s="7" t="n">
        <v>0.447916666666667</v>
      </c>
      <c r="G57" s="6" t="s">
        <v>27</v>
      </c>
      <c r="H57" s="6" t="s">
        <v>27</v>
      </c>
      <c r="I57" s="6" t="s">
        <v>164</v>
      </c>
      <c r="J57" s="6" t="s">
        <v>113</v>
      </c>
    </row>
    <row r="58" customFormat="false" ht="23.85" hidden="false" customHeight="false" outlineLevel="0" collapsed="false">
      <c r="A58" s="6" t="s">
        <v>927</v>
      </c>
      <c r="B58" s="6"/>
      <c r="C58" s="6"/>
      <c r="D58" s="6" t="s">
        <v>52</v>
      </c>
      <c r="E58" s="6" t="s">
        <v>9</v>
      </c>
      <c r="F58" s="7" t="n">
        <v>0.447916666666667</v>
      </c>
      <c r="G58" s="6" t="s">
        <v>27</v>
      </c>
      <c r="H58" s="6" t="s">
        <v>27</v>
      </c>
      <c r="I58" s="6" t="s">
        <v>164</v>
      </c>
      <c r="J58" s="6" t="s">
        <v>113</v>
      </c>
    </row>
    <row r="59" customFormat="false" ht="23.85" hidden="false" customHeight="false" outlineLevel="0" collapsed="false">
      <c r="A59" s="6" t="s">
        <v>928</v>
      </c>
      <c r="B59" s="6"/>
      <c r="C59" s="6"/>
      <c r="D59" s="6" t="s">
        <v>52</v>
      </c>
      <c r="E59" s="6" t="s">
        <v>9</v>
      </c>
      <c r="F59" s="7" t="n">
        <v>0.447916666666667</v>
      </c>
      <c r="G59" s="6" t="s">
        <v>27</v>
      </c>
      <c r="H59" s="6" t="s">
        <v>27</v>
      </c>
      <c r="I59" s="6" t="s">
        <v>167</v>
      </c>
      <c r="J59" s="6" t="s">
        <v>113</v>
      </c>
    </row>
    <row r="60" customFormat="false" ht="23.85" hidden="false" customHeight="false" outlineLevel="0" collapsed="false">
      <c r="A60" s="6" t="s">
        <v>929</v>
      </c>
      <c r="B60" s="6"/>
      <c r="C60" s="6"/>
      <c r="D60" s="6" t="s">
        <v>52</v>
      </c>
      <c r="E60" s="6" t="s">
        <v>9</v>
      </c>
      <c r="F60" s="7" t="n">
        <v>0.447916666666667</v>
      </c>
      <c r="G60" s="6" t="s">
        <v>27</v>
      </c>
      <c r="H60" s="6" t="s">
        <v>27</v>
      </c>
      <c r="I60" s="6" t="s">
        <v>167</v>
      </c>
      <c r="J60" s="6" t="s">
        <v>113</v>
      </c>
    </row>
    <row r="61" customFormat="false" ht="23.85" hidden="false" customHeight="false" outlineLevel="0" collapsed="false">
      <c r="A61" s="6" t="s">
        <v>930</v>
      </c>
      <c r="B61" s="6"/>
      <c r="C61" s="6"/>
      <c r="D61" s="6" t="s">
        <v>52</v>
      </c>
      <c r="E61" s="6" t="s">
        <v>9</v>
      </c>
      <c r="F61" s="7" t="n">
        <v>0.447916666666667</v>
      </c>
      <c r="G61" s="6" t="s">
        <v>27</v>
      </c>
      <c r="H61" s="6" t="s">
        <v>27</v>
      </c>
      <c r="I61" s="6" t="s">
        <v>170</v>
      </c>
      <c r="J61" s="6" t="s">
        <v>113</v>
      </c>
    </row>
    <row r="62" customFormat="false" ht="23.85" hidden="false" customHeight="false" outlineLevel="0" collapsed="false">
      <c r="A62" s="6" t="s">
        <v>931</v>
      </c>
      <c r="B62" s="6"/>
      <c r="C62" s="6"/>
      <c r="D62" s="6" t="s">
        <v>52</v>
      </c>
      <c r="E62" s="6" t="s">
        <v>9</v>
      </c>
      <c r="F62" s="7" t="n">
        <v>0.447916666666667</v>
      </c>
      <c r="G62" s="6" t="s">
        <v>27</v>
      </c>
      <c r="H62" s="6" t="s">
        <v>27</v>
      </c>
      <c r="I62" s="6" t="s">
        <v>170</v>
      </c>
      <c r="J62" s="6" t="s">
        <v>113</v>
      </c>
    </row>
    <row r="63" customFormat="false" ht="23.85" hidden="false" customHeight="false" outlineLevel="0" collapsed="false">
      <c r="A63" s="6" t="s">
        <v>52</v>
      </c>
      <c r="B63" s="6"/>
      <c r="C63" s="6" t="s">
        <v>53</v>
      </c>
      <c r="D63" s="6" t="s">
        <v>873</v>
      </c>
      <c r="E63" s="6" t="s">
        <v>9</v>
      </c>
      <c r="F63" s="7" t="n">
        <v>0.479166666666667</v>
      </c>
      <c r="G63" s="6" t="s">
        <v>24</v>
      </c>
      <c r="H63" s="6" t="s">
        <v>24</v>
      </c>
      <c r="I63" s="6" t="s">
        <v>173</v>
      </c>
      <c r="J63" s="6" t="s">
        <v>54</v>
      </c>
    </row>
    <row r="64" customFormat="false" ht="15" hidden="false" customHeight="false" outlineLevel="0" collapsed="false">
      <c r="A64" s="6" t="s">
        <v>178</v>
      </c>
      <c r="B64" s="6" t="s">
        <v>932</v>
      </c>
      <c r="C64" s="6" t="s">
        <v>179</v>
      </c>
      <c r="D64" s="6" t="s">
        <v>873</v>
      </c>
      <c r="E64" s="6" t="s">
        <v>9</v>
      </c>
      <c r="F64" s="7" t="n">
        <v>0.517361111111111</v>
      </c>
      <c r="G64" s="6" t="s">
        <v>23</v>
      </c>
      <c r="H64" s="6" t="s">
        <v>175</v>
      </c>
      <c r="I64" s="6" t="s">
        <v>176</v>
      </c>
      <c r="J64" s="6" t="s">
        <v>180</v>
      </c>
    </row>
    <row r="65" customFormat="false" ht="23.85" hidden="false" customHeight="false" outlineLevel="0" collapsed="false">
      <c r="A65" s="6" t="s">
        <v>933</v>
      </c>
      <c r="B65" s="6" t="s">
        <v>934</v>
      </c>
      <c r="C65" s="6" t="s">
        <v>886</v>
      </c>
      <c r="D65" s="6" t="s">
        <v>873</v>
      </c>
      <c r="E65" s="6" t="s">
        <v>9</v>
      </c>
      <c r="F65" s="7" t="n">
        <v>0.520833333333333</v>
      </c>
      <c r="G65" s="6" t="s">
        <v>29</v>
      </c>
      <c r="H65" s="6" t="s">
        <v>181</v>
      </c>
      <c r="I65" s="6" t="s">
        <v>182</v>
      </c>
      <c r="J65" s="6" t="s">
        <v>186</v>
      </c>
    </row>
    <row r="66" customFormat="false" ht="23.85" hidden="false" customHeight="false" outlineLevel="0" collapsed="false">
      <c r="A66" s="6" t="s">
        <v>935</v>
      </c>
      <c r="B66" s="6" t="s">
        <v>936</v>
      </c>
      <c r="C66" s="6" t="s">
        <v>937</v>
      </c>
      <c r="D66" s="6" t="s">
        <v>873</v>
      </c>
      <c r="E66" s="6" t="s">
        <v>9</v>
      </c>
      <c r="F66" s="7" t="n">
        <v>0.520833333333333</v>
      </c>
      <c r="G66" s="6" t="s">
        <v>29</v>
      </c>
      <c r="H66" s="6" t="s">
        <v>181</v>
      </c>
      <c r="I66" s="6" t="s">
        <v>182</v>
      </c>
      <c r="J66" s="6" t="s">
        <v>186</v>
      </c>
    </row>
    <row r="67" customFormat="false" ht="15" hidden="false" customHeight="false" outlineLevel="0" collapsed="false">
      <c r="A67" s="6" t="s">
        <v>189</v>
      </c>
      <c r="B67" s="6" t="s">
        <v>938</v>
      </c>
      <c r="C67" s="6" t="s">
        <v>190</v>
      </c>
      <c r="D67" s="6" t="s">
        <v>873</v>
      </c>
      <c r="E67" s="6" t="s">
        <v>9</v>
      </c>
      <c r="F67" s="7" t="n">
        <v>0.520833333333333</v>
      </c>
      <c r="G67" s="6" t="s">
        <v>23</v>
      </c>
      <c r="H67" s="6" t="s">
        <v>57</v>
      </c>
      <c r="I67" s="6" t="s">
        <v>187</v>
      </c>
      <c r="J67" s="6" t="s">
        <v>180</v>
      </c>
    </row>
    <row r="68" customFormat="false" ht="23.85" hidden="false" customHeight="false" outlineLevel="0" collapsed="false">
      <c r="A68" s="6" t="s">
        <v>195</v>
      </c>
      <c r="B68" s="6" t="s">
        <v>939</v>
      </c>
      <c r="C68" s="6" t="s">
        <v>196</v>
      </c>
      <c r="D68" s="6" t="s">
        <v>873</v>
      </c>
      <c r="E68" s="6" t="s">
        <v>9</v>
      </c>
      <c r="F68" s="7" t="n">
        <v>0.524305555555556</v>
      </c>
      <c r="G68" s="6" t="s">
        <v>12</v>
      </c>
      <c r="H68" s="6" t="s">
        <v>192</v>
      </c>
      <c r="I68" s="6" t="s">
        <v>193</v>
      </c>
      <c r="J68" s="6" t="s">
        <v>197</v>
      </c>
    </row>
    <row r="69" customFormat="false" ht="23.85" hidden="false" customHeight="false" outlineLevel="0" collapsed="false">
      <c r="A69" s="6" t="s">
        <v>940</v>
      </c>
      <c r="B69" s="6" t="s">
        <v>941</v>
      </c>
      <c r="C69" s="6" t="s">
        <v>942</v>
      </c>
      <c r="D69" s="6" t="s">
        <v>873</v>
      </c>
      <c r="E69" s="6" t="s">
        <v>9</v>
      </c>
      <c r="F69" s="7" t="n">
        <v>0.524305555555556</v>
      </c>
      <c r="G69" s="6" t="s">
        <v>19</v>
      </c>
      <c r="H69" s="6" t="s">
        <v>199</v>
      </c>
      <c r="I69" s="6" t="s">
        <v>200</v>
      </c>
      <c r="J69" s="6" t="s">
        <v>204</v>
      </c>
    </row>
    <row r="70" customFormat="false" ht="23.85" hidden="false" customHeight="false" outlineLevel="0" collapsed="false">
      <c r="A70" s="6" t="s">
        <v>943</v>
      </c>
      <c r="B70" s="6" t="s">
        <v>944</v>
      </c>
      <c r="C70" s="6" t="s">
        <v>945</v>
      </c>
      <c r="D70" s="6" t="s">
        <v>873</v>
      </c>
      <c r="E70" s="6" t="s">
        <v>9</v>
      </c>
      <c r="F70" s="7" t="n">
        <v>0.524305555555556</v>
      </c>
      <c r="G70" s="6" t="s">
        <v>19</v>
      </c>
      <c r="H70" s="6" t="s">
        <v>199</v>
      </c>
      <c r="I70" s="6" t="s">
        <v>200</v>
      </c>
      <c r="J70" s="6" t="s">
        <v>204</v>
      </c>
    </row>
    <row r="71" customFormat="false" ht="15" hidden="false" customHeight="false" outlineLevel="0" collapsed="false">
      <c r="A71" s="6" t="s">
        <v>946</v>
      </c>
      <c r="B71" s="6" t="s">
        <v>947</v>
      </c>
      <c r="C71" s="6" t="s">
        <v>886</v>
      </c>
      <c r="D71" s="6" t="s">
        <v>873</v>
      </c>
      <c r="E71" s="6" t="s">
        <v>9</v>
      </c>
      <c r="F71" s="7" t="n">
        <v>0.524305555555556</v>
      </c>
      <c r="G71" s="6" t="s">
        <v>23</v>
      </c>
      <c r="H71" s="6" t="s">
        <v>181</v>
      </c>
      <c r="I71" s="6" t="s">
        <v>206</v>
      </c>
      <c r="J71" s="6" t="s">
        <v>180</v>
      </c>
    </row>
    <row r="72" customFormat="false" ht="15" hidden="false" customHeight="false" outlineLevel="0" collapsed="false">
      <c r="A72" s="6" t="s">
        <v>178</v>
      </c>
      <c r="B72" s="6" t="s">
        <v>932</v>
      </c>
      <c r="C72" s="6" t="s">
        <v>179</v>
      </c>
      <c r="D72" s="6" t="s">
        <v>873</v>
      </c>
      <c r="E72" s="6" t="s">
        <v>9</v>
      </c>
      <c r="F72" s="7" t="n">
        <v>0.524305555555556</v>
      </c>
      <c r="G72" s="6" t="s">
        <v>23</v>
      </c>
      <c r="H72" s="6" t="s">
        <v>181</v>
      </c>
      <c r="I72" s="6" t="s">
        <v>206</v>
      </c>
      <c r="J72" s="6" t="s">
        <v>180</v>
      </c>
    </row>
    <row r="73" customFormat="false" ht="35.05" hidden="false" customHeight="false" outlineLevel="0" collapsed="false">
      <c r="A73" s="6" t="s">
        <v>213</v>
      </c>
      <c r="B73" s="6" t="s">
        <v>948</v>
      </c>
      <c r="C73" s="6" t="s">
        <v>214</v>
      </c>
      <c r="D73" s="6" t="s">
        <v>873</v>
      </c>
      <c r="E73" s="6" t="s">
        <v>9</v>
      </c>
      <c r="F73" s="7" t="n">
        <v>0.524305555555556</v>
      </c>
      <c r="G73" s="6" t="s">
        <v>21</v>
      </c>
      <c r="H73" s="6" t="s">
        <v>192</v>
      </c>
      <c r="I73" s="6" t="s">
        <v>211</v>
      </c>
      <c r="J73" s="6" t="s">
        <v>215</v>
      </c>
    </row>
    <row r="74" customFormat="false" ht="23.85" hidden="false" customHeight="false" outlineLevel="0" collapsed="false">
      <c r="A74" s="6" t="s">
        <v>949</v>
      </c>
      <c r="B74" s="6" t="s">
        <v>950</v>
      </c>
      <c r="C74" s="6" t="s">
        <v>951</v>
      </c>
      <c r="D74" s="6" t="s">
        <v>873</v>
      </c>
      <c r="E74" s="6" t="s">
        <v>9</v>
      </c>
      <c r="F74" s="7" t="n">
        <v>0.524305555555556</v>
      </c>
      <c r="G74" s="6" t="s">
        <v>20</v>
      </c>
      <c r="H74" s="6" t="s">
        <v>181</v>
      </c>
      <c r="I74" s="6" t="s">
        <v>216</v>
      </c>
      <c r="J74" s="6" t="s">
        <v>220</v>
      </c>
    </row>
    <row r="75" customFormat="false" ht="23.85" hidden="false" customHeight="false" outlineLevel="0" collapsed="false">
      <c r="A75" s="6" t="s">
        <v>952</v>
      </c>
      <c r="B75" s="6" t="s">
        <v>953</v>
      </c>
      <c r="C75" s="6" t="s">
        <v>954</v>
      </c>
      <c r="D75" s="6" t="s">
        <v>873</v>
      </c>
      <c r="E75" s="6" t="s">
        <v>9</v>
      </c>
      <c r="F75" s="7" t="n">
        <v>0.524305555555556</v>
      </c>
      <c r="G75" s="6" t="s">
        <v>20</v>
      </c>
      <c r="H75" s="6" t="s">
        <v>181</v>
      </c>
      <c r="I75" s="6" t="s">
        <v>216</v>
      </c>
      <c r="J75" s="6" t="s">
        <v>220</v>
      </c>
    </row>
    <row r="76" customFormat="false" ht="23.85" hidden="false" customHeight="false" outlineLevel="0" collapsed="false">
      <c r="A76" s="6" t="s">
        <v>955</v>
      </c>
      <c r="B76" s="6" t="s">
        <v>956</v>
      </c>
      <c r="C76" s="6" t="s">
        <v>225</v>
      </c>
      <c r="D76" s="6" t="s">
        <v>873</v>
      </c>
      <c r="E76" s="6" t="s">
        <v>9</v>
      </c>
      <c r="F76" s="7" t="n">
        <v>0.524305555555556</v>
      </c>
      <c r="G76" s="6" t="s">
        <v>15</v>
      </c>
      <c r="H76" s="6" t="s">
        <v>192</v>
      </c>
      <c r="I76" s="6" t="s">
        <v>222</v>
      </c>
      <c r="J76" s="6" t="s">
        <v>226</v>
      </c>
    </row>
    <row r="77" customFormat="false" ht="23.85" hidden="false" customHeight="false" outlineLevel="0" collapsed="false">
      <c r="A77" s="6" t="s">
        <v>957</v>
      </c>
      <c r="B77" s="6" t="s">
        <v>958</v>
      </c>
      <c r="C77" s="6" t="s">
        <v>225</v>
      </c>
      <c r="D77" s="6" t="s">
        <v>873</v>
      </c>
      <c r="E77" s="6" t="s">
        <v>9</v>
      </c>
      <c r="F77" s="7" t="n">
        <v>0.524305555555556</v>
      </c>
      <c r="G77" s="6" t="s">
        <v>15</v>
      </c>
      <c r="H77" s="6" t="s">
        <v>192</v>
      </c>
      <c r="I77" s="6" t="s">
        <v>222</v>
      </c>
      <c r="J77" s="6" t="s">
        <v>226</v>
      </c>
    </row>
    <row r="78" customFormat="false" ht="35.05" hidden="false" customHeight="false" outlineLevel="0" collapsed="false">
      <c r="A78" s="6" t="s">
        <v>229</v>
      </c>
      <c r="B78" s="6" t="s">
        <v>959</v>
      </c>
      <c r="C78" s="6" t="s">
        <v>230</v>
      </c>
      <c r="D78" s="6" t="s">
        <v>873</v>
      </c>
      <c r="E78" s="6" t="s">
        <v>9</v>
      </c>
      <c r="F78" s="7" t="n">
        <v>0.524305555555556</v>
      </c>
      <c r="G78" s="6" t="s">
        <v>14</v>
      </c>
      <c r="H78" s="6" t="s">
        <v>192</v>
      </c>
      <c r="I78" s="6" t="s">
        <v>227</v>
      </c>
      <c r="J78" s="6" t="s">
        <v>69</v>
      </c>
    </row>
    <row r="79" customFormat="false" ht="23.85" hidden="false" customHeight="false" outlineLevel="0" collapsed="false">
      <c r="A79" s="6" t="s">
        <v>233</v>
      </c>
      <c r="B79" s="6" t="s">
        <v>960</v>
      </c>
      <c r="C79" s="6" t="s">
        <v>234</v>
      </c>
      <c r="D79" s="6" t="s">
        <v>873</v>
      </c>
      <c r="E79" s="6" t="s">
        <v>9</v>
      </c>
      <c r="F79" s="7" t="n">
        <v>0.524305555555556</v>
      </c>
      <c r="G79" s="6" t="s">
        <v>16</v>
      </c>
      <c r="H79" s="6" t="s">
        <v>192</v>
      </c>
      <c r="I79" s="6" t="s">
        <v>231</v>
      </c>
      <c r="J79" s="6" t="s">
        <v>235</v>
      </c>
    </row>
    <row r="80" customFormat="false" ht="23.85" hidden="false" customHeight="false" outlineLevel="0" collapsed="false">
      <c r="A80" s="6" t="s">
        <v>961</v>
      </c>
      <c r="B80" s="6" t="s">
        <v>962</v>
      </c>
      <c r="C80" s="6" t="s">
        <v>963</v>
      </c>
      <c r="D80" s="6" t="s">
        <v>873</v>
      </c>
      <c r="E80" s="6" t="s">
        <v>9</v>
      </c>
      <c r="F80" s="7" t="n">
        <v>0.524305555555556</v>
      </c>
      <c r="G80" s="6" t="s">
        <v>26</v>
      </c>
      <c r="H80" s="6" t="s">
        <v>181</v>
      </c>
      <c r="I80" s="6" t="s">
        <v>236</v>
      </c>
      <c r="J80" s="6" t="s">
        <v>240</v>
      </c>
    </row>
    <row r="81" customFormat="false" ht="23.85" hidden="false" customHeight="false" outlineLevel="0" collapsed="false">
      <c r="A81" s="6" t="s">
        <v>964</v>
      </c>
      <c r="B81" s="6" t="s">
        <v>965</v>
      </c>
      <c r="C81" s="6" t="s">
        <v>966</v>
      </c>
      <c r="D81" s="6" t="s">
        <v>873</v>
      </c>
      <c r="E81" s="6" t="s">
        <v>9</v>
      </c>
      <c r="F81" s="7" t="n">
        <v>0.524305555555556</v>
      </c>
      <c r="G81" s="6" t="s">
        <v>26</v>
      </c>
      <c r="H81" s="6" t="s">
        <v>181</v>
      </c>
      <c r="I81" s="6" t="s">
        <v>236</v>
      </c>
      <c r="J81" s="6" t="s">
        <v>240</v>
      </c>
    </row>
    <row r="82" customFormat="false" ht="15" hidden="false" customHeight="false" outlineLevel="0" collapsed="false">
      <c r="A82" s="6" t="s">
        <v>243</v>
      </c>
      <c r="B82" s="6" t="s">
        <v>967</v>
      </c>
      <c r="C82" s="6" t="s">
        <v>244</v>
      </c>
      <c r="D82" s="6" t="s">
        <v>873</v>
      </c>
      <c r="E82" s="6" t="s">
        <v>9</v>
      </c>
      <c r="F82" s="7" t="n">
        <v>0.524305555555556</v>
      </c>
      <c r="G82" s="6" t="s">
        <v>25</v>
      </c>
      <c r="H82" s="6" t="s">
        <v>192</v>
      </c>
      <c r="I82" s="6" t="s">
        <v>241</v>
      </c>
      <c r="J82" s="6" t="s">
        <v>245</v>
      </c>
    </row>
    <row r="83" customFormat="false" ht="15" hidden="false" customHeight="false" outlineLevel="0" collapsed="false">
      <c r="A83" s="6" t="s">
        <v>968</v>
      </c>
      <c r="B83" s="6" t="s">
        <v>875</v>
      </c>
      <c r="C83" s="6" t="s">
        <v>969</v>
      </c>
      <c r="D83" s="6" t="s">
        <v>873</v>
      </c>
      <c r="E83" s="6" t="s">
        <v>9</v>
      </c>
      <c r="F83" s="7" t="n">
        <v>0.527777777777778</v>
      </c>
      <c r="G83" s="6" t="s">
        <v>13</v>
      </c>
      <c r="H83" s="6" t="s">
        <v>70</v>
      </c>
      <c r="I83" s="6" t="s">
        <v>247</v>
      </c>
      <c r="J83" s="6" t="s">
        <v>62</v>
      </c>
    </row>
    <row r="84" customFormat="false" ht="15" hidden="false" customHeight="false" outlineLevel="0" collapsed="false">
      <c r="A84" s="6" t="s">
        <v>882</v>
      </c>
      <c r="B84" s="6" t="s">
        <v>883</v>
      </c>
      <c r="C84" s="6" t="s">
        <v>884</v>
      </c>
      <c r="D84" s="6" t="s">
        <v>873</v>
      </c>
      <c r="E84" s="6" t="s">
        <v>9</v>
      </c>
      <c r="F84" s="7" t="n">
        <v>0.527777777777778</v>
      </c>
      <c r="G84" s="6" t="s">
        <v>13</v>
      </c>
      <c r="H84" s="6" t="s">
        <v>70</v>
      </c>
      <c r="I84" s="6" t="s">
        <v>247</v>
      </c>
      <c r="J84" s="6" t="s">
        <v>62</v>
      </c>
    </row>
    <row r="85" customFormat="false" ht="23.85" hidden="false" customHeight="false" outlineLevel="0" collapsed="false">
      <c r="A85" s="6" t="s">
        <v>254</v>
      </c>
      <c r="B85" s="6" t="s">
        <v>970</v>
      </c>
      <c r="C85" s="6" t="s">
        <v>255</v>
      </c>
      <c r="D85" s="6" t="s">
        <v>873</v>
      </c>
      <c r="E85" s="6" t="s">
        <v>9</v>
      </c>
      <c r="F85" s="7" t="n">
        <v>0.527777777777778</v>
      </c>
      <c r="G85" s="6" t="s">
        <v>28</v>
      </c>
      <c r="H85" s="6" t="s">
        <v>251</v>
      </c>
      <c r="I85" s="6" t="s">
        <v>252</v>
      </c>
      <c r="J85" s="6" t="s">
        <v>28</v>
      </c>
    </row>
    <row r="86" customFormat="false" ht="23.85" hidden="false" customHeight="false" outlineLevel="0" collapsed="false">
      <c r="A86" s="6" t="s">
        <v>258</v>
      </c>
      <c r="B86" s="6" t="s">
        <v>971</v>
      </c>
      <c r="C86" s="6" t="s">
        <v>259</v>
      </c>
      <c r="D86" s="6" t="s">
        <v>873</v>
      </c>
      <c r="E86" s="6" t="s">
        <v>9</v>
      </c>
      <c r="F86" s="7" t="n">
        <v>0.53125</v>
      </c>
      <c r="G86" s="6" t="s">
        <v>29</v>
      </c>
      <c r="H86" s="6" t="s">
        <v>192</v>
      </c>
      <c r="I86" s="6" t="s">
        <v>256</v>
      </c>
      <c r="J86" s="6" t="s">
        <v>186</v>
      </c>
    </row>
    <row r="87" customFormat="false" ht="23.85" hidden="false" customHeight="false" outlineLevel="0" collapsed="false">
      <c r="A87" s="6" t="s">
        <v>262</v>
      </c>
      <c r="B87" s="6" t="s">
        <v>972</v>
      </c>
      <c r="C87" s="6" t="s">
        <v>263</v>
      </c>
      <c r="D87" s="6" t="s">
        <v>873</v>
      </c>
      <c r="E87" s="6" t="s">
        <v>9</v>
      </c>
      <c r="F87" s="7" t="n">
        <v>0.534722222222222</v>
      </c>
      <c r="G87" s="6" t="s">
        <v>12</v>
      </c>
      <c r="H87" s="6" t="s">
        <v>199</v>
      </c>
      <c r="I87" s="6" t="s">
        <v>260</v>
      </c>
      <c r="J87" s="6" t="s">
        <v>197</v>
      </c>
    </row>
    <row r="88" customFormat="false" ht="23.85" hidden="false" customHeight="false" outlineLevel="0" collapsed="false">
      <c r="A88" s="6" t="s">
        <v>973</v>
      </c>
      <c r="B88" s="6" t="s">
        <v>974</v>
      </c>
      <c r="C88" s="6" t="s">
        <v>975</v>
      </c>
      <c r="D88" s="6" t="s">
        <v>873</v>
      </c>
      <c r="E88" s="6" t="s">
        <v>9</v>
      </c>
      <c r="F88" s="7" t="n">
        <v>0.534722222222222</v>
      </c>
      <c r="G88" s="6" t="s">
        <v>19</v>
      </c>
      <c r="H88" s="6" t="s">
        <v>192</v>
      </c>
      <c r="I88" s="6" t="s">
        <v>264</v>
      </c>
      <c r="J88" s="6" t="s">
        <v>204</v>
      </c>
    </row>
    <row r="89" customFormat="false" ht="23.85" hidden="false" customHeight="false" outlineLevel="0" collapsed="false">
      <c r="A89" s="6" t="s">
        <v>976</v>
      </c>
      <c r="B89" s="6" t="s">
        <v>977</v>
      </c>
      <c r="C89" s="6" t="s">
        <v>978</v>
      </c>
      <c r="D89" s="6" t="s">
        <v>873</v>
      </c>
      <c r="E89" s="6" t="s">
        <v>9</v>
      </c>
      <c r="F89" s="7" t="n">
        <v>0.534722222222222</v>
      </c>
      <c r="G89" s="6" t="s">
        <v>19</v>
      </c>
      <c r="H89" s="6" t="s">
        <v>192</v>
      </c>
      <c r="I89" s="6" t="s">
        <v>264</v>
      </c>
      <c r="J89" s="6" t="s">
        <v>204</v>
      </c>
    </row>
    <row r="90" customFormat="false" ht="23.85" hidden="false" customHeight="false" outlineLevel="0" collapsed="false">
      <c r="A90" s="6" t="s">
        <v>979</v>
      </c>
      <c r="B90" s="6" t="s">
        <v>980</v>
      </c>
      <c r="C90" s="6" t="s">
        <v>981</v>
      </c>
      <c r="D90" s="6" t="s">
        <v>873</v>
      </c>
      <c r="E90" s="6" t="s">
        <v>9</v>
      </c>
      <c r="F90" s="7" t="n">
        <v>0.534722222222222</v>
      </c>
      <c r="G90" s="6" t="s">
        <v>13</v>
      </c>
      <c r="H90" s="6" t="s">
        <v>192</v>
      </c>
      <c r="I90" s="6" t="s">
        <v>269</v>
      </c>
      <c r="J90" s="6" t="s">
        <v>62</v>
      </c>
    </row>
    <row r="91" customFormat="false" ht="23.85" hidden="false" customHeight="false" outlineLevel="0" collapsed="false">
      <c r="A91" s="6" t="s">
        <v>982</v>
      </c>
      <c r="B91" s="6" t="s">
        <v>983</v>
      </c>
      <c r="C91" s="6" t="s">
        <v>984</v>
      </c>
      <c r="D91" s="6" t="s">
        <v>873</v>
      </c>
      <c r="E91" s="6" t="s">
        <v>9</v>
      </c>
      <c r="F91" s="7" t="n">
        <v>0.534722222222222</v>
      </c>
      <c r="G91" s="6" t="s">
        <v>13</v>
      </c>
      <c r="H91" s="6" t="s">
        <v>192</v>
      </c>
      <c r="I91" s="6" t="s">
        <v>269</v>
      </c>
      <c r="J91" s="6" t="s">
        <v>62</v>
      </c>
    </row>
    <row r="92" customFormat="false" ht="15" hidden="false" customHeight="false" outlineLevel="0" collapsed="false">
      <c r="A92" s="6" t="s">
        <v>985</v>
      </c>
      <c r="B92" s="6" t="s">
        <v>986</v>
      </c>
      <c r="C92" s="6" t="s">
        <v>987</v>
      </c>
      <c r="D92" s="6" t="s">
        <v>873</v>
      </c>
      <c r="E92" s="6" t="s">
        <v>9</v>
      </c>
      <c r="F92" s="7" t="n">
        <v>0.534722222222222</v>
      </c>
      <c r="G92" s="6" t="s">
        <v>20</v>
      </c>
      <c r="H92" s="6" t="s">
        <v>192</v>
      </c>
      <c r="I92" s="6" t="s">
        <v>273</v>
      </c>
      <c r="J92" s="6" t="s">
        <v>220</v>
      </c>
    </row>
    <row r="93" customFormat="false" ht="15" hidden="false" customHeight="false" outlineLevel="0" collapsed="false">
      <c r="A93" s="6" t="s">
        <v>988</v>
      </c>
      <c r="B93" s="6" t="s">
        <v>989</v>
      </c>
      <c r="C93" s="6" t="s">
        <v>990</v>
      </c>
      <c r="D93" s="6" t="s">
        <v>873</v>
      </c>
      <c r="E93" s="6" t="s">
        <v>9</v>
      </c>
      <c r="F93" s="7" t="n">
        <v>0.534722222222222</v>
      </c>
      <c r="G93" s="6" t="s">
        <v>20</v>
      </c>
      <c r="H93" s="6" t="s">
        <v>192</v>
      </c>
      <c r="I93" s="6" t="s">
        <v>273</v>
      </c>
      <c r="J93" s="6" t="s">
        <v>220</v>
      </c>
    </row>
    <row r="94" customFormat="false" ht="23.85" hidden="false" customHeight="false" outlineLevel="0" collapsed="false">
      <c r="A94" s="6" t="s">
        <v>280</v>
      </c>
      <c r="B94" s="6" t="s">
        <v>991</v>
      </c>
      <c r="C94" s="6" t="s">
        <v>281</v>
      </c>
      <c r="D94" s="6" t="s">
        <v>873</v>
      </c>
      <c r="E94" s="6" t="s">
        <v>9</v>
      </c>
      <c r="F94" s="7" t="n">
        <v>0.534722222222222</v>
      </c>
      <c r="G94" s="6" t="s">
        <v>26</v>
      </c>
      <c r="H94" s="6" t="s">
        <v>192</v>
      </c>
      <c r="I94" s="6" t="s">
        <v>278</v>
      </c>
      <c r="J94" s="6" t="s">
        <v>240</v>
      </c>
    </row>
    <row r="95" customFormat="false" ht="23.85" hidden="false" customHeight="false" outlineLevel="0" collapsed="false">
      <c r="A95" s="6" t="s">
        <v>284</v>
      </c>
      <c r="B95" s="6" t="s">
        <v>992</v>
      </c>
      <c r="C95" s="6" t="s">
        <v>285</v>
      </c>
      <c r="D95" s="6" t="s">
        <v>873</v>
      </c>
      <c r="E95" s="6" t="s">
        <v>9</v>
      </c>
      <c r="F95" s="7" t="n">
        <v>0.534722222222222</v>
      </c>
      <c r="G95" s="6" t="s">
        <v>15</v>
      </c>
      <c r="H95" s="6" t="s">
        <v>199</v>
      </c>
      <c r="I95" s="6" t="s">
        <v>282</v>
      </c>
      <c r="J95" s="6" t="s">
        <v>226</v>
      </c>
    </row>
    <row r="96" customFormat="false" ht="23.85" hidden="false" customHeight="false" outlineLevel="0" collapsed="false">
      <c r="A96" s="6" t="s">
        <v>993</v>
      </c>
      <c r="B96" s="6" t="s">
        <v>994</v>
      </c>
      <c r="C96" s="6" t="s">
        <v>995</v>
      </c>
      <c r="D96" s="6" t="s">
        <v>873</v>
      </c>
      <c r="E96" s="6" t="s">
        <v>9</v>
      </c>
      <c r="F96" s="7" t="n">
        <v>0.534722222222222</v>
      </c>
      <c r="G96" s="6" t="s">
        <v>23</v>
      </c>
      <c r="H96" s="6" t="s">
        <v>95</v>
      </c>
      <c r="I96" s="6" t="s">
        <v>286</v>
      </c>
      <c r="J96" s="6" t="s">
        <v>180</v>
      </c>
    </row>
    <row r="97" customFormat="false" ht="23.85" hidden="false" customHeight="false" outlineLevel="0" collapsed="false">
      <c r="A97" s="6" t="s">
        <v>946</v>
      </c>
      <c r="B97" s="6" t="s">
        <v>947</v>
      </c>
      <c r="C97" s="6" t="s">
        <v>886</v>
      </c>
      <c r="D97" s="6" t="s">
        <v>873</v>
      </c>
      <c r="E97" s="6" t="s">
        <v>9</v>
      </c>
      <c r="F97" s="7" t="n">
        <v>0.534722222222222</v>
      </c>
      <c r="G97" s="6" t="s">
        <v>23</v>
      </c>
      <c r="H97" s="6" t="s">
        <v>95</v>
      </c>
      <c r="I97" s="6" t="s">
        <v>286</v>
      </c>
      <c r="J97" s="6" t="s">
        <v>180</v>
      </c>
    </row>
    <row r="98" customFormat="false" ht="23.85" hidden="false" customHeight="false" outlineLevel="0" collapsed="false">
      <c r="A98" s="6" t="s">
        <v>996</v>
      </c>
      <c r="B98" s="6" t="s">
        <v>997</v>
      </c>
      <c r="C98" s="6" t="s">
        <v>61</v>
      </c>
      <c r="D98" s="6" t="s">
        <v>873</v>
      </c>
      <c r="E98" s="6" t="s">
        <v>9</v>
      </c>
      <c r="F98" s="7" t="n">
        <v>0.534722222222222</v>
      </c>
      <c r="G98" s="6" t="s">
        <v>23</v>
      </c>
      <c r="H98" s="6" t="s">
        <v>95</v>
      </c>
      <c r="I98" s="6" t="s">
        <v>286</v>
      </c>
      <c r="J98" s="6" t="s">
        <v>180</v>
      </c>
    </row>
    <row r="99" customFormat="false" ht="23.85" hidden="false" customHeight="false" outlineLevel="0" collapsed="false">
      <c r="A99" s="6" t="s">
        <v>998</v>
      </c>
      <c r="B99" s="6" t="s">
        <v>999</v>
      </c>
      <c r="C99" s="6" t="s">
        <v>1000</v>
      </c>
      <c r="D99" s="6" t="s">
        <v>873</v>
      </c>
      <c r="E99" s="6" t="s">
        <v>9</v>
      </c>
      <c r="F99" s="7" t="n">
        <v>0.534722222222222</v>
      </c>
      <c r="G99" s="6" t="s">
        <v>16</v>
      </c>
      <c r="H99" s="6" t="s">
        <v>95</v>
      </c>
      <c r="I99" s="6" t="s">
        <v>292</v>
      </c>
      <c r="J99" s="6" t="s">
        <v>235</v>
      </c>
    </row>
    <row r="100" customFormat="false" ht="23.85" hidden="false" customHeight="false" outlineLevel="0" collapsed="false">
      <c r="A100" s="6" t="s">
        <v>233</v>
      </c>
      <c r="B100" s="6" t="s">
        <v>960</v>
      </c>
      <c r="C100" s="6" t="s">
        <v>234</v>
      </c>
      <c r="D100" s="6" t="s">
        <v>873</v>
      </c>
      <c r="E100" s="6" t="s">
        <v>9</v>
      </c>
      <c r="F100" s="7" t="n">
        <v>0.534722222222222</v>
      </c>
      <c r="G100" s="6" t="s">
        <v>16</v>
      </c>
      <c r="H100" s="6" t="s">
        <v>95</v>
      </c>
      <c r="I100" s="6" t="s">
        <v>292</v>
      </c>
      <c r="J100" s="6" t="s">
        <v>235</v>
      </c>
    </row>
    <row r="101" customFormat="false" ht="23.85" hidden="false" customHeight="false" outlineLevel="0" collapsed="false">
      <c r="A101" s="6" t="s">
        <v>1001</v>
      </c>
      <c r="B101" s="6" t="s">
        <v>936</v>
      </c>
      <c r="C101" s="6" t="s">
        <v>1002</v>
      </c>
      <c r="D101" s="6" t="s">
        <v>873</v>
      </c>
      <c r="E101" s="6" t="s">
        <v>9</v>
      </c>
      <c r="F101" s="7" t="n">
        <v>0.534722222222222</v>
      </c>
      <c r="G101" s="6" t="s">
        <v>16</v>
      </c>
      <c r="H101" s="6" t="s">
        <v>95</v>
      </c>
      <c r="I101" s="6" t="s">
        <v>292</v>
      </c>
      <c r="J101" s="6" t="s">
        <v>235</v>
      </c>
    </row>
    <row r="102" customFormat="false" ht="15" hidden="false" customHeight="false" outlineLevel="0" collapsed="false">
      <c r="A102" s="6" t="s">
        <v>299</v>
      </c>
      <c r="B102" s="6" t="s">
        <v>1003</v>
      </c>
      <c r="C102" s="6" t="s">
        <v>300</v>
      </c>
      <c r="D102" s="6" t="s">
        <v>873</v>
      </c>
      <c r="E102" s="6" t="s">
        <v>9</v>
      </c>
      <c r="F102" s="7" t="n">
        <v>0.534722222222222</v>
      </c>
      <c r="G102" s="6" t="s">
        <v>25</v>
      </c>
      <c r="H102" s="6" t="s">
        <v>192</v>
      </c>
      <c r="I102" s="6" t="s">
        <v>297</v>
      </c>
      <c r="J102" s="6" t="s">
        <v>245</v>
      </c>
    </row>
    <row r="103" customFormat="false" ht="23.85" hidden="false" customHeight="false" outlineLevel="0" collapsed="false">
      <c r="A103" s="6" t="s">
        <v>1004</v>
      </c>
      <c r="B103" s="6" t="s">
        <v>1005</v>
      </c>
      <c r="C103" s="6" t="s">
        <v>1006</v>
      </c>
      <c r="D103" s="6" t="s">
        <v>873</v>
      </c>
      <c r="E103" s="6" t="s">
        <v>9</v>
      </c>
      <c r="F103" s="7" t="n">
        <v>0.534722222222222</v>
      </c>
      <c r="G103" s="6" t="s">
        <v>14</v>
      </c>
      <c r="H103" s="6" t="s">
        <v>192</v>
      </c>
      <c r="I103" s="6" t="s">
        <v>301</v>
      </c>
      <c r="J103" s="6" t="s">
        <v>69</v>
      </c>
    </row>
    <row r="104" customFormat="false" ht="23.85" hidden="false" customHeight="false" outlineLevel="0" collapsed="false">
      <c r="A104" s="6" t="s">
        <v>1007</v>
      </c>
      <c r="B104" s="6" t="s">
        <v>1008</v>
      </c>
      <c r="C104" s="6" t="s">
        <v>1009</v>
      </c>
      <c r="D104" s="6" t="s">
        <v>873</v>
      </c>
      <c r="E104" s="6" t="s">
        <v>9</v>
      </c>
      <c r="F104" s="7" t="n">
        <v>0.534722222222222</v>
      </c>
      <c r="G104" s="6" t="s">
        <v>14</v>
      </c>
      <c r="H104" s="6" t="s">
        <v>192</v>
      </c>
      <c r="I104" s="6" t="s">
        <v>301</v>
      </c>
      <c r="J104" s="6" t="s">
        <v>69</v>
      </c>
    </row>
    <row r="105" customFormat="false" ht="23.85" hidden="false" customHeight="false" outlineLevel="0" collapsed="false">
      <c r="A105" s="6" t="s">
        <v>308</v>
      </c>
      <c r="B105" s="6" t="s">
        <v>1010</v>
      </c>
      <c r="C105" s="6" t="s">
        <v>309</v>
      </c>
      <c r="D105" s="6" t="s">
        <v>873</v>
      </c>
      <c r="E105" s="6" t="s">
        <v>9</v>
      </c>
      <c r="F105" s="7" t="n">
        <v>0.534722222222222</v>
      </c>
      <c r="G105" s="6" t="s">
        <v>28</v>
      </c>
      <c r="H105" s="6" t="s">
        <v>251</v>
      </c>
      <c r="I105" s="6" t="s">
        <v>306</v>
      </c>
      <c r="J105" s="6" t="s">
        <v>28</v>
      </c>
    </row>
    <row r="106" customFormat="false" ht="23.85" hidden="false" customHeight="false" outlineLevel="0" collapsed="false">
      <c r="A106" s="6" t="s">
        <v>312</v>
      </c>
      <c r="B106" s="6" t="s">
        <v>1011</v>
      </c>
      <c r="C106" s="6" t="s">
        <v>313</v>
      </c>
      <c r="D106" s="6" t="s">
        <v>873</v>
      </c>
      <c r="E106" s="6" t="s">
        <v>9</v>
      </c>
      <c r="F106" s="7" t="n">
        <v>0.534722222222222</v>
      </c>
      <c r="G106" s="6" t="s">
        <v>21</v>
      </c>
      <c r="H106" s="6" t="s">
        <v>192</v>
      </c>
      <c r="I106" s="6" t="s">
        <v>310</v>
      </c>
      <c r="J106" s="6" t="s">
        <v>215</v>
      </c>
    </row>
    <row r="107" customFormat="false" ht="15" hidden="false" customHeight="false" outlineLevel="0" collapsed="false">
      <c r="A107" s="6" t="s">
        <v>1012</v>
      </c>
      <c r="B107" s="6" t="s">
        <v>1013</v>
      </c>
      <c r="C107" s="6" t="s">
        <v>1014</v>
      </c>
      <c r="D107" s="6" t="s">
        <v>873</v>
      </c>
      <c r="E107" s="6" t="s">
        <v>9</v>
      </c>
      <c r="F107" s="7" t="n">
        <v>0.541666666666667</v>
      </c>
      <c r="G107" s="6" t="s">
        <v>29</v>
      </c>
      <c r="H107" s="6" t="s">
        <v>181</v>
      </c>
      <c r="I107" s="6" t="s">
        <v>314</v>
      </c>
      <c r="J107" s="6" t="s">
        <v>186</v>
      </c>
    </row>
    <row r="108" customFormat="false" ht="15" hidden="false" customHeight="false" outlineLevel="0" collapsed="false">
      <c r="A108" s="6" t="s">
        <v>935</v>
      </c>
      <c r="B108" s="6" t="s">
        <v>936</v>
      </c>
      <c r="C108" s="6" t="s">
        <v>937</v>
      </c>
      <c r="D108" s="6" t="s">
        <v>873</v>
      </c>
      <c r="E108" s="6" t="s">
        <v>9</v>
      </c>
      <c r="F108" s="7" t="n">
        <v>0.541666666666667</v>
      </c>
      <c r="G108" s="6" t="s">
        <v>29</v>
      </c>
      <c r="H108" s="6" t="s">
        <v>181</v>
      </c>
      <c r="I108" s="6" t="s">
        <v>314</v>
      </c>
      <c r="J108" s="6" t="s">
        <v>186</v>
      </c>
    </row>
    <row r="109" customFormat="false" ht="23.85" hidden="false" customHeight="false" outlineLevel="0" collapsed="false">
      <c r="A109" s="6" t="s">
        <v>320</v>
      </c>
      <c r="B109" s="6" t="s">
        <v>890</v>
      </c>
      <c r="C109" s="6" t="s">
        <v>321</v>
      </c>
      <c r="D109" s="6" t="s">
        <v>873</v>
      </c>
      <c r="E109" s="6" t="s">
        <v>9</v>
      </c>
      <c r="F109" s="7" t="n">
        <v>0.541666666666667</v>
      </c>
      <c r="G109" s="6" t="s">
        <v>28</v>
      </c>
      <c r="H109" s="6" t="s">
        <v>251</v>
      </c>
      <c r="I109" s="6" t="s">
        <v>318</v>
      </c>
      <c r="J109" s="6" t="s">
        <v>28</v>
      </c>
    </row>
    <row r="110" customFormat="false" ht="23.85" hidden="false" customHeight="false" outlineLevel="0" collapsed="false">
      <c r="A110" s="6" t="s">
        <v>324</v>
      </c>
      <c r="B110" s="6" t="s">
        <v>1015</v>
      </c>
      <c r="C110" s="6" t="s">
        <v>325</v>
      </c>
      <c r="D110" s="6" t="s">
        <v>873</v>
      </c>
      <c r="E110" s="6" t="s">
        <v>9</v>
      </c>
      <c r="F110" s="7" t="n">
        <v>0.545138888888889</v>
      </c>
      <c r="G110" s="6" t="s">
        <v>12</v>
      </c>
      <c r="H110" s="6" t="s">
        <v>192</v>
      </c>
      <c r="I110" s="6" t="s">
        <v>322</v>
      </c>
      <c r="J110" s="6" t="s">
        <v>197</v>
      </c>
    </row>
    <row r="111" customFormat="false" ht="23.85" hidden="false" customHeight="false" outlineLevel="0" collapsed="false">
      <c r="A111" s="6" t="s">
        <v>1016</v>
      </c>
      <c r="B111" s="6" t="s">
        <v>1017</v>
      </c>
      <c r="C111" s="6" t="s">
        <v>1018</v>
      </c>
      <c r="D111" s="6" t="s">
        <v>873</v>
      </c>
      <c r="E111" s="6" t="s">
        <v>9</v>
      </c>
      <c r="F111" s="7" t="n">
        <v>0.545138888888889</v>
      </c>
      <c r="G111" s="6" t="s">
        <v>21</v>
      </c>
      <c r="H111" s="6" t="s">
        <v>95</v>
      </c>
      <c r="I111" s="6" t="s">
        <v>326</v>
      </c>
      <c r="J111" s="6" t="s">
        <v>215</v>
      </c>
    </row>
    <row r="112" customFormat="false" ht="23.85" hidden="false" customHeight="false" outlineLevel="0" collapsed="false">
      <c r="A112" s="6" t="s">
        <v>1019</v>
      </c>
      <c r="B112" s="6" t="s">
        <v>1020</v>
      </c>
      <c r="C112" s="6" t="s">
        <v>1021</v>
      </c>
      <c r="D112" s="6" t="s">
        <v>873</v>
      </c>
      <c r="E112" s="6" t="s">
        <v>9</v>
      </c>
      <c r="F112" s="7" t="n">
        <v>0.545138888888889</v>
      </c>
      <c r="G112" s="6" t="s">
        <v>21</v>
      </c>
      <c r="H112" s="6" t="s">
        <v>95</v>
      </c>
      <c r="I112" s="6" t="s">
        <v>326</v>
      </c>
      <c r="J112" s="6" t="s">
        <v>215</v>
      </c>
    </row>
    <row r="113" customFormat="false" ht="23.85" hidden="false" customHeight="false" outlineLevel="0" collapsed="false">
      <c r="A113" s="6" t="s">
        <v>1022</v>
      </c>
      <c r="B113" s="6" t="s">
        <v>1023</v>
      </c>
      <c r="C113" s="6" t="s">
        <v>1024</v>
      </c>
      <c r="D113" s="6" t="s">
        <v>873</v>
      </c>
      <c r="E113" s="6" t="s">
        <v>9</v>
      </c>
      <c r="F113" s="7" t="n">
        <v>0.545138888888889</v>
      </c>
      <c r="G113" s="6" t="s">
        <v>21</v>
      </c>
      <c r="H113" s="6" t="s">
        <v>95</v>
      </c>
      <c r="I113" s="6" t="s">
        <v>326</v>
      </c>
      <c r="J113" s="6" t="s">
        <v>215</v>
      </c>
    </row>
    <row r="114" customFormat="false" ht="15" hidden="false" customHeight="false" outlineLevel="0" collapsed="false">
      <c r="A114" s="6" t="s">
        <v>1025</v>
      </c>
      <c r="B114" s="6" t="s">
        <v>890</v>
      </c>
      <c r="C114" s="6" t="s">
        <v>1026</v>
      </c>
      <c r="D114" s="6" t="s">
        <v>873</v>
      </c>
      <c r="E114" s="6" t="s">
        <v>9</v>
      </c>
      <c r="F114" s="7" t="n">
        <v>0.545138888888889</v>
      </c>
      <c r="G114" s="6" t="s">
        <v>13</v>
      </c>
      <c r="H114" s="6" t="s">
        <v>70</v>
      </c>
      <c r="I114" s="6" t="s">
        <v>331</v>
      </c>
      <c r="J114" s="6" t="s">
        <v>62</v>
      </c>
    </row>
    <row r="115" customFormat="false" ht="15" hidden="false" customHeight="false" outlineLevel="0" collapsed="false">
      <c r="A115" s="6" t="s">
        <v>882</v>
      </c>
      <c r="B115" s="6" t="s">
        <v>883</v>
      </c>
      <c r="C115" s="6" t="s">
        <v>884</v>
      </c>
      <c r="D115" s="6" t="s">
        <v>873</v>
      </c>
      <c r="E115" s="6" t="s">
        <v>9</v>
      </c>
      <c r="F115" s="7" t="n">
        <v>0.545138888888889</v>
      </c>
      <c r="G115" s="6" t="s">
        <v>13</v>
      </c>
      <c r="H115" s="6" t="s">
        <v>70</v>
      </c>
      <c r="I115" s="6" t="s">
        <v>331</v>
      </c>
      <c r="J115" s="6" t="s">
        <v>62</v>
      </c>
    </row>
    <row r="116" customFormat="false" ht="23.85" hidden="false" customHeight="false" outlineLevel="0" collapsed="false">
      <c r="A116" s="6" t="s">
        <v>1027</v>
      </c>
      <c r="B116" s="6" t="s">
        <v>1028</v>
      </c>
      <c r="C116" s="6" t="s">
        <v>1029</v>
      </c>
      <c r="D116" s="6" t="s">
        <v>873</v>
      </c>
      <c r="E116" s="6" t="s">
        <v>9</v>
      </c>
      <c r="F116" s="7" t="n">
        <v>0.545138888888889</v>
      </c>
      <c r="G116" s="6" t="s">
        <v>14</v>
      </c>
      <c r="H116" s="6" t="s">
        <v>95</v>
      </c>
      <c r="I116" s="6" t="s">
        <v>335</v>
      </c>
      <c r="J116" s="6" t="s">
        <v>69</v>
      </c>
    </row>
    <row r="117" customFormat="false" ht="23.85" hidden="false" customHeight="false" outlineLevel="0" collapsed="false">
      <c r="A117" s="6" t="s">
        <v>1030</v>
      </c>
      <c r="B117" s="6" t="s">
        <v>1031</v>
      </c>
      <c r="C117" s="6" t="s">
        <v>1032</v>
      </c>
      <c r="D117" s="6" t="s">
        <v>873</v>
      </c>
      <c r="E117" s="6" t="s">
        <v>9</v>
      </c>
      <c r="F117" s="7" t="n">
        <v>0.545138888888889</v>
      </c>
      <c r="G117" s="6" t="s">
        <v>14</v>
      </c>
      <c r="H117" s="6" t="s">
        <v>95</v>
      </c>
      <c r="I117" s="6" t="s">
        <v>335</v>
      </c>
      <c r="J117" s="6" t="s">
        <v>69</v>
      </c>
    </row>
    <row r="118" customFormat="false" ht="23.85" hidden="false" customHeight="false" outlineLevel="0" collapsed="false">
      <c r="A118" s="6" t="s">
        <v>229</v>
      </c>
      <c r="B118" s="6" t="s">
        <v>959</v>
      </c>
      <c r="C118" s="6" t="s">
        <v>230</v>
      </c>
      <c r="D118" s="6" t="s">
        <v>873</v>
      </c>
      <c r="E118" s="6" t="s">
        <v>9</v>
      </c>
      <c r="F118" s="7" t="n">
        <v>0.545138888888889</v>
      </c>
      <c r="G118" s="6" t="s">
        <v>14</v>
      </c>
      <c r="H118" s="6" t="s">
        <v>95</v>
      </c>
      <c r="I118" s="6" t="s">
        <v>335</v>
      </c>
      <c r="J118" s="6" t="s">
        <v>69</v>
      </c>
    </row>
    <row r="119" customFormat="false" ht="23.85" hidden="false" customHeight="false" outlineLevel="0" collapsed="false">
      <c r="A119" s="6" t="s">
        <v>1033</v>
      </c>
      <c r="B119" s="6" t="s">
        <v>1034</v>
      </c>
      <c r="C119" s="6" t="s">
        <v>1035</v>
      </c>
      <c r="D119" s="6" t="s">
        <v>873</v>
      </c>
      <c r="E119" s="6" t="s">
        <v>9</v>
      </c>
      <c r="F119" s="7" t="n">
        <v>0.545138888888889</v>
      </c>
      <c r="G119" s="6" t="s">
        <v>25</v>
      </c>
      <c r="H119" s="6" t="s">
        <v>192</v>
      </c>
      <c r="I119" s="6" t="s">
        <v>340</v>
      </c>
      <c r="J119" s="6" t="s">
        <v>245</v>
      </c>
    </row>
    <row r="120" customFormat="false" ht="23.85" hidden="false" customHeight="false" outlineLevel="0" collapsed="false">
      <c r="A120" s="6" t="s">
        <v>1036</v>
      </c>
      <c r="B120" s="6" t="s">
        <v>1037</v>
      </c>
      <c r="C120" s="6" t="s">
        <v>1038</v>
      </c>
      <c r="D120" s="6" t="s">
        <v>873</v>
      </c>
      <c r="E120" s="6" t="s">
        <v>9</v>
      </c>
      <c r="F120" s="7" t="n">
        <v>0.545138888888889</v>
      </c>
      <c r="G120" s="6" t="s">
        <v>25</v>
      </c>
      <c r="H120" s="6" t="s">
        <v>192</v>
      </c>
      <c r="I120" s="6" t="s">
        <v>340</v>
      </c>
      <c r="J120" s="6" t="s">
        <v>245</v>
      </c>
    </row>
    <row r="121" customFormat="false" ht="15" hidden="false" customHeight="false" outlineLevel="0" collapsed="false">
      <c r="A121" s="6" t="s">
        <v>961</v>
      </c>
      <c r="B121" s="6" t="s">
        <v>962</v>
      </c>
      <c r="C121" s="6" t="s">
        <v>963</v>
      </c>
      <c r="D121" s="6" t="s">
        <v>873</v>
      </c>
      <c r="E121" s="6" t="s">
        <v>9</v>
      </c>
      <c r="F121" s="7" t="n">
        <v>0.545138888888889</v>
      </c>
      <c r="G121" s="6" t="s">
        <v>26</v>
      </c>
      <c r="H121" s="6" t="s">
        <v>199</v>
      </c>
      <c r="I121" s="6" t="s">
        <v>345</v>
      </c>
      <c r="J121" s="6" t="s">
        <v>240</v>
      </c>
    </row>
    <row r="122" customFormat="false" ht="15" hidden="false" customHeight="false" outlineLevel="0" collapsed="false">
      <c r="A122" s="6" t="s">
        <v>1039</v>
      </c>
      <c r="B122" s="6" t="s">
        <v>1040</v>
      </c>
      <c r="C122" s="6" t="s">
        <v>690</v>
      </c>
      <c r="D122" s="6" t="s">
        <v>873</v>
      </c>
      <c r="E122" s="6" t="s">
        <v>9</v>
      </c>
      <c r="F122" s="7" t="n">
        <v>0.545138888888889</v>
      </c>
      <c r="G122" s="6" t="s">
        <v>26</v>
      </c>
      <c r="H122" s="6" t="s">
        <v>199</v>
      </c>
      <c r="I122" s="6" t="s">
        <v>345</v>
      </c>
      <c r="J122" s="6" t="s">
        <v>240</v>
      </c>
    </row>
    <row r="123" customFormat="false" ht="15" hidden="false" customHeight="false" outlineLevel="0" collapsed="false">
      <c r="A123" s="6" t="s">
        <v>1041</v>
      </c>
      <c r="B123" s="6" t="s">
        <v>890</v>
      </c>
      <c r="C123" s="6" t="s">
        <v>1042</v>
      </c>
      <c r="D123" s="6" t="s">
        <v>873</v>
      </c>
      <c r="E123" s="6" t="s">
        <v>9</v>
      </c>
      <c r="F123" s="7" t="n">
        <v>0.545138888888889</v>
      </c>
      <c r="G123" s="6" t="s">
        <v>26</v>
      </c>
      <c r="H123" s="6" t="s">
        <v>199</v>
      </c>
      <c r="I123" s="6" t="s">
        <v>345</v>
      </c>
      <c r="J123" s="6" t="s">
        <v>240</v>
      </c>
    </row>
    <row r="124" customFormat="false" ht="23.85" hidden="false" customHeight="false" outlineLevel="0" collapsed="false">
      <c r="A124" s="6" t="s">
        <v>352</v>
      </c>
      <c r="B124" s="6" t="s">
        <v>1043</v>
      </c>
      <c r="C124" s="6" t="s">
        <v>353</v>
      </c>
      <c r="D124" s="6" t="s">
        <v>873</v>
      </c>
      <c r="E124" s="6" t="s">
        <v>9</v>
      </c>
      <c r="F124" s="7" t="n">
        <v>0.545138888888889</v>
      </c>
      <c r="G124" s="6" t="s">
        <v>20</v>
      </c>
      <c r="H124" s="6" t="s">
        <v>199</v>
      </c>
      <c r="I124" s="6" t="s">
        <v>350</v>
      </c>
      <c r="J124" s="6" t="s">
        <v>220</v>
      </c>
    </row>
    <row r="125" customFormat="false" ht="15" hidden="false" customHeight="false" outlineLevel="0" collapsed="false">
      <c r="A125" s="6" t="s">
        <v>357</v>
      </c>
      <c r="B125" s="6" t="s">
        <v>1044</v>
      </c>
      <c r="C125" s="6" t="s">
        <v>358</v>
      </c>
      <c r="D125" s="6" t="s">
        <v>873</v>
      </c>
      <c r="E125" s="6" t="s">
        <v>9</v>
      </c>
      <c r="F125" s="7" t="n">
        <v>0.545138888888889</v>
      </c>
      <c r="G125" s="6" t="s">
        <v>19</v>
      </c>
      <c r="H125" s="6" t="s">
        <v>192</v>
      </c>
      <c r="I125" s="6" t="s">
        <v>355</v>
      </c>
      <c r="J125" s="6" t="s">
        <v>204</v>
      </c>
    </row>
    <row r="126" customFormat="false" ht="23.85" hidden="false" customHeight="false" outlineLevel="0" collapsed="false">
      <c r="A126" s="6" t="s">
        <v>1045</v>
      </c>
      <c r="B126" s="6" t="s">
        <v>1046</v>
      </c>
      <c r="C126" s="6" t="s">
        <v>1047</v>
      </c>
      <c r="D126" s="6" t="s">
        <v>873</v>
      </c>
      <c r="E126" s="6" t="s">
        <v>9</v>
      </c>
      <c r="F126" s="7" t="n">
        <v>0.545138888888889</v>
      </c>
      <c r="G126" s="6" t="s">
        <v>15</v>
      </c>
      <c r="H126" s="6" t="s">
        <v>95</v>
      </c>
      <c r="I126" s="6" t="s">
        <v>360</v>
      </c>
      <c r="J126" s="6" t="s">
        <v>226</v>
      </c>
    </row>
    <row r="127" customFormat="false" ht="23.85" hidden="false" customHeight="false" outlineLevel="0" collapsed="false">
      <c r="A127" s="6" t="s">
        <v>1048</v>
      </c>
      <c r="B127" s="6" t="s">
        <v>1049</v>
      </c>
      <c r="C127" s="6" t="s">
        <v>1050</v>
      </c>
      <c r="D127" s="6" t="s">
        <v>873</v>
      </c>
      <c r="E127" s="6" t="s">
        <v>9</v>
      </c>
      <c r="F127" s="7" t="n">
        <v>0.545138888888889</v>
      </c>
      <c r="G127" s="6" t="s">
        <v>15</v>
      </c>
      <c r="H127" s="6" t="s">
        <v>95</v>
      </c>
      <c r="I127" s="6" t="s">
        <v>360</v>
      </c>
      <c r="J127" s="6" t="s">
        <v>226</v>
      </c>
    </row>
    <row r="128" customFormat="false" ht="23.85" hidden="false" customHeight="false" outlineLevel="0" collapsed="false">
      <c r="A128" s="6" t="s">
        <v>1051</v>
      </c>
      <c r="B128" s="6" t="s">
        <v>1052</v>
      </c>
      <c r="C128" s="6" t="s">
        <v>1053</v>
      </c>
      <c r="D128" s="6" t="s">
        <v>873</v>
      </c>
      <c r="E128" s="6" t="s">
        <v>9</v>
      </c>
      <c r="F128" s="7" t="n">
        <v>0.545138888888889</v>
      </c>
      <c r="G128" s="6" t="s">
        <v>15</v>
      </c>
      <c r="H128" s="6" t="s">
        <v>95</v>
      </c>
      <c r="I128" s="6" t="s">
        <v>360</v>
      </c>
      <c r="J128" s="6" t="s">
        <v>226</v>
      </c>
    </row>
    <row r="129" customFormat="false" ht="15" hidden="false" customHeight="false" outlineLevel="0" collapsed="false">
      <c r="A129" s="6" t="s">
        <v>367</v>
      </c>
      <c r="B129" s="6" t="s">
        <v>1054</v>
      </c>
      <c r="C129" s="6" t="s">
        <v>368</v>
      </c>
      <c r="D129" s="6" t="s">
        <v>873</v>
      </c>
      <c r="E129" s="6" t="s">
        <v>9</v>
      </c>
      <c r="F129" s="7" t="n">
        <v>0.548611111111111</v>
      </c>
      <c r="G129" s="6" t="s">
        <v>28</v>
      </c>
      <c r="H129" s="6" t="s">
        <v>251</v>
      </c>
      <c r="I129" s="6" t="s">
        <v>365</v>
      </c>
      <c r="J129" s="6" t="s">
        <v>28</v>
      </c>
    </row>
    <row r="130" customFormat="false" ht="23.85" hidden="false" customHeight="false" outlineLevel="0" collapsed="false">
      <c r="A130" s="6" t="s">
        <v>1055</v>
      </c>
      <c r="B130" s="6" t="s">
        <v>1056</v>
      </c>
      <c r="C130" s="6" t="s">
        <v>1057</v>
      </c>
      <c r="D130" s="6" t="s">
        <v>873</v>
      </c>
      <c r="E130" s="6" t="s">
        <v>9</v>
      </c>
      <c r="F130" s="7" t="n">
        <v>0.552083333333333</v>
      </c>
      <c r="G130" s="6" t="s">
        <v>29</v>
      </c>
      <c r="H130" s="6" t="s">
        <v>95</v>
      </c>
      <c r="I130" s="6" t="s">
        <v>369</v>
      </c>
      <c r="J130" s="6" t="s">
        <v>186</v>
      </c>
    </row>
    <row r="131" customFormat="false" ht="23.85" hidden="false" customHeight="false" outlineLevel="0" collapsed="false">
      <c r="A131" s="6" t="s">
        <v>933</v>
      </c>
      <c r="B131" s="6" t="s">
        <v>934</v>
      </c>
      <c r="C131" s="6" t="s">
        <v>886</v>
      </c>
      <c r="D131" s="6" t="s">
        <v>873</v>
      </c>
      <c r="E131" s="6" t="s">
        <v>9</v>
      </c>
      <c r="F131" s="7" t="n">
        <v>0.552083333333333</v>
      </c>
      <c r="G131" s="6" t="s">
        <v>29</v>
      </c>
      <c r="H131" s="6" t="s">
        <v>95</v>
      </c>
      <c r="I131" s="6" t="s">
        <v>369</v>
      </c>
      <c r="J131" s="6" t="s">
        <v>186</v>
      </c>
    </row>
    <row r="132" customFormat="false" ht="23.85" hidden="false" customHeight="false" outlineLevel="0" collapsed="false">
      <c r="A132" s="6" t="s">
        <v>1058</v>
      </c>
      <c r="B132" s="6" t="s">
        <v>1059</v>
      </c>
      <c r="C132" s="6" t="s">
        <v>1060</v>
      </c>
      <c r="D132" s="6" t="s">
        <v>873</v>
      </c>
      <c r="E132" s="6" t="s">
        <v>9</v>
      </c>
      <c r="F132" s="7" t="n">
        <v>0.552083333333333</v>
      </c>
      <c r="G132" s="6" t="s">
        <v>29</v>
      </c>
      <c r="H132" s="6" t="s">
        <v>95</v>
      </c>
      <c r="I132" s="6" t="s">
        <v>369</v>
      </c>
      <c r="J132" s="6" t="s">
        <v>186</v>
      </c>
    </row>
    <row r="133" customFormat="false" ht="23.85" hidden="false" customHeight="false" outlineLevel="0" collapsed="false">
      <c r="A133" s="6" t="s">
        <v>1025</v>
      </c>
      <c r="B133" s="6" t="s">
        <v>890</v>
      </c>
      <c r="C133" s="6" t="s">
        <v>1026</v>
      </c>
      <c r="D133" s="6" t="s">
        <v>873</v>
      </c>
      <c r="E133" s="6" t="s">
        <v>9</v>
      </c>
      <c r="F133" s="7" t="n">
        <v>0.552083333333333</v>
      </c>
      <c r="G133" s="6" t="s">
        <v>13</v>
      </c>
      <c r="H133" s="6" t="s">
        <v>95</v>
      </c>
      <c r="I133" s="6" t="s">
        <v>374</v>
      </c>
      <c r="J133" s="6" t="s">
        <v>62</v>
      </c>
    </row>
    <row r="134" customFormat="false" ht="23.85" hidden="false" customHeight="false" outlineLevel="0" collapsed="false">
      <c r="A134" s="6" t="s">
        <v>1061</v>
      </c>
      <c r="B134" s="6" t="s">
        <v>875</v>
      </c>
      <c r="C134" s="6" t="s">
        <v>1062</v>
      </c>
      <c r="D134" s="6" t="s">
        <v>873</v>
      </c>
      <c r="E134" s="6" t="s">
        <v>9</v>
      </c>
      <c r="F134" s="7" t="n">
        <v>0.552083333333333</v>
      </c>
      <c r="G134" s="6" t="s">
        <v>13</v>
      </c>
      <c r="H134" s="6" t="s">
        <v>95</v>
      </c>
      <c r="I134" s="6" t="s">
        <v>374</v>
      </c>
      <c r="J134" s="6" t="s">
        <v>62</v>
      </c>
    </row>
    <row r="135" customFormat="false" ht="23.85" hidden="false" customHeight="false" outlineLevel="0" collapsed="false">
      <c r="A135" s="6" t="s">
        <v>1063</v>
      </c>
      <c r="B135" s="6" t="s">
        <v>890</v>
      </c>
      <c r="C135" s="6" t="s">
        <v>551</v>
      </c>
      <c r="D135" s="6" t="s">
        <v>873</v>
      </c>
      <c r="E135" s="6" t="s">
        <v>9</v>
      </c>
      <c r="F135" s="7" t="n">
        <v>0.552083333333333</v>
      </c>
      <c r="G135" s="6" t="s">
        <v>13</v>
      </c>
      <c r="H135" s="6" t="s">
        <v>95</v>
      </c>
      <c r="I135" s="6" t="s">
        <v>374</v>
      </c>
      <c r="J135" s="6" t="s">
        <v>62</v>
      </c>
    </row>
    <row r="136" customFormat="false" ht="23.85" hidden="false" customHeight="false" outlineLevel="0" collapsed="false">
      <c r="A136" s="6" t="s">
        <v>812</v>
      </c>
      <c r="B136" s="6" t="s">
        <v>1064</v>
      </c>
      <c r="C136" s="6" t="s">
        <v>963</v>
      </c>
      <c r="D136" s="6" t="s">
        <v>873</v>
      </c>
      <c r="E136" s="6" t="s">
        <v>9</v>
      </c>
      <c r="F136" s="7" t="n">
        <v>0.555555555555556</v>
      </c>
      <c r="G136" s="6" t="s">
        <v>12</v>
      </c>
      <c r="H136" s="6" t="s">
        <v>95</v>
      </c>
      <c r="I136" s="6" t="s">
        <v>379</v>
      </c>
      <c r="J136" s="6" t="s">
        <v>197</v>
      </c>
    </row>
    <row r="137" customFormat="false" ht="23.85" hidden="false" customHeight="false" outlineLevel="0" collapsed="false">
      <c r="A137" s="6" t="s">
        <v>809</v>
      </c>
      <c r="B137" s="6" t="s">
        <v>1065</v>
      </c>
      <c r="C137" s="6" t="s">
        <v>1066</v>
      </c>
      <c r="D137" s="6" t="s">
        <v>873</v>
      </c>
      <c r="E137" s="6" t="s">
        <v>9</v>
      </c>
      <c r="F137" s="7" t="n">
        <v>0.555555555555556</v>
      </c>
      <c r="G137" s="6" t="s">
        <v>12</v>
      </c>
      <c r="H137" s="6" t="s">
        <v>95</v>
      </c>
      <c r="I137" s="6" t="s">
        <v>379</v>
      </c>
      <c r="J137" s="6" t="s">
        <v>197</v>
      </c>
    </row>
    <row r="138" customFormat="false" ht="23.85" hidden="false" customHeight="false" outlineLevel="0" collapsed="false">
      <c r="A138" s="6" t="s">
        <v>1067</v>
      </c>
      <c r="B138" s="6" t="s">
        <v>1068</v>
      </c>
      <c r="C138" s="6" t="s">
        <v>1018</v>
      </c>
      <c r="D138" s="6" t="s">
        <v>873</v>
      </c>
      <c r="E138" s="6" t="s">
        <v>9</v>
      </c>
      <c r="F138" s="7" t="n">
        <v>0.555555555555556</v>
      </c>
      <c r="G138" s="6" t="s">
        <v>12</v>
      </c>
      <c r="H138" s="6" t="s">
        <v>95</v>
      </c>
      <c r="I138" s="6" t="s">
        <v>379</v>
      </c>
      <c r="J138" s="6" t="s">
        <v>197</v>
      </c>
    </row>
    <row r="139" customFormat="false" ht="23.85" hidden="false" customHeight="false" outlineLevel="0" collapsed="false">
      <c r="A139" s="6" t="s">
        <v>1069</v>
      </c>
      <c r="B139" s="6" t="s">
        <v>1070</v>
      </c>
      <c r="C139" s="6" t="s">
        <v>1071</v>
      </c>
      <c r="D139" s="6" t="s">
        <v>873</v>
      </c>
      <c r="E139" s="6" t="s">
        <v>9</v>
      </c>
      <c r="F139" s="7" t="n">
        <v>0.555555555555556</v>
      </c>
      <c r="G139" s="6" t="s">
        <v>25</v>
      </c>
      <c r="H139" s="6" t="s">
        <v>95</v>
      </c>
      <c r="I139" s="6" t="s">
        <v>384</v>
      </c>
      <c r="J139" s="6" t="s">
        <v>245</v>
      </c>
    </row>
    <row r="140" customFormat="false" ht="23.85" hidden="false" customHeight="false" outlineLevel="0" collapsed="false">
      <c r="A140" s="6" t="s">
        <v>1072</v>
      </c>
      <c r="B140" s="6" t="s">
        <v>936</v>
      </c>
      <c r="C140" s="6" t="s">
        <v>300</v>
      </c>
      <c r="D140" s="6" t="s">
        <v>873</v>
      </c>
      <c r="E140" s="6" t="s">
        <v>9</v>
      </c>
      <c r="F140" s="7" t="n">
        <v>0.555555555555556</v>
      </c>
      <c r="G140" s="6" t="s">
        <v>25</v>
      </c>
      <c r="H140" s="6" t="s">
        <v>95</v>
      </c>
      <c r="I140" s="6" t="s">
        <v>384</v>
      </c>
      <c r="J140" s="6" t="s">
        <v>245</v>
      </c>
    </row>
    <row r="141" customFormat="false" ht="23.85" hidden="false" customHeight="false" outlineLevel="0" collapsed="false">
      <c r="A141" s="6" t="s">
        <v>1073</v>
      </c>
      <c r="B141" s="6" t="s">
        <v>1074</v>
      </c>
      <c r="C141" s="6" t="s">
        <v>1075</v>
      </c>
      <c r="D141" s="6" t="s">
        <v>873</v>
      </c>
      <c r="E141" s="6" t="s">
        <v>9</v>
      </c>
      <c r="F141" s="7" t="n">
        <v>0.555555555555556</v>
      </c>
      <c r="G141" s="6" t="s">
        <v>25</v>
      </c>
      <c r="H141" s="6" t="s">
        <v>95</v>
      </c>
      <c r="I141" s="6" t="s">
        <v>384</v>
      </c>
      <c r="J141" s="6" t="s">
        <v>245</v>
      </c>
    </row>
    <row r="142" customFormat="false" ht="23.85" hidden="false" customHeight="false" outlineLevel="0" collapsed="false">
      <c r="A142" s="6" t="s">
        <v>949</v>
      </c>
      <c r="B142" s="6" t="s">
        <v>950</v>
      </c>
      <c r="C142" s="6" t="s">
        <v>951</v>
      </c>
      <c r="D142" s="6" t="s">
        <v>873</v>
      </c>
      <c r="E142" s="6" t="s">
        <v>9</v>
      </c>
      <c r="F142" s="7" t="n">
        <v>0.555555555555556</v>
      </c>
      <c r="G142" s="6" t="s">
        <v>20</v>
      </c>
      <c r="H142" s="6" t="s">
        <v>95</v>
      </c>
      <c r="I142" s="6" t="s">
        <v>389</v>
      </c>
      <c r="J142" s="6" t="s">
        <v>220</v>
      </c>
    </row>
    <row r="143" customFormat="false" ht="23.85" hidden="false" customHeight="false" outlineLevel="0" collapsed="false">
      <c r="A143" s="6" t="s">
        <v>1076</v>
      </c>
      <c r="B143" s="6" t="s">
        <v>1077</v>
      </c>
      <c r="C143" s="6" t="s">
        <v>1078</v>
      </c>
      <c r="D143" s="6" t="s">
        <v>873</v>
      </c>
      <c r="E143" s="6" t="s">
        <v>9</v>
      </c>
      <c r="F143" s="7" t="n">
        <v>0.555555555555556</v>
      </c>
      <c r="G143" s="6" t="s">
        <v>20</v>
      </c>
      <c r="H143" s="6" t="s">
        <v>95</v>
      </c>
      <c r="I143" s="6" t="s">
        <v>389</v>
      </c>
      <c r="J143" s="6" t="s">
        <v>220</v>
      </c>
    </row>
    <row r="144" customFormat="false" ht="23.85" hidden="false" customHeight="false" outlineLevel="0" collapsed="false">
      <c r="A144" s="6" t="s">
        <v>1079</v>
      </c>
      <c r="B144" s="6" t="s">
        <v>1080</v>
      </c>
      <c r="C144" s="6" t="s">
        <v>1081</v>
      </c>
      <c r="D144" s="6" t="s">
        <v>873</v>
      </c>
      <c r="E144" s="6" t="s">
        <v>9</v>
      </c>
      <c r="F144" s="7" t="n">
        <v>0.555555555555556</v>
      </c>
      <c r="G144" s="6" t="s">
        <v>20</v>
      </c>
      <c r="H144" s="6" t="s">
        <v>95</v>
      </c>
      <c r="I144" s="6" t="s">
        <v>389</v>
      </c>
      <c r="J144" s="6" t="s">
        <v>220</v>
      </c>
    </row>
    <row r="145" customFormat="false" ht="23.85" hidden="false" customHeight="false" outlineLevel="0" collapsed="false">
      <c r="A145" s="6" t="s">
        <v>1082</v>
      </c>
      <c r="B145" s="6" t="s">
        <v>1083</v>
      </c>
      <c r="C145" s="6" t="s">
        <v>214</v>
      </c>
      <c r="D145" s="6" t="s">
        <v>873</v>
      </c>
      <c r="E145" s="6" t="s">
        <v>9</v>
      </c>
      <c r="F145" s="7" t="n">
        <v>0.555555555555556</v>
      </c>
      <c r="G145" s="6" t="s">
        <v>19</v>
      </c>
      <c r="H145" s="6" t="s">
        <v>95</v>
      </c>
      <c r="I145" s="6" t="s">
        <v>394</v>
      </c>
      <c r="J145" s="6" t="s">
        <v>204</v>
      </c>
    </row>
    <row r="146" customFormat="false" ht="23.85" hidden="false" customHeight="false" outlineLevel="0" collapsed="false">
      <c r="A146" s="6" t="s">
        <v>1084</v>
      </c>
      <c r="B146" s="6" t="s">
        <v>1085</v>
      </c>
      <c r="C146" s="6" t="s">
        <v>1086</v>
      </c>
      <c r="D146" s="6" t="s">
        <v>873</v>
      </c>
      <c r="E146" s="6" t="s">
        <v>9</v>
      </c>
      <c r="F146" s="7" t="n">
        <v>0.555555555555556</v>
      </c>
      <c r="G146" s="6" t="s">
        <v>19</v>
      </c>
      <c r="H146" s="6" t="s">
        <v>95</v>
      </c>
      <c r="I146" s="6" t="s">
        <v>394</v>
      </c>
      <c r="J146" s="6" t="s">
        <v>204</v>
      </c>
    </row>
    <row r="147" customFormat="false" ht="23.85" hidden="false" customHeight="false" outlineLevel="0" collapsed="false">
      <c r="A147" s="6" t="s">
        <v>1087</v>
      </c>
      <c r="B147" s="6" t="s">
        <v>1088</v>
      </c>
      <c r="C147" s="6" t="s">
        <v>1062</v>
      </c>
      <c r="D147" s="6" t="s">
        <v>873</v>
      </c>
      <c r="E147" s="6" t="s">
        <v>9</v>
      </c>
      <c r="F147" s="7" t="n">
        <v>0.555555555555556</v>
      </c>
      <c r="G147" s="6" t="s">
        <v>19</v>
      </c>
      <c r="H147" s="6" t="s">
        <v>95</v>
      </c>
      <c r="I147" s="6" t="s">
        <v>394</v>
      </c>
      <c r="J147" s="6" t="s">
        <v>204</v>
      </c>
    </row>
    <row r="148" customFormat="false" ht="15" hidden="false" customHeight="false" outlineLevel="0" collapsed="false">
      <c r="A148" s="6" t="s">
        <v>1089</v>
      </c>
      <c r="B148" s="6" t="s">
        <v>1090</v>
      </c>
      <c r="C148" s="6" t="s">
        <v>402</v>
      </c>
      <c r="D148" s="6" t="s">
        <v>873</v>
      </c>
      <c r="E148" s="6" t="s">
        <v>9</v>
      </c>
      <c r="F148" s="7" t="n">
        <v>0.5625</v>
      </c>
      <c r="G148" s="6" t="s">
        <v>28</v>
      </c>
      <c r="H148" s="6" t="s">
        <v>251</v>
      </c>
      <c r="I148" s="6" t="s">
        <v>399</v>
      </c>
      <c r="J148" s="6" t="s">
        <v>28</v>
      </c>
    </row>
    <row r="149" customFormat="false" ht="15" hidden="false" customHeight="false" outlineLevel="0" collapsed="false">
      <c r="A149" s="6" t="s">
        <v>1091</v>
      </c>
      <c r="B149" s="6" t="s">
        <v>1092</v>
      </c>
      <c r="C149" s="6" t="s">
        <v>402</v>
      </c>
      <c r="D149" s="6" t="s">
        <v>873</v>
      </c>
      <c r="E149" s="6" t="s">
        <v>9</v>
      </c>
      <c r="F149" s="7" t="n">
        <v>0.5625</v>
      </c>
      <c r="G149" s="6" t="s">
        <v>28</v>
      </c>
      <c r="H149" s="6" t="s">
        <v>251</v>
      </c>
      <c r="I149" s="6" t="s">
        <v>399</v>
      </c>
      <c r="J149" s="6" t="s">
        <v>28</v>
      </c>
    </row>
    <row r="150" customFormat="false" ht="23.85" hidden="false" customHeight="false" outlineLevel="0" collapsed="false">
      <c r="A150" s="6" t="s">
        <v>405</v>
      </c>
      <c r="B150" s="6" t="s">
        <v>890</v>
      </c>
      <c r="C150" s="6" t="s">
        <v>406</v>
      </c>
      <c r="D150" s="6" t="s">
        <v>873</v>
      </c>
      <c r="E150" s="6" t="s">
        <v>9</v>
      </c>
      <c r="F150" s="7" t="n">
        <v>0.569444444444444</v>
      </c>
      <c r="G150" s="6" t="s">
        <v>28</v>
      </c>
      <c r="H150" s="6" t="s">
        <v>251</v>
      </c>
      <c r="I150" s="6" t="s">
        <v>403</v>
      </c>
      <c r="J150" s="6" t="s">
        <v>28</v>
      </c>
    </row>
    <row r="151" customFormat="false" ht="35.05" hidden="false" customHeight="false" outlineLevel="0" collapsed="false">
      <c r="A151" s="6" t="s">
        <v>408</v>
      </c>
      <c r="B151" s="6"/>
      <c r="C151" s="6"/>
      <c r="D151" s="6" t="s">
        <v>52</v>
      </c>
      <c r="E151" s="6" t="s">
        <v>9</v>
      </c>
      <c r="F151" s="7" t="n">
        <v>0.575694444444444</v>
      </c>
      <c r="G151" s="6" t="s">
        <v>30</v>
      </c>
      <c r="H151" s="6" t="s">
        <v>30</v>
      </c>
      <c r="I151" s="6" t="s">
        <v>407</v>
      </c>
      <c r="J151" s="6" t="s">
        <v>180</v>
      </c>
    </row>
    <row r="152" customFormat="false" ht="23.85" hidden="false" customHeight="false" outlineLevel="0" collapsed="false">
      <c r="A152" s="6" t="s">
        <v>412</v>
      </c>
      <c r="B152" s="6" t="s">
        <v>1010</v>
      </c>
      <c r="C152" s="6" t="s">
        <v>413</v>
      </c>
      <c r="D152" s="6" t="s">
        <v>873</v>
      </c>
      <c r="E152" s="6" t="s">
        <v>9</v>
      </c>
      <c r="F152" s="7" t="n">
        <v>0.576388888888889</v>
      </c>
      <c r="G152" s="6" t="s">
        <v>28</v>
      </c>
      <c r="H152" s="6" t="s">
        <v>251</v>
      </c>
      <c r="I152" s="6" t="s">
        <v>410</v>
      </c>
      <c r="J152" s="6" t="s">
        <v>28</v>
      </c>
    </row>
    <row r="153" customFormat="false" ht="23.85" hidden="false" customHeight="false" outlineLevel="0" collapsed="false">
      <c r="A153" s="6" t="s">
        <v>1093</v>
      </c>
      <c r="B153" s="6"/>
      <c r="C153" s="6"/>
      <c r="D153" s="6" t="s">
        <v>52</v>
      </c>
      <c r="E153" s="6" t="s">
        <v>9</v>
      </c>
      <c r="F153" s="7" t="n">
        <v>0.576388888888889</v>
      </c>
      <c r="G153" s="6" t="s">
        <v>30</v>
      </c>
      <c r="H153" s="6" t="s">
        <v>30</v>
      </c>
      <c r="I153" s="6" t="s">
        <v>414</v>
      </c>
      <c r="J153" s="6" t="s">
        <v>417</v>
      </c>
    </row>
    <row r="154" customFormat="false" ht="23.85" hidden="false" customHeight="false" outlineLevel="0" collapsed="false">
      <c r="A154" s="6" t="s">
        <v>1094</v>
      </c>
      <c r="B154" s="6"/>
      <c r="C154" s="6"/>
      <c r="D154" s="6" t="s">
        <v>52</v>
      </c>
      <c r="E154" s="6" t="s">
        <v>9</v>
      </c>
      <c r="F154" s="7" t="n">
        <v>0.576388888888889</v>
      </c>
      <c r="G154" s="6" t="s">
        <v>30</v>
      </c>
      <c r="H154" s="6" t="s">
        <v>30</v>
      </c>
      <c r="I154" s="6" t="s">
        <v>414</v>
      </c>
      <c r="J154" s="6" t="s">
        <v>417</v>
      </c>
    </row>
    <row r="155" customFormat="false" ht="23.85" hidden="false" customHeight="false" outlineLevel="0" collapsed="false">
      <c r="A155" s="6" t="s">
        <v>1095</v>
      </c>
      <c r="B155" s="6"/>
      <c r="C155" s="6"/>
      <c r="D155" s="6" t="s">
        <v>52</v>
      </c>
      <c r="E155" s="6" t="s">
        <v>9</v>
      </c>
      <c r="F155" s="7" t="n">
        <v>0.577083333333333</v>
      </c>
      <c r="G155" s="6" t="s">
        <v>30</v>
      </c>
      <c r="H155" s="6" t="s">
        <v>30</v>
      </c>
      <c r="I155" s="6" t="s">
        <v>419</v>
      </c>
      <c r="J155" s="6" t="s">
        <v>240</v>
      </c>
    </row>
    <row r="156" customFormat="false" ht="23.85" hidden="false" customHeight="false" outlineLevel="0" collapsed="false">
      <c r="A156" s="6" t="s">
        <v>1096</v>
      </c>
      <c r="B156" s="6"/>
      <c r="C156" s="6"/>
      <c r="D156" s="6" t="s">
        <v>52</v>
      </c>
      <c r="E156" s="6" t="s">
        <v>9</v>
      </c>
      <c r="F156" s="7" t="n">
        <v>0.577083333333333</v>
      </c>
      <c r="G156" s="6" t="s">
        <v>30</v>
      </c>
      <c r="H156" s="6" t="s">
        <v>30</v>
      </c>
      <c r="I156" s="6" t="s">
        <v>419</v>
      </c>
      <c r="J156" s="6" t="s">
        <v>240</v>
      </c>
    </row>
    <row r="157" customFormat="false" ht="23.85" hidden="false" customHeight="false" outlineLevel="0" collapsed="false">
      <c r="A157" s="6" t="s">
        <v>1097</v>
      </c>
      <c r="B157" s="6"/>
      <c r="C157" s="6"/>
      <c r="D157" s="6" t="s">
        <v>52</v>
      </c>
      <c r="E157" s="6" t="s">
        <v>9</v>
      </c>
      <c r="F157" s="7" t="n">
        <v>0.577083333333333</v>
      </c>
      <c r="G157" s="6" t="s">
        <v>30</v>
      </c>
      <c r="H157" s="6" t="s">
        <v>30</v>
      </c>
      <c r="I157" s="6" t="s">
        <v>419</v>
      </c>
      <c r="J157" s="6" t="s">
        <v>240</v>
      </c>
    </row>
    <row r="158" customFormat="false" ht="15" hidden="false" customHeight="false" outlineLevel="0" collapsed="false">
      <c r="A158" s="6" t="s">
        <v>424</v>
      </c>
      <c r="B158" s="6" t="s">
        <v>890</v>
      </c>
      <c r="C158" s="6" t="s">
        <v>425</v>
      </c>
      <c r="D158" s="6" t="s">
        <v>873</v>
      </c>
      <c r="E158" s="6" t="s">
        <v>9</v>
      </c>
      <c r="F158" s="7" t="n">
        <v>0.583333333333333</v>
      </c>
      <c r="G158" s="6" t="s">
        <v>28</v>
      </c>
      <c r="H158" s="6" t="s">
        <v>251</v>
      </c>
      <c r="I158" s="6" t="s">
        <v>422</v>
      </c>
      <c r="J158" s="6" t="s">
        <v>28</v>
      </c>
    </row>
    <row r="159" customFormat="false" ht="23.85" hidden="false" customHeight="false" outlineLevel="0" collapsed="false">
      <c r="A159" s="6" t="s">
        <v>1061</v>
      </c>
      <c r="B159" s="6" t="s">
        <v>875</v>
      </c>
      <c r="C159" s="6" t="s">
        <v>1062</v>
      </c>
      <c r="D159" s="6" t="s">
        <v>873</v>
      </c>
      <c r="E159" s="6" t="s">
        <v>9</v>
      </c>
      <c r="F159" s="7" t="n">
        <v>0.583333333333333</v>
      </c>
      <c r="G159" s="6" t="s">
        <v>13</v>
      </c>
      <c r="H159" s="6" t="s">
        <v>95</v>
      </c>
      <c r="I159" s="6" t="s">
        <v>426</v>
      </c>
      <c r="J159" s="6" t="s">
        <v>62</v>
      </c>
    </row>
    <row r="160" customFormat="false" ht="23.85" hidden="false" customHeight="false" outlineLevel="0" collapsed="false">
      <c r="A160" s="6" t="s">
        <v>881</v>
      </c>
      <c r="B160" s="6" t="s">
        <v>875</v>
      </c>
      <c r="C160" s="6" t="s">
        <v>61</v>
      </c>
      <c r="D160" s="6" t="s">
        <v>873</v>
      </c>
      <c r="E160" s="6" t="s">
        <v>9</v>
      </c>
      <c r="F160" s="7" t="n">
        <v>0.583333333333333</v>
      </c>
      <c r="G160" s="6" t="s">
        <v>13</v>
      </c>
      <c r="H160" s="6" t="s">
        <v>95</v>
      </c>
      <c r="I160" s="6" t="s">
        <v>426</v>
      </c>
      <c r="J160" s="6" t="s">
        <v>62</v>
      </c>
    </row>
    <row r="161" customFormat="false" ht="23.85" hidden="false" customHeight="false" outlineLevel="0" collapsed="false">
      <c r="A161" s="6" t="s">
        <v>968</v>
      </c>
      <c r="B161" s="6" t="s">
        <v>875</v>
      </c>
      <c r="C161" s="6" t="s">
        <v>969</v>
      </c>
      <c r="D161" s="6" t="s">
        <v>873</v>
      </c>
      <c r="E161" s="6" t="s">
        <v>9</v>
      </c>
      <c r="F161" s="7" t="n">
        <v>0.583333333333333</v>
      </c>
      <c r="G161" s="6" t="s">
        <v>13</v>
      </c>
      <c r="H161" s="6" t="s">
        <v>95</v>
      </c>
      <c r="I161" s="6" t="s">
        <v>426</v>
      </c>
      <c r="J161" s="6" t="s">
        <v>62</v>
      </c>
    </row>
    <row r="162" customFormat="false" ht="15" hidden="false" customHeight="false" outlineLevel="0" collapsed="false">
      <c r="A162" s="6" t="s">
        <v>432</v>
      </c>
      <c r="B162" s="6" t="s">
        <v>1098</v>
      </c>
      <c r="C162" s="6" t="s">
        <v>433</v>
      </c>
      <c r="D162" s="6" t="s">
        <v>873</v>
      </c>
      <c r="E162" s="6" t="s">
        <v>9</v>
      </c>
      <c r="F162" s="7" t="n">
        <v>0.590277777777778</v>
      </c>
      <c r="G162" s="6" t="s">
        <v>28</v>
      </c>
      <c r="H162" s="6" t="s">
        <v>251</v>
      </c>
      <c r="I162" s="6" t="s">
        <v>430</v>
      </c>
      <c r="J162" s="6" t="s">
        <v>28</v>
      </c>
    </row>
    <row r="163" customFormat="false" ht="23.85" hidden="false" customHeight="false" outlineLevel="0" collapsed="false">
      <c r="A163" s="6" t="s">
        <v>436</v>
      </c>
      <c r="B163" s="6" t="s">
        <v>1099</v>
      </c>
      <c r="C163" s="6" t="s">
        <v>437</v>
      </c>
      <c r="D163" s="6" t="s">
        <v>873</v>
      </c>
      <c r="E163" s="6" t="s">
        <v>9</v>
      </c>
      <c r="F163" s="7" t="n">
        <v>0.597222222222222</v>
      </c>
      <c r="G163" s="6" t="s">
        <v>28</v>
      </c>
      <c r="H163" s="6" t="s">
        <v>251</v>
      </c>
      <c r="I163" s="6" t="s">
        <v>434</v>
      </c>
      <c r="J163" s="6" t="s">
        <v>28</v>
      </c>
    </row>
    <row r="164" customFormat="false" ht="23.85" hidden="false" customHeight="false" outlineLevel="0" collapsed="false">
      <c r="A164" s="6" t="s">
        <v>52</v>
      </c>
      <c r="B164" s="6"/>
      <c r="C164" s="6" t="s">
        <v>53</v>
      </c>
      <c r="D164" s="6" t="s">
        <v>873</v>
      </c>
      <c r="E164" s="6" t="s">
        <v>9</v>
      </c>
      <c r="F164" s="7" t="n">
        <v>0.607638888888889</v>
      </c>
      <c r="G164" s="6" t="s">
        <v>24</v>
      </c>
      <c r="H164" s="6" t="s">
        <v>24</v>
      </c>
      <c r="I164" s="6" t="s">
        <v>438</v>
      </c>
      <c r="J164" s="6" t="s">
        <v>54</v>
      </c>
    </row>
    <row r="165" customFormat="false" ht="15" hidden="false" customHeight="false" outlineLevel="0" collapsed="false">
      <c r="A165" s="6" t="s">
        <v>1100</v>
      </c>
      <c r="B165" s="6" t="s">
        <v>1101</v>
      </c>
      <c r="C165" s="6" t="s">
        <v>1102</v>
      </c>
      <c r="D165" s="6" t="s">
        <v>873</v>
      </c>
      <c r="E165" s="6" t="s">
        <v>9</v>
      </c>
      <c r="F165" s="7" t="n">
        <v>0.649305555555556</v>
      </c>
      <c r="G165" s="6" t="s">
        <v>13</v>
      </c>
      <c r="H165" s="6" t="s">
        <v>181</v>
      </c>
      <c r="I165" s="6" t="s">
        <v>440</v>
      </c>
      <c r="J165" s="6" t="s">
        <v>62</v>
      </c>
    </row>
    <row r="166" customFormat="false" ht="15" hidden="false" customHeight="false" outlineLevel="0" collapsed="false">
      <c r="A166" s="6" t="s">
        <v>918</v>
      </c>
      <c r="B166" s="6" t="s">
        <v>1103</v>
      </c>
      <c r="C166" s="6" t="s">
        <v>1104</v>
      </c>
      <c r="D166" s="6" t="s">
        <v>873</v>
      </c>
      <c r="E166" s="6" t="s">
        <v>9</v>
      </c>
      <c r="F166" s="7" t="n">
        <v>0.649305555555556</v>
      </c>
      <c r="G166" s="6" t="s">
        <v>13</v>
      </c>
      <c r="H166" s="6" t="s">
        <v>181</v>
      </c>
      <c r="I166" s="6" t="s">
        <v>440</v>
      </c>
      <c r="J166" s="6" t="s">
        <v>62</v>
      </c>
    </row>
    <row r="167" customFormat="false" ht="15" hidden="false" customHeight="false" outlineLevel="0" collapsed="false">
      <c r="A167" s="6" t="s">
        <v>1105</v>
      </c>
      <c r="B167" s="6" t="s">
        <v>1106</v>
      </c>
      <c r="C167" s="6" t="s">
        <v>1107</v>
      </c>
      <c r="D167" s="6" t="s">
        <v>873</v>
      </c>
      <c r="E167" s="6" t="s">
        <v>9</v>
      </c>
      <c r="F167" s="7" t="n">
        <v>0.652777777777778</v>
      </c>
      <c r="G167" s="6" t="s">
        <v>20</v>
      </c>
      <c r="H167" s="6" t="s">
        <v>181</v>
      </c>
      <c r="I167" s="6" t="s">
        <v>445</v>
      </c>
      <c r="J167" s="6" t="s">
        <v>220</v>
      </c>
    </row>
    <row r="168" customFormat="false" ht="15" hidden="false" customHeight="false" outlineLevel="0" collapsed="false">
      <c r="A168" s="6" t="s">
        <v>1108</v>
      </c>
      <c r="B168" s="6" t="s">
        <v>1109</v>
      </c>
      <c r="C168" s="6" t="s">
        <v>1110</v>
      </c>
      <c r="D168" s="6" t="s">
        <v>873</v>
      </c>
      <c r="E168" s="6" t="s">
        <v>9</v>
      </c>
      <c r="F168" s="7" t="n">
        <v>0.652777777777778</v>
      </c>
      <c r="G168" s="6" t="s">
        <v>20</v>
      </c>
      <c r="H168" s="6" t="s">
        <v>181</v>
      </c>
      <c r="I168" s="6" t="s">
        <v>445</v>
      </c>
      <c r="J168" s="6" t="s">
        <v>220</v>
      </c>
    </row>
    <row r="169" customFormat="false" ht="23.85" hidden="false" customHeight="false" outlineLevel="0" collapsed="false">
      <c r="A169" s="6" t="s">
        <v>1111</v>
      </c>
      <c r="B169" s="6" t="s">
        <v>1085</v>
      </c>
      <c r="C169" s="6" t="s">
        <v>1112</v>
      </c>
      <c r="D169" s="6" t="s">
        <v>873</v>
      </c>
      <c r="E169" s="6" t="s">
        <v>9</v>
      </c>
      <c r="F169" s="7" t="n">
        <v>0.652777777777778</v>
      </c>
      <c r="G169" s="6" t="s">
        <v>19</v>
      </c>
      <c r="H169" s="6" t="s">
        <v>181</v>
      </c>
      <c r="I169" s="6" t="s">
        <v>449</v>
      </c>
      <c r="J169" s="6" t="s">
        <v>204</v>
      </c>
    </row>
    <row r="170" customFormat="false" ht="23.85" hidden="false" customHeight="false" outlineLevel="0" collapsed="false">
      <c r="A170" s="6" t="s">
        <v>943</v>
      </c>
      <c r="B170" s="6" t="s">
        <v>944</v>
      </c>
      <c r="C170" s="6" t="s">
        <v>945</v>
      </c>
      <c r="D170" s="6" t="s">
        <v>873</v>
      </c>
      <c r="E170" s="6" t="s">
        <v>9</v>
      </c>
      <c r="F170" s="7" t="n">
        <v>0.652777777777778</v>
      </c>
      <c r="G170" s="6" t="s">
        <v>19</v>
      </c>
      <c r="H170" s="6" t="s">
        <v>181</v>
      </c>
      <c r="I170" s="6" t="s">
        <v>449</v>
      </c>
      <c r="J170" s="6" t="s">
        <v>204</v>
      </c>
    </row>
    <row r="171" customFormat="false" ht="23.85" hidden="false" customHeight="false" outlineLevel="0" collapsed="false">
      <c r="A171" s="6" t="s">
        <v>455</v>
      </c>
      <c r="B171" s="6" t="s">
        <v>1113</v>
      </c>
      <c r="C171" s="6" t="s">
        <v>456</v>
      </c>
      <c r="D171" s="6" t="s">
        <v>873</v>
      </c>
      <c r="E171" s="6" t="s">
        <v>9</v>
      </c>
      <c r="F171" s="7" t="n">
        <v>0.652777777777778</v>
      </c>
      <c r="G171" s="6" t="s">
        <v>12</v>
      </c>
      <c r="H171" s="6" t="s">
        <v>192</v>
      </c>
      <c r="I171" s="6" t="s">
        <v>453</v>
      </c>
      <c r="J171" s="6" t="s">
        <v>197</v>
      </c>
    </row>
    <row r="172" customFormat="false" ht="35.05" hidden="false" customHeight="false" outlineLevel="0" collapsed="false">
      <c r="A172" s="6" t="s">
        <v>1114</v>
      </c>
      <c r="B172" s="6" t="s">
        <v>1115</v>
      </c>
      <c r="C172" s="6" t="s">
        <v>1112</v>
      </c>
      <c r="D172" s="6" t="s">
        <v>873</v>
      </c>
      <c r="E172" s="6" t="s">
        <v>9</v>
      </c>
      <c r="F172" s="7" t="n">
        <v>0.652777777777778</v>
      </c>
      <c r="G172" s="6" t="s">
        <v>26</v>
      </c>
      <c r="H172" s="6" t="s">
        <v>181</v>
      </c>
      <c r="I172" s="6" t="s">
        <v>457</v>
      </c>
      <c r="J172" s="6" t="s">
        <v>240</v>
      </c>
    </row>
    <row r="173" customFormat="false" ht="35.05" hidden="false" customHeight="false" outlineLevel="0" collapsed="false">
      <c r="A173" s="6" t="s">
        <v>964</v>
      </c>
      <c r="B173" s="6" t="s">
        <v>965</v>
      </c>
      <c r="C173" s="6" t="s">
        <v>966</v>
      </c>
      <c r="D173" s="6" t="s">
        <v>873</v>
      </c>
      <c r="E173" s="6" t="s">
        <v>9</v>
      </c>
      <c r="F173" s="7" t="n">
        <v>0.652777777777778</v>
      </c>
      <c r="G173" s="6" t="s">
        <v>26</v>
      </c>
      <c r="H173" s="6" t="s">
        <v>181</v>
      </c>
      <c r="I173" s="6" t="s">
        <v>457</v>
      </c>
      <c r="J173" s="6" t="s">
        <v>240</v>
      </c>
    </row>
    <row r="174" customFormat="false" ht="35.05" hidden="false" customHeight="false" outlineLevel="0" collapsed="false">
      <c r="A174" s="6" t="s">
        <v>1116</v>
      </c>
      <c r="B174" s="6" t="s">
        <v>1117</v>
      </c>
      <c r="C174" s="6" t="s">
        <v>1118</v>
      </c>
      <c r="D174" s="6" t="s">
        <v>873</v>
      </c>
      <c r="E174" s="6" t="s">
        <v>9</v>
      </c>
      <c r="F174" s="7" t="n">
        <v>0.652777777777778</v>
      </c>
      <c r="G174" s="6" t="s">
        <v>26</v>
      </c>
      <c r="H174" s="6" t="s">
        <v>181</v>
      </c>
      <c r="I174" s="6" t="s">
        <v>457</v>
      </c>
      <c r="J174" s="6" t="s">
        <v>240</v>
      </c>
    </row>
    <row r="175" customFormat="false" ht="23.85" hidden="false" customHeight="false" outlineLevel="0" collapsed="false">
      <c r="A175" s="6" t="s">
        <v>1119</v>
      </c>
      <c r="B175" s="6" t="s">
        <v>1120</v>
      </c>
      <c r="C175" s="6" t="s">
        <v>1121</v>
      </c>
      <c r="D175" s="6" t="s">
        <v>873</v>
      </c>
      <c r="E175" s="6" t="s">
        <v>9</v>
      </c>
      <c r="F175" s="7" t="n">
        <v>0.652777777777778</v>
      </c>
      <c r="G175" s="6" t="s">
        <v>16</v>
      </c>
      <c r="H175" s="6" t="s">
        <v>181</v>
      </c>
      <c r="I175" s="6" t="s">
        <v>461</v>
      </c>
      <c r="J175" s="6" t="s">
        <v>235</v>
      </c>
    </row>
    <row r="176" customFormat="false" ht="23.85" hidden="false" customHeight="false" outlineLevel="0" collapsed="false">
      <c r="A176" s="6" t="s">
        <v>1122</v>
      </c>
      <c r="B176" s="6" t="s">
        <v>1123</v>
      </c>
      <c r="C176" s="6" t="s">
        <v>1124</v>
      </c>
      <c r="D176" s="6" t="s">
        <v>873</v>
      </c>
      <c r="E176" s="6" t="s">
        <v>9</v>
      </c>
      <c r="F176" s="7" t="n">
        <v>0.652777777777778</v>
      </c>
      <c r="G176" s="6" t="s">
        <v>16</v>
      </c>
      <c r="H176" s="6" t="s">
        <v>181</v>
      </c>
      <c r="I176" s="6" t="s">
        <v>461</v>
      </c>
      <c r="J176" s="6" t="s">
        <v>235</v>
      </c>
    </row>
    <row r="177" customFormat="false" ht="23.85" hidden="false" customHeight="false" outlineLevel="0" collapsed="false">
      <c r="A177" s="6" t="s">
        <v>1058</v>
      </c>
      <c r="B177" s="6" t="s">
        <v>1059</v>
      </c>
      <c r="C177" s="6" t="s">
        <v>1060</v>
      </c>
      <c r="D177" s="6" t="s">
        <v>873</v>
      </c>
      <c r="E177" s="6" t="s">
        <v>9</v>
      </c>
      <c r="F177" s="7" t="n">
        <v>0.652777777777778</v>
      </c>
      <c r="G177" s="6" t="s">
        <v>29</v>
      </c>
      <c r="H177" s="6" t="s">
        <v>181</v>
      </c>
      <c r="I177" s="6" t="s">
        <v>465</v>
      </c>
      <c r="J177" s="6" t="s">
        <v>186</v>
      </c>
    </row>
    <row r="178" customFormat="false" ht="23.85" hidden="false" customHeight="false" outlineLevel="0" collapsed="false">
      <c r="A178" s="6" t="s">
        <v>935</v>
      </c>
      <c r="B178" s="6" t="s">
        <v>936</v>
      </c>
      <c r="C178" s="6" t="s">
        <v>937</v>
      </c>
      <c r="D178" s="6" t="s">
        <v>873</v>
      </c>
      <c r="E178" s="6" t="s">
        <v>9</v>
      </c>
      <c r="F178" s="7" t="n">
        <v>0.652777777777778</v>
      </c>
      <c r="G178" s="6" t="s">
        <v>29</v>
      </c>
      <c r="H178" s="6" t="s">
        <v>181</v>
      </c>
      <c r="I178" s="6" t="s">
        <v>465</v>
      </c>
      <c r="J178" s="6" t="s">
        <v>186</v>
      </c>
    </row>
    <row r="179" customFormat="false" ht="23.85" hidden="false" customHeight="false" outlineLevel="0" collapsed="false">
      <c r="A179" s="6" t="s">
        <v>471</v>
      </c>
      <c r="B179" s="6" t="s">
        <v>1125</v>
      </c>
      <c r="C179" s="6" t="s">
        <v>472</v>
      </c>
      <c r="D179" s="6" t="s">
        <v>873</v>
      </c>
      <c r="E179" s="6" t="s">
        <v>9</v>
      </c>
      <c r="F179" s="7" t="n">
        <v>0.652777777777778</v>
      </c>
      <c r="G179" s="6" t="s">
        <v>18</v>
      </c>
      <c r="H179" s="6" t="s">
        <v>192</v>
      </c>
      <c r="I179" s="6" t="s">
        <v>469</v>
      </c>
      <c r="J179" s="6" t="s">
        <v>215</v>
      </c>
    </row>
    <row r="180" customFormat="false" ht="23.85" hidden="false" customHeight="false" outlineLevel="0" collapsed="false">
      <c r="A180" s="6" t="s">
        <v>476</v>
      </c>
      <c r="B180" s="6" t="s">
        <v>1126</v>
      </c>
      <c r="C180" s="6" t="s">
        <v>477</v>
      </c>
      <c r="D180" s="6" t="s">
        <v>873</v>
      </c>
      <c r="E180" s="6" t="s">
        <v>9</v>
      </c>
      <c r="F180" s="7" t="n">
        <v>0.652777777777778</v>
      </c>
      <c r="G180" s="6" t="s">
        <v>28</v>
      </c>
      <c r="H180" s="6" t="s">
        <v>251</v>
      </c>
      <c r="I180" s="6" t="s">
        <v>474</v>
      </c>
      <c r="J180" s="6" t="s">
        <v>28</v>
      </c>
    </row>
    <row r="181" customFormat="false" ht="23.85" hidden="false" customHeight="false" outlineLevel="0" collapsed="false">
      <c r="A181" s="6" t="s">
        <v>1127</v>
      </c>
      <c r="B181" s="6" t="s">
        <v>1128</v>
      </c>
      <c r="C181" s="6" t="s">
        <v>1129</v>
      </c>
      <c r="D181" s="6" t="s">
        <v>873</v>
      </c>
      <c r="E181" s="6" t="s">
        <v>9</v>
      </c>
      <c r="F181" s="7" t="n">
        <v>0.652777777777778</v>
      </c>
      <c r="G181" s="6" t="s">
        <v>14</v>
      </c>
      <c r="H181" s="6" t="s">
        <v>181</v>
      </c>
      <c r="I181" s="6" t="s">
        <v>478</v>
      </c>
      <c r="J181" s="6" t="s">
        <v>69</v>
      </c>
    </row>
    <row r="182" customFormat="false" ht="23.85" hidden="false" customHeight="false" outlineLevel="0" collapsed="false">
      <c r="A182" s="6" t="s">
        <v>1130</v>
      </c>
      <c r="B182" s="6" t="s">
        <v>1131</v>
      </c>
      <c r="C182" s="6" t="s">
        <v>1132</v>
      </c>
      <c r="D182" s="6" t="s">
        <v>873</v>
      </c>
      <c r="E182" s="6" t="s">
        <v>9</v>
      </c>
      <c r="F182" s="7" t="n">
        <v>0.652777777777778</v>
      </c>
      <c r="G182" s="6" t="s">
        <v>14</v>
      </c>
      <c r="H182" s="6" t="s">
        <v>181</v>
      </c>
      <c r="I182" s="6" t="s">
        <v>478</v>
      </c>
      <c r="J182" s="6" t="s">
        <v>69</v>
      </c>
    </row>
    <row r="183" customFormat="false" ht="23.85" hidden="false" customHeight="false" outlineLevel="0" collapsed="false">
      <c r="A183" s="6" t="s">
        <v>1133</v>
      </c>
      <c r="B183" s="6" t="s">
        <v>1134</v>
      </c>
      <c r="C183" s="6" t="s">
        <v>61</v>
      </c>
      <c r="D183" s="6" t="s">
        <v>873</v>
      </c>
      <c r="E183" s="6" t="s">
        <v>9</v>
      </c>
      <c r="F183" s="7" t="n">
        <v>0.652777777777778</v>
      </c>
      <c r="G183" s="6" t="s">
        <v>25</v>
      </c>
      <c r="H183" s="6" t="s">
        <v>181</v>
      </c>
      <c r="I183" s="6" t="s">
        <v>482</v>
      </c>
      <c r="J183" s="6" t="s">
        <v>245</v>
      </c>
    </row>
    <row r="184" customFormat="false" ht="23.85" hidden="false" customHeight="false" outlineLevel="0" collapsed="false">
      <c r="A184" s="6" t="s">
        <v>1135</v>
      </c>
      <c r="B184" s="6" t="s">
        <v>1136</v>
      </c>
      <c r="C184" s="6" t="s">
        <v>1038</v>
      </c>
      <c r="D184" s="6" t="s">
        <v>873</v>
      </c>
      <c r="E184" s="6" t="s">
        <v>9</v>
      </c>
      <c r="F184" s="7" t="n">
        <v>0.652777777777778</v>
      </c>
      <c r="G184" s="6" t="s">
        <v>25</v>
      </c>
      <c r="H184" s="6" t="s">
        <v>181</v>
      </c>
      <c r="I184" s="6" t="s">
        <v>482</v>
      </c>
      <c r="J184" s="6" t="s">
        <v>245</v>
      </c>
    </row>
    <row r="185" customFormat="false" ht="23.85" hidden="false" customHeight="false" outlineLevel="0" collapsed="false">
      <c r="A185" s="6" t="s">
        <v>1137</v>
      </c>
      <c r="B185" s="6" t="s">
        <v>1138</v>
      </c>
      <c r="C185" s="6" t="s">
        <v>951</v>
      </c>
      <c r="D185" s="6" t="s">
        <v>873</v>
      </c>
      <c r="E185" s="6" t="s">
        <v>9</v>
      </c>
      <c r="F185" s="7" t="n">
        <v>0.652777777777778</v>
      </c>
      <c r="G185" s="6" t="s">
        <v>23</v>
      </c>
      <c r="H185" s="6" t="s">
        <v>181</v>
      </c>
      <c r="I185" s="6" t="s">
        <v>486</v>
      </c>
      <c r="J185" s="6" t="s">
        <v>180</v>
      </c>
    </row>
    <row r="186" customFormat="false" ht="23.85" hidden="false" customHeight="false" outlineLevel="0" collapsed="false">
      <c r="A186" s="6" t="s">
        <v>178</v>
      </c>
      <c r="B186" s="6" t="s">
        <v>932</v>
      </c>
      <c r="C186" s="6" t="s">
        <v>179</v>
      </c>
      <c r="D186" s="6" t="s">
        <v>873</v>
      </c>
      <c r="E186" s="6" t="s">
        <v>9</v>
      </c>
      <c r="F186" s="7" t="n">
        <v>0.652777777777778</v>
      </c>
      <c r="G186" s="6" t="s">
        <v>23</v>
      </c>
      <c r="H186" s="6" t="s">
        <v>181</v>
      </c>
      <c r="I186" s="6" t="s">
        <v>486</v>
      </c>
      <c r="J186" s="6" t="s">
        <v>180</v>
      </c>
    </row>
    <row r="187" customFormat="false" ht="23.85" hidden="false" customHeight="false" outlineLevel="0" collapsed="false">
      <c r="A187" s="6" t="s">
        <v>492</v>
      </c>
      <c r="B187" s="6" t="s">
        <v>1139</v>
      </c>
      <c r="C187" s="6" t="s">
        <v>493</v>
      </c>
      <c r="D187" s="6" t="s">
        <v>873</v>
      </c>
      <c r="E187" s="6" t="s">
        <v>9</v>
      </c>
      <c r="F187" s="7" t="n">
        <v>0.659722222222222</v>
      </c>
      <c r="G187" s="6" t="s">
        <v>29</v>
      </c>
      <c r="H187" s="6" t="s">
        <v>192</v>
      </c>
      <c r="I187" s="6" t="s">
        <v>490</v>
      </c>
      <c r="J187" s="6" t="s">
        <v>186</v>
      </c>
    </row>
    <row r="188" customFormat="false" ht="23.85" hidden="false" customHeight="false" outlineLevel="0" collapsed="false">
      <c r="A188" s="6" t="s">
        <v>496</v>
      </c>
      <c r="B188" s="6" t="s">
        <v>890</v>
      </c>
      <c r="C188" s="6" t="s">
        <v>497</v>
      </c>
      <c r="D188" s="6" t="s">
        <v>873</v>
      </c>
      <c r="E188" s="6" t="s">
        <v>9</v>
      </c>
      <c r="F188" s="7" t="n">
        <v>0.659722222222222</v>
      </c>
      <c r="G188" s="6" t="s">
        <v>13</v>
      </c>
      <c r="H188" s="6" t="s">
        <v>192</v>
      </c>
      <c r="I188" s="6" t="s">
        <v>494</v>
      </c>
      <c r="J188" s="6" t="s">
        <v>62</v>
      </c>
    </row>
    <row r="189" customFormat="false" ht="15" hidden="false" customHeight="false" outlineLevel="0" collapsed="false">
      <c r="A189" s="6" t="s">
        <v>500</v>
      </c>
      <c r="B189" s="6" t="s">
        <v>1140</v>
      </c>
      <c r="C189" s="6" t="s">
        <v>501</v>
      </c>
      <c r="D189" s="6" t="s">
        <v>873</v>
      </c>
      <c r="E189" s="6" t="s">
        <v>9</v>
      </c>
      <c r="F189" s="7" t="n">
        <v>0.659722222222222</v>
      </c>
      <c r="G189" s="6" t="s">
        <v>28</v>
      </c>
      <c r="H189" s="6" t="s">
        <v>251</v>
      </c>
      <c r="I189" s="6" t="s">
        <v>498</v>
      </c>
      <c r="J189" s="6" t="s">
        <v>28</v>
      </c>
    </row>
    <row r="190" customFormat="false" ht="15" hidden="false" customHeight="false" outlineLevel="0" collapsed="false">
      <c r="A190" s="6" t="s">
        <v>1141</v>
      </c>
      <c r="B190" s="6" t="s">
        <v>1142</v>
      </c>
      <c r="C190" s="6" t="s">
        <v>1143</v>
      </c>
      <c r="D190" s="6" t="s">
        <v>873</v>
      </c>
      <c r="E190" s="6" t="s">
        <v>9</v>
      </c>
      <c r="F190" s="7" t="n">
        <v>0.663194444444444</v>
      </c>
      <c r="G190" s="6" t="s">
        <v>20</v>
      </c>
      <c r="H190" s="6" t="s">
        <v>181</v>
      </c>
      <c r="I190" s="6" t="s">
        <v>502</v>
      </c>
      <c r="J190" s="6" t="s">
        <v>220</v>
      </c>
    </row>
    <row r="191" customFormat="false" ht="15" hidden="false" customHeight="false" outlineLevel="0" collapsed="false">
      <c r="A191" s="6" t="s">
        <v>1144</v>
      </c>
      <c r="B191" s="6" t="s">
        <v>965</v>
      </c>
      <c r="C191" s="6" t="s">
        <v>1145</v>
      </c>
      <c r="D191" s="6" t="s">
        <v>873</v>
      </c>
      <c r="E191" s="6" t="s">
        <v>9</v>
      </c>
      <c r="F191" s="7" t="n">
        <v>0.663194444444444</v>
      </c>
      <c r="G191" s="6" t="s">
        <v>20</v>
      </c>
      <c r="H191" s="6" t="s">
        <v>181</v>
      </c>
      <c r="I191" s="6" t="s">
        <v>502</v>
      </c>
      <c r="J191" s="6" t="s">
        <v>220</v>
      </c>
    </row>
    <row r="192" customFormat="false" ht="23.85" hidden="false" customHeight="false" outlineLevel="0" collapsed="false">
      <c r="A192" s="6" t="s">
        <v>509</v>
      </c>
      <c r="B192" s="6" t="s">
        <v>1146</v>
      </c>
      <c r="C192" s="6" t="s">
        <v>61</v>
      </c>
      <c r="D192" s="6" t="s">
        <v>873</v>
      </c>
      <c r="E192" s="6" t="s">
        <v>9</v>
      </c>
      <c r="F192" s="7" t="n">
        <v>0.663194444444444</v>
      </c>
      <c r="G192" s="6" t="s">
        <v>19</v>
      </c>
      <c r="H192" s="6" t="s">
        <v>181</v>
      </c>
      <c r="I192" s="6" t="s">
        <v>507</v>
      </c>
      <c r="J192" s="6" t="s">
        <v>204</v>
      </c>
    </row>
    <row r="193" customFormat="false" ht="15" hidden="false" customHeight="false" outlineLevel="0" collapsed="false">
      <c r="A193" s="6" t="s">
        <v>1147</v>
      </c>
      <c r="B193" s="6" t="s">
        <v>1148</v>
      </c>
      <c r="C193" s="6" t="s">
        <v>1149</v>
      </c>
      <c r="D193" s="6" t="s">
        <v>873</v>
      </c>
      <c r="E193" s="6" t="s">
        <v>9</v>
      </c>
      <c r="F193" s="7" t="n">
        <v>0.663194444444444</v>
      </c>
      <c r="G193" s="6" t="s">
        <v>26</v>
      </c>
      <c r="H193" s="6" t="s">
        <v>192</v>
      </c>
      <c r="I193" s="6" t="s">
        <v>511</v>
      </c>
      <c r="J193" s="6" t="s">
        <v>240</v>
      </c>
    </row>
    <row r="194" customFormat="false" ht="15" hidden="false" customHeight="false" outlineLevel="0" collapsed="false">
      <c r="A194" s="6" t="s">
        <v>1079</v>
      </c>
      <c r="B194" s="6" t="s">
        <v>1080</v>
      </c>
      <c r="C194" s="6" t="s">
        <v>1081</v>
      </c>
      <c r="D194" s="6" t="s">
        <v>873</v>
      </c>
      <c r="E194" s="6" t="s">
        <v>9</v>
      </c>
      <c r="F194" s="7" t="n">
        <v>0.663194444444444</v>
      </c>
      <c r="G194" s="6" t="s">
        <v>26</v>
      </c>
      <c r="H194" s="6" t="s">
        <v>192</v>
      </c>
      <c r="I194" s="6" t="s">
        <v>511</v>
      </c>
      <c r="J194" s="6" t="s">
        <v>240</v>
      </c>
    </row>
    <row r="195" customFormat="false" ht="23.85" hidden="false" customHeight="false" outlineLevel="0" collapsed="false">
      <c r="A195" s="6" t="s">
        <v>1150</v>
      </c>
      <c r="B195" s="6" t="s">
        <v>1151</v>
      </c>
      <c r="C195" s="6" t="s">
        <v>1152</v>
      </c>
      <c r="D195" s="6" t="s">
        <v>873</v>
      </c>
      <c r="E195" s="6" t="s">
        <v>9</v>
      </c>
      <c r="F195" s="7" t="n">
        <v>0.663194444444444</v>
      </c>
      <c r="G195" s="6" t="s">
        <v>23</v>
      </c>
      <c r="H195" s="6" t="s">
        <v>95</v>
      </c>
      <c r="I195" s="6" t="s">
        <v>515</v>
      </c>
      <c r="J195" s="6" t="s">
        <v>180</v>
      </c>
    </row>
    <row r="196" customFormat="false" ht="23.85" hidden="false" customHeight="false" outlineLevel="0" collapsed="false">
      <c r="A196" s="6" t="s">
        <v>1153</v>
      </c>
      <c r="B196" s="6" t="s">
        <v>1154</v>
      </c>
      <c r="C196" s="6" t="s">
        <v>1155</v>
      </c>
      <c r="D196" s="6" t="s">
        <v>873</v>
      </c>
      <c r="E196" s="6" t="s">
        <v>9</v>
      </c>
      <c r="F196" s="7" t="n">
        <v>0.663194444444444</v>
      </c>
      <c r="G196" s="6" t="s">
        <v>23</v>
      </c>
      <c r="H196" s="6" t="s">
        <v>95</v>
      </c>
      <c r="I196" s="6" t="s">
        <v>515</v>
      </c>
      <c r="J196" s="6" t="s">
        <v>180</v>
      </c>
    </row>
    <row r="197" customFormat="false" ht="23.85" hidden="false" customHeight="false" outlineLevel="0" collapsed="false">
      <c r="A197" s="6" t="s">
        <v>1156</v>
      </c>
      <c r="B197" s="6" t="s">
        <v>1157</v>
      </c>
      <c r="C197" s="6" t="s">
        <v>497</v>
      </c>
      <c r="D197" s="6" t="s">
        <v>873</v>
      </c>
      <c r="E197" s="6" t="s">
        <v>9</v>
      </c>
      <c r="F197" s="7" t="n">
        <v>0.663194444444444</v>
      </c>
      <c r="G197" s="6" t="s">
        <v>23</v>
      </c>
      <c r="H197" s="6" t="s">
        <v>95</v>
      </c>
      <c r="I197" s="6" t="s">
        <v>515</v>
      </c>
      <c r="J197" s="6" t="s">
        <v>180</v>
      </c>
    </row>
    <row r="198" customFormat="false" ht="23.85" hidden="false" customHeight="false" outlineLevel="0" collapsed="false">
      <c r="A198" s="6" t="s">
        <v>521</v>
      </c>
      <c r="B198" s="6" t="s">
        <v>1158</v>
      </c>
      <c r="C198" s="6" t="s">
        <v>522</v>
      </c>
      <c r="D198" s="6" t="s">
        <v>873</v>
      </c>
      <c r="E198" s="6" t="s">
        <v>9</v>
      </c>
      <c r="F198" s="7" t="n">
        <v>0.663194444444444</v>
      </c>
      <c r="G198" s="6" t="s">
        <v>12</v>
      </c>
      <c r="H198" s="6" t="s">
        <v>192</v>
      </c>
      <c r="I198" s="6" t="s">
        <v>519</v>
      </c>
      <c r="J198" s="6" t="s">
        <v>197</v>
      </c>
    </row>
    <row r="199" customFormat="false" ht="23.85" hidden="false" customHeight="false" outlineLevel="0" collapsed="false">
      <c r="A199" s="6" t="s">
        <v>526</v>
      </c>
      <c r="B199" s="6" t="s">
        <v>1159</v>
      </c>
      <c r="C199" s="6" t="s">
        <v>527</v>
      </c>
      <c r="D199" s="6" t="s">
        <v>873</v>
      </c>
      <c r="E199" s="6" t="s">
        <v>9</v>
      </c>
      <c r="F199" s="7" t="n">
        <v>0.663194444444444</v>
      </c>
      <c r="G199" s="6" t="s">
        <v>18</v>
      </c>
      <c r="H199" s="6" t="s">
        <v>192</v>
      </c>
      <c r="I199" s="6" t="s">
        <v>524</v>
      </c>
      <c r="J199" s="6" t="s">
        <v>215</v>
      </c>
    </row>
    <row r="200" customFormat="false" ht="23.85" hidden="false" customHeight="false" outlineLevel="0" collapsed="false">
      <c r="A200" s="6" t="s">
        <v>530</v>
      </c>
      <c r="B200" s="6" t="s">
        <v>1160</v>
      </c>
      <c r="C200" s="6" t="s">
        <v>531</v>
      </c>
      <c r="D200" s="6" t="s">
        <v>873</v>
      </c>
      <c r="E200" s="6" t="s">
        <v>9</v>
      </c>
      <c r="F200" s="7" t="n">
        <v>0.663194444444444</v>
      </c>
      <c r="G200" s="6" t="s">
        <v>14</v>
      </c>
      <c r="H200" s="6" t="s">
        <v>192</v>
      </c>
      <c r="I200" s="6" t="s">
        <v>528</v>
      </c>
      <c r="J200" s="6"/>
    </row>
    <row r="201" customFormat="false" ht="23.85" hidden="false" customHeight="false" outlineLevel="0" collapsed="false">
      <c r="A201" s="6" t="s">
        <v>1161</v>
      </c>
      <c r="B201" s="6" t="s">
        <v>1162</v>
      </c>
      <c r="C201" s="6" t="s">
        <v>1066</v>
      </c>
      <c r="D201" s="6" t="s">
        <v>873</v>
      </c>
      <c r="E201" s="6" t="s">
        <v>9</v>
      </c>
      <c r="F201" s="7" t="n">
        <v>0.663194444444444</v>
      </c>
      <c r="G201" s="6" t="s">
        <v>25</v>
      </c>
      <c r="H201" s="6" t="s">
        <v>181</v>
      </c>
      <c r="I201" s="6" t="s">
        <v>532</v>
      </c>
      <c r="J201" s="6" t="s">
        <v>245</v>
      </c>
    </row>
    <row r="202" customFormat="false" ht="23.85" hidden="false" customHeight="false" outlineLevel="0" collapsed="false">
      <c r="A202" s="6" t="s">
        <v>1163</v>
      </c>
      <c r="B202" s="6" t="s">
        <v>1164</v>
      </c>
      <c r="C202" s="6" t="s">
        <v>1165</v>
      </c>
      <c r="D202" s="6" t="s">
        <v>873</v>
      </c>
      <c r="E202" s="6" t="s">
        <v>9</v>
      </c>
      <c r="F202" s="7" t="n">
        <v>0.663194444444444</v>
      </c>
      <c r="G202" s="6" t="s">
        <v>25</v>
      </c>
      <c r="H202" s="6" t="s">
        <v>181</v>
      </c>
      <c r="I202" s="6" t="s">
        <v>532</v>
      </c>
      <c r="J202" s="6" t="s">
        <v>245</v>
      </c>
    </row>
    <row r="203" customFormat="false" ht="23.85" hidden="false" customHeight="false" outlineLevel="0" collapsed="false">
      <c r="A203" s="6" t="s">
        <v>538</v>
      </c>
      <c r="B203" s="6" t="s">
        <v>1166</v>
      </c>
      <c r="C203" s="6" t="s">
        <v>539</v>
      </c>
      <c r="D203" s="6" t="s">
        <v>873</v>
      </c>
      <c r="E203" s="6" t="s">
        <v>9</v>
      </c>
      <c r="F203" s="7" t="n">
        <v>0.663194444444444</v>
      </c>
      <c r="G203" s="6" t="s">
        <v>16</v>
      </c>
      <c r="H203" s="6" t="s">
        <v>199</v>
      </c>
      <c r="I203" s="6" t="s">
        <v>536</v>
      </c>
      <c r="J203" s="6" t="s">
        <v>235</v>
      </c>
    </row>
    <row r="204" customFormat="false" ht="23.85" hidden="false" customHeight="false" outlineLevel="0" collapsed="false">
      <c r="A204" s="6" t="s">
        <v>1167</v>
      </c>
      <c r="B204" s="6" t="s">
        <v>1168</v>
      </c>
      <c r="C204" s="6" t="s">
        <v>1169</v>
      </c>
      <c r="D204" s="6" t="s">
        <v>873</v>
      </c>
      <c r="E204" s="6" t="s">
        <v>9</v>
      </c>
      <c r="F204" s="7" t="n">
        <v>0.666666666666667</v>
      </c>
      <c r="G204" s="6" t="s">
        <v>29</v>
      </c>
      <c r="H204" s="6" t="s">
        <v>181</v>
      </c>
      <c r="I204" s="6" t="s">
        <v>540</v>
      </c>
      <c r="J204" s="6" t="s">
        <v>186</v>
      </c>
    </row>
    <row r="205" customFormat="false" ht="23.85" hidden="false" customHeight="false" outlineLevel="0" collapsed="false">
      <c r="A205" s="6" t="s">
        <v>1170</v>
      </c>
      <c r="B205" s="6" t="s">
        <v>1171</v>
      </c>
      <c r="C205" s="6" t="s">
        <v>1172</v>
      </c>
      <c r="D205" s="6" t="s">
        <v>873</v>
      </c>
      <c r="E205" s="6" t="s">
        <v>9</v>
      </c>
      <c r="F205" s="7" t="n">
        <v>0.666666666666667</v>
      </c>
      <c r="G205" s="6" t="s">
        <v>29</v>
      </c>
      <c r="H205" s="6" t="s">
        <v>181</v>
      </c>
      <c r="I205" s="6" t="s">
        <v>540</v>
      </c>
      <c r="J205" s="6" t="s">
        <v>186</v>
      </c>
    </row>
    <row r="206" customFormat="false" ht="23.85" hidden="false" customHeight="false" outlineLevel="0" collapsed="false">
      <c r="A206" s="6" t="s">
        <v>546</v>
      </c>
      <c r="B206" s="6" t="s">
        <v>1173</v>
      </c>
      <c r="C206" s="6" t="s">
        <v>547</v>
      </c>
      <c r="D206" s="6" t="s">
        <v>873</v>
      </c>
      <c r="E206" s="6" t="s">
        <v>9</v>
      </c>
      <c r="F206" s="7" t="n">
        <v>0.666666666666667</v>
      </c>
      <c r="G206" s="6" t="s">
        <v>28</v>
      </c>
      <c r="H206" s="6" t="s">
        <v>251</v>
      </c>
      <c r="I206" s="6" t="s">
        <v>544</v>
      </c>
      <c r="J206" s="6" t="s">
        <v>28</v>
      </c>
    </row>
    <row r="207" customFormat="false" ht="15" hidden="false" customHeight="false" outlineLevel="0" collapsed="false">
      <c r="A207" s="6" t="s">
        <v>550</v>
      </c>
      <c r="B207" s="6" t="s">
        <v>1174</v>
      </c>
      <c r="C207" s="6" t="s">
        <v>551</v>
      </c>
      <c r="D207" s="6" t="s">
        <v>873</v>
      </c>
      <c r="E207" s="6" t="s">
        <v>9</v>
      </c>
      <c r="F207" s="7" t="n">
        <v>0.670138888888889</v>
      </c>
      <c r="G207" s="6" t="s">
        <v>13</v>
      </c>
      <c r="H207" s="6" t="s">
        <v>192</v>
      </c>
      <c r="I207" s="6" t="s">
        <v>548</v>
      </c>
      <c r="J207" s="6" t="s">
        <v>62</v>
      </c>
    </row>
    <row r="208" customFormat="false" ht="23.85" hidden="false" customHeight="false" outlineLevel="0" collapsed="false">
      <c r="A208" s="6" t="s">
        <v>555</v>
      </c>
      <c r="B208" s="6" t="s">
        <v>1175</v>
      </c>
      <c r="C208" s="6" t="s">
        <v>556</v>
      </c>
      <c r="D208" s="6" t="s">
        <v>873</v>
      </c>
      <c r="E208" s="6" t="s">
        <v>9</v>
      </c>
      <c r="F208" s="7" t="n">
        <v>0.673611111111111</v>
      </c>
      <c r="G208" s="6" t="s">
        <v>12</v>
      </c>
      <c r="H208" s="6" t="s">
        <v>192</v>
      </c>
      <c r="I208" s="6" t="s">
        <v>553</v>
      </c>
      <c r="J208" s="6" t="s">
        <v>197</v>
      </c>
    </row>
    <row r="209" customFormat="false" ht="23.85" hidden="false" customHeight="false" outlineLevel="0" collapsed="false">
      <c r="A209" s="6" t="s">
        <v>1176</v>
      </c>
      <c r="B209" s="6" t="s">
        <v>950</v>
      </c>
      <c r="C209" s="6" t="s">
        <v>1026</v>
      </c>
      <c r="D209" s="6" t="s">
        <v>873</v>
      </c>
      <c r="E209" s="6" t="s">
        <v>9</v>
      </c>
      <c r="F209" s="7" t="n">
        <v>0.673611111111111</v>
      </c>
      <c r="G209" s="6" t="s">
        <v>20</v>
      </c>
      <c r="H209" s="6" t="s">
        <v>95</v>
      </c>
      <c r="I209" s="6" t="s">
        <v>557</v>
      </c>
      <c r="J209" s="6" t="s">
        <v>220</v>
      </c>
    </row>
    <row r="210" customFormat="false" ht="23.85" hidden="false" customHeight="false" outlineLevel="0" collapsed="false">
      <c r="A210" s="6" t="s">
        <v>1105</v>
      </c>
      <c r="B210" s="6" t="s">
        <v>1106</v>
      </c>
      <c r="C210" s="6" t="s">
        <v>1107</v>
      </c>
      <c r="D210" s="6" t="s">
        <v>873</v>
      </c>
      <c r="E210" s="6" t="s">
        <v>9</v>
      </c>
      <c r="F210" s="7" t="n">
        <v>0.673611111111111</v>
      </c>
      <c r="G210" s="6" t="s">
        <v>20</v>
      </c>
      <c r="H210" s="6" t="s">
        <v>95</v>
      </c>
      <c r="I210" s="6" t="s">
        <v>557</v>
      </c>
      <c r="J210" s="6" t="s">
        <v>220</v>
      </c>
    </row>
    <row r="211" customFormat="false" ht="23.85" hidden="false" customHeight="false" outlineLevel="0" collapsed="false">
      <c r="A211" s="6" t="s">
        <v>1141</v>
      </c>
      <c r="B211" s="6" t="s">
        <v>1142</v>
      </c>
      <c r="C211" s="6" t="s">
        <v>1143</v>
      </c>
      <c r="D211" s="6" t="s">
        <v>873</v>
      </c>
      <c r="E211" s="6" t="s">
        <v>9</v>
      </c>
      <c r="F211" s="7" t="n">
        <v>0.673611111111111</v>
      </c>
      <c r="G211" s="6" t="s">
        <v>20</v>
      </c>
      <c r="H211" s="6" t="s">
        <v>95</v>
      </c>
      <c r="I211" s="6" t="s">
        <v>557</v>
      </c>
      <c r="J211" s="6" t="s">
        <v>220</v>
      </c>
    </row>
    <row r="212" customFormat="false" ht="23.85" hidden="false" customHeight="false" outlineLevel="0" collapsed="false">
      <c r="A212" s="6" t="s">
        <v>564</v>
      </c>
      <c r="B212" s="6" t="s">
        <v>890</v>
      </c>
      <c r="C212" s="6" t="s">
        <v>565</v>
      </c>
      <c r="D212" s="6" t="s">
        <v>873</v>
      </c>
      <c r="E212" s="6" t="s">
        <v>9</v>
      </c>
      <c r="F212" s="7" t="n">
        <v>0.673611111111111</v>
      </c>
      <c r="G212" s="6" t="s">
        <v>28</v>
      </c>
      <c r="H212" s="6" t="s">
        <v>251</v>
      </c>
      <c r="I212" s="6" t="s">
        <v>562</v>
      </c>
      <c r="J212" s="6" t="s">
        <v>28</v>
      </c>
    </row>
    <row r="213" customFormat="false" ht="23.85" hidden="false" customHeight="false" outlineLevel="0" collapsed="false">
      <c r="A213" s="6" t="s">
        <v>1177</v>
      </c>
      <c r="B213" s="6" t="s">
        <v>1178</v>
      </c>
      <c r="C213" s="6" t="s">
        <v>963</v>
      </c>
      <c r="D213" s="6" t="s">
        <v>873</v>
      </c>
      <c r="E213" s="6" t="s">
        <v>9</v>
      </c>
      <c r="F213" s="7" t="n">
        <v>0.673611111111111</v>
      </c>
      <c r="G213" s="6" t="s">
        <v>26</v>
      </c>
      <c r="H213" s="6" t="s">
        <v>199</v>
      </c>
      <c r="I213" s="6" t="s">
        <v>566</v>
      </c>
      <c r="J213" s="6" t="s">
        <v>240</v>
      </c>
    </row>
    <row r="214" customFormat="false" ht="23.85" hidden="false" customHeight="false" outlineLevel="0" collapsed="false">
      <c r="A214" s="6" t="s">
        <v>1179</v>
      </c>
      <c r="B214" s="6" t="s">
        <v>1180</v>
      </c>
      <c r="C214" s="6" t="s">
        <v>1181</v>
      </c>
      <c r="D214" s="6" t="s">
        <v>873</v>
      </c>
      <c r="E214" s="6" t="s">
        <v>9</v>
      </c>
      <c r="F214" s="7" t="n">
        <v>0.673611111111111</v>
      </c>
      <c r="G214" s="6" t="s">
        <v>26</v>
      </c>
      <c r="H214" s="6" t="s">
        <v>199</v>
      </c>
      <c r="I214" s="6" t="s">
        <v>566</v>
      </c>
      <c r="J214" s="6" t="s">
        <v>240</v>
      </c>
    </row>
    <row r="215" customFormat="false" ht="23.85" hidden="false" customHeight="false" outlineLevel="0" collapsed="false">
      <c r="A215" s="6" t="s">
        <v>1182</v>
      </c>
      <c r="B215" s="6" t="s">
        <v>1183</v>
      </c>
      <c r="C215" s="6" t="s">
        <v>1184</v>
      </c>
      <c r="D215" s="6" t="s">
        <v>873</v>
      </c>
      <c r="E215" s="6" t="s">
        <v>9</v>
      </c>
      <c r="F215" s="7" t="n">
        <v>0.673611111111111</v>
      </c>
      <c r="G215" s="6" t="s">
        <v>26</v>
      </c>
      <c r="H215" s="6" t="s">
        <v>199</v>
      </c>
      <c r="I215" s="6" t="s">
        <v>566</v>
      </c>
      <c r="J215" s="6" t="s">
        <v>240</v>
      </c>
    </row>
    <row r="216" customFormat="false" ht="23.85" hidden="false" customHeight="false" outlineLevel="0" collapsed="false">
      <c r="A216" s="6" t="s">
        <v>1185</v>
      </c>
      <c r="B216" s="6" t="s">
        <v>1186</v>
      </c>
      <c r="C216" s="6" t="s">
        <v>1187</v>
      </c>
      <c r="D216" s="6" t="s">
        <v>873</v>
      </c>
      <c r="E216" s="6" t="s">
        <v>9</v>
      </c>
      <c r="F216" s="7" t="n">
        <v>0.673611111111111</v>
      </c>
      <c r="G216" s="6" t="s">
        <v>25</v>
      </c>
      <c r="H216" s="6" t="s">
        <v>95</v>
      </c>
      <c r="I216" s="6" t="s">
        <v>571</v>
      </c>
      <c r="J216" s="6" t="s">
        <v>245</v>
      </c>
    </row>
    <row r="217" customFormat="false" ht="23.85" hidden="false" customHeight="false" outlineLevel="0" collapsed="false">
      <c r="A217" s="6" t="s">
        <v>1133</v>
      </c>
      <c r="B217" s="6" t="s">
        <v>1134</v>
      </c>
      <c r="C217" s="6" t="s">
        <v>61</v>
      </c>
      <c r="D217" s="6" t="s">
        <v>873</v>
      </c>
      <c r="E217" s="6" t="s">
        <v>9</v>
      </c>
      <c r="F217" s="7" t="n">
        <v>0.673611111111111</v>
      </c>
      <c r="G217" s="6" t="s">
        <v>25</v>
      </c>
      <c r="H217" s="6" t="s">
        <v>95</v>
      </c>
      <c r="I217" s="6" t="s">
        <v>571</v>
      </c>
      <c r="J217" s="6" t="s">
        <v>245</v>
      </c>
    </row>
    <row r="218" customFormat="false" ht="23.85" hidden="false" customHeight="false" outlineLevel="0" collapsed="false">
      <c r="A218" s="6" t="s">
        <v>1188</v>
      </c>
      <c r="B218" s="6" t="s">
        <v>1189</v>
      </c>
      <c r="C218" s="6" t="s">
        <v>1190</v>
      </c>
      <c r="D218" s="6" t="s">
        <v>873</v>
      </c>
      <c r="E218" s="6" t="s">
        <v>9</v>
      </c>
      <c r="F218" s="7" t="n">
        <v>0.673611111111111</v>
      </c>
      <c r="G218" s="6" t="s">
        <v>25</v>
      </c>
      <c r="H218" s="6" t="s">
        <v>95</v>
      </c>
      <c r="I218" s="6" t="s">
        <v>571</v>
      </c>
      <c r="J218" s="6" t="s">
        <v>245</v>
      </c>
    </row>
    <row r="219" customFormat="false" ht="15" hidden="false" customHeight="false" outlineLevel="0" collapsed="false">
      <c r="A219" s="6" t="s">
        <v>578</v>
      </c>
      <c r="B219" s="6" t="s">
        <v>1191</v>
      </c>
      <c r="C219" s="6" t="s">
        <v>579</v>
      </c>
      <c r="D219" s="6" t="s">
        <v>873</v>
      </c>
      <c r="E219" s="6" t="s">
        <v>9</v>
      </c>
      <c r="F219" s="7" t="n">
        <v>0.673611111111111</v>
      </c>
      <c r="G219" s="6" t="s">
        <v>19</v>
      </c>
      <c r="H219" s="6" t="s">
        <v>192</v>
      </c>
      <c r="I219" s="6" t="s">
        <v>576</v>
      </c>
      <c r="J219" s="6" t="s">
        <v>204</v>
      </c>
    </row>
    <row r="220" customFormat="false" ht="23.85" hidden="false" customHeight="false" outlineLevel="0" collapsed="false">
      <c r="A220" s="6" t="s">
        <v>1192</v>
      </c>
      <c r="B220" s="6" t="s">
        <v>1193</v>
      </c>
      <c r="C220" s="6" t="s">
        <v>1194</v>
      </c>
      <c r="D220" s="6" t="s">
        <v>873</v>
      </c>
      <c r="E220" s="6" t="s">
        <v>9</v>
      </c>
      <c r="F220" s="7" t="n">
        <v>0.673611111111111</v>
      </c>
      <c r="G220" s="6" t="s">
        <v>14</v>
      </c>
      <c r="H220" s="6" t="s">
        <v>95</v>
      </c>
      <c r="I220" s="6" t="s">
        <v>580</v>
      </c>
      <c r="J220" s="6" t="s">
        <v>69</v>
      </c>
    </row>
    <row r="221" customFormat="false" ht="23.85" hidden="false" customHeight="false" outlineLevel="0" collapsed="false">
      <c r="A221" s="6" t="s">
        <v>1195</v>
      </c>
      <c r="B221" s="6" t="s">
        <v>1196</v>
      </c>
      <c r="C221" s="6" t="s">
        <v>951</v>
      </c>
      <c r="D221" s="6" t="s">
        <v>873</v>
      </c>
      <c r="E221" s="6" t="s">
        <v>9</v>
      </c>
      <c r="F221" s="7" t="n">
        <v>0.673611111111111</v>
      </c>
      <c r="G221" s="6" t="s">
        <v>14</v>
      </c>
      <c r="H221" s="6" t="s">
        <v>95</v>
      </c>
      <c r="I221" s="6" t="s">
        <v>580</v>
      </c>
      <c r="J221" s="6" t="s">
        <v>69</v>
      </c>
    </row>
    <row r="222" customFormat="false" ht="23.85" hidden="false" customHeight="false" outlineLevel="0" collapsed="false">
      <c r="A222" s="6" t="s">
        <v>1197</v>
      </c>
      <c r="B222" s="6" t="s">
        <v>1198</v>
      </c>
      <c r="C222" s="6" t="s">
        <v>1199</v>
      </c>
      <c r="D222" s="6" t="s">
        <v>873</v>
      </c>
      <c r="E222" s="6" t="s">
        <v>9</v>
      </c>
      <c r="F222" s="7" t="n">
        <v>0.673611111111111</v>
      </c>
      <c r="G222" s="6" t="s">
        <v>14</v>
      </c>
      <c r="H222" s="6" t="s">
        <v>95</v>
      </c>
      <c r="I222" s="6" t="s">
        <v>580</v>
      </c>
      <c r="J222" s="6" t="s">
        <v>69</v>
      </c>
    </row>
    <row r="223" customFormat="false" ht="23.85" hidden="false" customHeight="false" outlineLevel="0" collapsed="false">
      <c r="A223" s="6" t="s">
        <v>1200</v>
      </c>
      <c r="B223" s="6" t="s">
        <v>1201</v>
      </c>
      <c r="C223" s="6" t="s">
        <v>1202</v>
      </c>
      <c r="D223" s="6" t="s">
        <v>873</v>
      </c>
      <c r="E223" s="6" t="s">
        <v>9</v>
      </c>
      <c r="F223" s="7" t="n">
        <v>0.673611111111111</v>
      </c>
      <c r="G223" s="6" t="s">
        <v>18</v>
      </c>
      <c r="H223" s="6" t="s">
        <v>95</v>
      </c>
      <c r="I223" s="6" t="s">
        <v>585</v>
      </c>
      <c r="J223" s="6" t="s">
        <v>215</v>
      </c>
    </row>
    <row r="224" customFormat="false" ht="23.85" hidden="false" customHeight="false" outlineLevel="0" collapsed="false">
      <c r="A224" s="6" t="s">
        <v>1203</v>
      </c>
      <c r="B224" s="6" t="s">
        <v>1204</v>
      </c>
      <c r="C224" s="6" t="s">
        <v>1205</v>
      </c>
      <c r="D224" s="6" t="s">
        <v>873</v>
      </c>
      <c r="E224" s="6" t="s">
        <v>9</v>
      </c>
      <c r="F224" s="7" t="n">
        <v>0.673611111111111</v>
      </c>
      <c r="G224" s="6" t="s">
        <v>18</v>
      </c>
      <c r="H224" s="6" t="s">
        <v>95</v>
      </c>
      <c r="I224" s="6" t="s">
        <v>585</v>
      </c>
      <c r="J224" s="6" t="s">
        <v>215</v>
      </c>
    </row>
    <row r="225" customFormat="false" ht="23.85" hidden="false" customHeight="false" outlineLevel="0" collapsed="false">
      <c r="A225" s="6" t="s">
        <v>1206</v>
      </c>
      <c r="B225" s="6" t="s">
        <v>1207</v>
      </c>
      <c r="C225" s="6" t="s">
        <v>1208</v>
      </c>
      <c r="D225" s="6" t="s">
        <v>873</v>
      </c>
      <c r="E225" s="6" t="s">
        <v>9</v>
      </c>
      <c r="F225" s="7" t="n">
        <v>0.673611111111111</v>
      </c>
      <c r="G225" s="6" t="s">
        <v>18</v>
      </c>
      <c r="H225" s="6" t="s">
        <v>95</v>
      </c>
      <c r="I225" s="6" t="s">
        <v>585</v>
      </c>
      <c r="J225" s="6" t="s">
        <v>215</v>
      </c>
    </row>
    <row r="226" customFormat="false" ht="23.85" hidden="false" customHeight="false" outlineLevel="0" collapsed="false">
      <c r="A226" s="6" t="s">
        <v>1209</v>
      </c>
      <c r="B226" s="6" t="s">
        <v>1210</v>
      </c>
      <c r="C226" s="6" t="s">
        <v>1211</v>
      </c>
      <c r="D226" s="6" t="s">
        <v>873</v>
      </c>
      <c r="E226" s="6" t="s">
        <v>9</v>
      </c>
      <c r="F226" s="7" t="n">
        <v>0.673611111111111</v>
      </c>
      <c r="G226" s="6" t="s">
        <v>16</v>
      </c>
      <c r="H226" s="6" t="s">
        <v>95</v>
      </c>
      <c r="I226" s="6" t="s">
        <v>590</v>
      </c>
      <c r="J226" s="6" t="s">
        <v>235</v>
      </c>
    </row>
    <row r="227" customFormat="false" ht="23.85" hidden="false" customHeight="false" outlineLevel="0" collapsed="false">
      <c r="A227" s="6" t="s">
        <v>1119</v>
      </c>
      <c r="B227" s="6" t="s">
        <v>1120</v>
      </c>
      <c r="C227" s="6" t="s">
        <v>1121</v>
      </c>
      <c r="D227" s="6" t="s">
        <v>873</v>
      </c>
      <c r="E227" s="6" t="s">
        <v>9</v>
      </c>
      <c r="F227" s="7" t="n">
        <v>0.673611111111111</v>
      </c>
      <c r="G227" s="6" t="s">
        <v>16</v>
      </c>
      <c r="H227" s="6" t="s">
        <v>95</v>
      </c>
      <c r="I227" s="6" t="s">
        <v>590</v>
      </c>
      <c r="J227" s="6" t="s">
        <v>235</v>
      </c>
    </row>
    <row r="228" customFormat="false" ht="23.85" hidden="false" customHeight="false" outlineLevel="0" collapsed="false">
      <c r="A228" s="6" t="s">
        <v>1212</v>
      </c>
      <c r="B228" s="6" t="s">
        <v>1213</v>
      </c>
      <c r="C228" s="6" t="s">
        <v>1214</v>
      </c>
      <c r="D228" s="6" t="s">
        <v>873</v>
      </c>
      <c r="E228" s="6" t="s">
        <v>9</v>
      </c>
      <c r="F228" s="7" t="n">
        <v>0.673611111111111</v>
      </c>
      <c r="G228" s="6" t="s">
        <v>16</v>
      </c>
      <c r="H228" s="6" t="s">
        <v>95</v>
      </c>
      <c r="I228" s="6" t="s">
        <v>590</v>
      </c>
      <c r="J228" s="6" t="s">
        <v>235</v>
      </c>
    </row>
    <row r="229" customFormat="false" ht="23.85" hidden="false" customHeight="false" outlineLevel="0" collapsed="false">
      <c r="A229" s="6" t="s">
        <v>597</v>
      </c>
      <c r="B229" s="6" t="s">
        <v>1215</v>
      </c>
      <c r="C229" s="6" t="s">
        <v>598</v>
      </c>
      <c r="D229" s="6" t="s">
        <v>873</v>
      </c>
      <c r="E229" s="6" t="s">
        <v>9</v>
      </c>
      <c r="F229" s="7" t="n">
        <v>0.677083333333333</v>
      </c>
      <c r="G229" s="6" t="s">
        <v>29</v>
      </c>
      <c r="H229" s="6" t="s">
        <v>192</v>
      </c>
      <c r="I229" s="6" t="s">
        <v>595</v>
      </c>
      <c r="J229" s="6" t="s">
        <v>186</v>
      </c>
    </row>
    <row r="230" customFormat="false" ht="23.85" hidden="false" customHeight="false" outlineLevel="0" collapsed="false">
      <c r="A230" s="6" t="s">
        <v>601</v>
      </c>
      <c r="B230" s="6" t="s">
        <v>1216</v>
      </c>
      <c r="C230" s="6" t="s">
        <v>602</v>
      </c>
      <c r="D230" s="6" t="s">
        <v>873</v>
      </c>
      <c r="E230" s="6" t="s">
        <v>9</v>
      </c>
      <c r="F230" s="7" t="n">
        <v>0.680555555555556</v>
      </c>
      <c r="G230" s="6" t="s">
        <v>28</v>
      </c>
      <c r="H230" s="6" t="s">
        <v>251</v>
      </c>
      <c r="I230" s="6" t="s">
        <v>599</v>
      </c>
      <c r="J230" s="6" t="s">
        <v>28</v>
      </c>
    </row>
    <row r="231" customFormat="false" ht="23.85" hidden="false" customHeight="false" outlineLevel="0" collapsed="false">
      <c r="A231" s="6" t="s">
        <v>1100</v>
      </c>
      <c r="B231" s="6" t="s">
        <v>1101</v>
      </c>
      <c r="C231" s="6" t="s">
        <v>1102</v>
      </c>
      <c r="D231" s="6" t="s">
        <v>873</v>
      </c>
      <c r="E231" s="6" t="s">
        <v>9</v>
      </c>
      <c r="F231" s="7" t="n">
        <v>0.680555555555556</v>
      </c>
      <c r="G231" s="6" t="s">
        <v>13</v>
      </c>
      <c r="H231" s="6" t="s">
        <v>95</v>
      </c>
      <c r="I231" s="6" t="s">
        <v>603</v>
      </c>
      <c r="J231" s="6" t="s">
        <v>62</v>
      </c>
    </row>
    <row r="232" customFormat="false" ht="23.85" hidden="false" customHeight="false" outlineLevel="0" collapsed="false">
      <c r="A232" s="6" t="s">
        <v>1217</v>
      </c>
      <c r="B232" s="6" t="s">
        <v>936</v>
      </c>
      <c r="C232" s="6" t="s">
        <v>1218</v>
      </c>
      <c r="D232" s="6" t="s">
        <v>873</v>
      </c>
      <c r="E232" s="6" t="s">
        <v>9</v>
      </c>
      <c r="F232" s="7" t="n">
        <v>0.680555555555556</v>
      </c>
      <c r="G232" s="6" t="s">
        <v>13</v>
      </c>
      <c r="H232" s="6" t="s">
        <v>95</v>
      </c>
      <c r="I232" s="6" t="s">
        <v>603</v>
      </c>
      <c r="J232" s="6" t="s">
        <v>62</v>
      </c>
    </row>
    <row r="233" customFormat="false" ht="23.85" hidden="false" customHeight="false" outlineLevel="0" collapsed="false">
      <c r="A233" s="6" t="s">
        <v>509</v>
      </c>
      <c r="B233" s="6" t="s">
        <v>1146</v>
      </c>
      <c r="C233" s="6" t="s">
        <v>61</v>
      </c>
      <c r="D233" s="6" t="s">
        <v>873</v>
      </c>
      <c r="E233" s="6" t="s">
        <v>9</v>
      </c>
      <c r="F233" s="7" t="n">
        <v>0.680555555555556</v>
      </c>
      <c r="G233" s="6" t="s">
        <v>13</v>
      </c>
      <c r="H233" s="6" t="s">
        <v>95</v>
      </c>
      <c r="I233" s="6" t="s">
        <v>603</v>
      </c>
      <c r="J233" s="6" t="s">
        <v>62</v>
      </c>
    </row>
    <row r="234" customFormat="false" ht="23.85" hidden="false" customHeight="false" outlineLevel="0" collapsed="false">
      <c r="A234" s="6" t="s">
        <v>610</v>
      </c>
      <c r="B234" s="6" t="s">
        <v>1219</v>
      </c>
      <c r="C234" s="6" t="s">
        <v>611</v>
      </c>
      <c r="D234" s="6" t="s">
        <v>873</v>
      </c>
      <c r="E234" s="6" t="s">
        <v>9</v>
      </c>
      <c r="F234" s="7" t="n">
        <v>0.684027777777778</v>
      </c>
      <c r="G234" s="6" t="s">
        <v>29</v>
      </c>
      <c r="H234" s="6" t="s">
        <v>192</v>
      </c>
      <c r="I234" s="6" t="s">
        <v>608</v>
      </c>
      <c r="J234" s="6" t="s">
        <v>186</v>
      </c>
    </row>
    <row r="235" customFormat="false" ht="23.85" hidden="false" customHeight="false" outlineLevel="0" collapsed="false">
      <c r="A235" s="6" t="s">
        <v>1220</v>
      </c>
      <c r="B235" s="6" t="s">
        <v>1221</v>
      </c>
      <c r="C235" s="6" t="s">
        <v>1222</v>
      </c>
      <c r="D235" s="6" t="s">
        <v>873</v>
      </c>
      <c r="E235" s="6" t="s">
        <v>9</v>
      </c>
      <c r="F235" s="7" t="n">
        <v>0.684027777777778</v>
      </c>
      <c r="G235" s="6" t="s">
        <v>19</v>
      </c>
      <c r="H235" s="6" t="s">
        <v>95</v>
      </c>
      <c r="I235" s="6" t="s">
        <v>612</v>
      </c>
      <c r="J235" s="6" t="s">
        <v>204</v>
      </c>
    </row>
    <row r="236" customFormat="false" ht="23.85" hidden="false" customHeight="false" outlineLevel="0" collapsed="false">
      <c r="A236" s="6" t="s">
        <v>1223</v>
      </c>
      <c r="B236" s="6" t="s">
        <v>1224</v>
      </c>
      <c r="C236" s="6" t="s">
        <v>1225</v>
      </c>
      <c r="D236" s="6" t="s">
        <v>873</v>
      </c>
      <c r="E236" s="6" t="s">
        <v>9</v>
      </c>
      <c r="F236" s="7" t="n">
        <v>0.684027777777778</v>
      </c>
      <c r="G236" s="6" t="s">
        <v>19</v>
      </c>
      <c r="H236" s="6" t="s">
        <v>95</v>
      </c>
      <c r="I236" s="6" t="s">
        <v>612</v>
      </c>
      <c r="J236" s="6" t="s">
        <v>204</v>
      </c>
    </row>
    <row r="237" customFormat="false" ht="23.85" hidden="false" customHeight="false" outlineLevel="0" collapsed="false">
      <c r="A237" s="6" t="s">
        <v>1226</v>
      </c>
      <c r="B237" s="6" t="s">
        <v>1227</v>
      </c>
      <c r="C237" s="6" t="s">
        <v>1228</v>
      </c>
      <c r="D237" s="6" t="s">
        <v>873</v>
      </c>
      <c r="E237" s="6" t="s">
        <v>9</v>
      </c>
      <c r="F237" s="7" t="n">
        <v>0.684027777777778</v>
      </c>
      <c r="G237" s="6" t="s">
        <v>19</v>
      </c>
      <c r="H237" s="6" t="s">
        <v>95</v>
      </c>
      <c r="I237" s="6" t="s">
        <v>612</v>
      </c>
      <c r="J237" s="6" t="s">
        <v>204</v>
      </c>
    </row>
    <row r="238" customFormat="false" ht="23.85" hidden="false" customHeight="false" outlineLevel="0" collapsed="false">
      <c r="A238" s="6" t="s">
        <v>1229</v>
      </c>
      <c r="B238" s="6" t="s">
        <v>1230</v>
      </c>
      <c r="C238" s="6" t="s">
        <v>1205</v>
      </c>
      <c r="D238" s="6" t="s">
        <v>873</v>
      </c>
      <c r="E238" s="6" t="s">
        <v>9</v>
      </c>
      <c r="F238" s="7" t="n">
        <v>0.684027777777778</v>
      </c>
      <c r="G238" s="6" t="s">
        <v>12</v>
      </c>
      <c r="H238" s="6" t="s">
        <v>95</v>
      </c>
      <c r="I238" s="6" t="s">
        <v>617</v>
      </c>
      <c r="J238" s="6" t="s">
        <v>197</v>
      </c>
    </row>
    <row r="239" customFormat="false" ht="23.85" hidden="false" customHeight="false" outlineLevel="0" collapsed="false">
      <c r="A239" s="6" t="s">
        <v>1231</v>
      </c>
      <c r="B239" s="6" t="s">
        <v>1232</v>
      </c>
      <c r="C239" s="6" t="s">
        <v>1233</v>
      </c>
      <c r="D239" s="6" t="s">
        <v>873</v>
      </c>
      <c r="E239" s="6" t="s">
        <v>9</v>
      </c>
      <c r="F239" s="7" t="n">
        <v>0.684027777777778</v>
      </c>
      <c r="G239" s="6" t="s">
        <v>12</v>
      </c>
      <c r="H239" s="6" t="s">
        <v>95</v>
      </c>
      <c r="I239" s="6" t="s">
        <v>617</v>
      </c>
      <c r="J239" s="6" t="s">
        <v>197</v>
      </c>
    </row>
    <row r="240" customFormat="false" ht="23.85" hidden="false" customHeight="false" outlineLevel="0" collapsed="false">
      <c r="A240" s="6" t="s">
        <v>1234</v>
      </c>
      <c r="B240" s="6" t="s">
        <v>1235</v>
      </c>
      <c r="C240" s="6" t="s">
        <v>1236</v>
      </c>
      <c r="D240" s="6" t="s">
        <v>873</v>
      </c>
      <c r="E240" s="6" t="s">
        <v>9</v>
      </c>
      <c r="F240" s="7" t="n">
        <v>0.684027777777778</v>
      </c>
      <c r="G240" s="6" t="s">
        <v>12</v>
      </c>
      <c r="H240" s="6" t="s">
        <v>95</v>
      </c>
      <c r="I240" s="6" t="s">
        <v>617</v>
      </c>
      <c r="J240" s="6" t="s">
        <v>197</v>
      </c>
    </row>
    <row r="241" customFormat="false" ht="23.85" hidden="false" customHeight="false" outlineLevel="0" collapsed="false">
      <c r="A241" s="6" t="s">
        <v>623</v>
      </c>
      <c r="B241" s="6" t="s">
        <v>1237</v>
      </c>
      <c r="C241" s="6" t="s">
        <v>624</v>
      </c>
      <c r="D241" s="6" t="s">
        <v>873</v>
      </c>
      <c r="E241" s="6" t="s">
        <v>9</v>
      </c>
      <c r="F241" s="7" t="n">
        <v>0.6875</v>
      </c>
      <c r="G241" s="6" t="s">
        <v>28</v>
      </c>
      <c r="H241" s="6" t="s">
        <v>251</v>
      </c>
      <c r="I241" s="6" t="s">
        <v>621</v>
      </c>
      <c r="J241" s="6" t="s">
        <v>28</v>
      </c>
    </row>
    <row r="242" customFormat="false" ht="23.85" hidden="false" customHeight="false" outlineLevel="0" collapsed="false">
      <c r="A242" s="6" t="s">
        <v>1238</v>
      </c>
      <c r="B242" s="6" t="s">
        <v>1239</v>
      </c>
      <c r="C242" s="6" t="s">
        <v>1240</v>
      </c>
      <c r="D242" s="6" t="s">
        <v>873</v>
      </c>
      <c r="E242" s="6" t="s">
        <v>9</v>
      </c>
      <c r="F242" s="7" t="n">
        <v>0.690972222222222</v>
      </c>
      <c r="G242" s="6" t="s">
        <v>29</v>
      </c>
      <c r="H242" s="6" t="s">
        <v>95</v>
      </c>
      <c r="I242" s="6" t="s">
        <v>625</v>
      </c>
      <c r="J242" s="6" t="s">
        <v>186</v>
      </c>
    </row>
    <row r="243" customFormat="false" ht="23.85" hidden="false" customHeight="false" outlineLevel="0" collapsed="false">
      <c r="A243" s="6" t="s">
        <v>1167</v>
      </c>
      <c r="B243" s="6" t="s">
        <v>1168</v>
      </c>
      <c r="C243" s="6" t="s">
        <v>1169</v>
      </c>
      <c r="D243" s="6" t="s">
        <v>873</v>
      </c>
      <c r="E243" s="6" t="s">
        <v>9</v>
      </c>
      <c r="F243" s="7" t="n">
        <v>0.690972222222222</v>
      </c>
      <c r="G243" s="6" t="s">
        <v>29</v>
      </c>
      <c r="H243" s="6" t="s">
        <v>95</v>
      </c>
      <c r="I243" s="6" t="s">
        <v>625</v>
      </c>
      <c r="J243" s="6" t="s">
        <v>186</v>
      </c>
    </row>
    <row r="244" customFormat="false" ht="23.85" hidden="false" customHeight="false" outlineLevel="0" collapsed="false">
      <c r="A244" s="6" t="s">
        <v>1241</v>
      </c>
      <c r="B244" s="6" t="s">
        <v>1242</v>
      </c>
      <c r="C244" s="6" t="s">
        <v>1205</v>
      </c>
      <c r="D244" s="6" t="s">
        <v>873</v>
      </c>
      <c r="E244" s="6" t="s">
        <v>9</v>
      </c>
      <c r="F244" s="7" t="n">
        <v>0.690972222222222</v>
      </c>
      <c r="G244" s="6" t="s">
        <v>29</v>
      </c>
      <c r="H244" s="6" t="s">
        <v>95</v>
      </c>
      <c r="I244" s="6" t="s">
        <v>625</v>
      </c>
      <c r="J244" s="6" t="s">
        <v>186</v>
      </c>
    </row>
    <row r="245" customFormat="false" ht="15" hidden="false" customHeight="false" outlineLevel="0" collapsed="false">
      <c r="A245" s="6" t="s">
        <v>632</v>
      </c>
      <c r="B245" s="6" t="s">
        <v>1126</v>
      </c>
      <c r="C245" s="6" t="s">
        <v>633</v>
      </c>
      <c r="D245" s="6" t="s">
        <v>873</v>
      </c>
      <c r="E245" s="6" t="s">
        <v>9</v>
      </c>
      <c r="F245" s="7" t="n">
        <v>0.694444444444444</v>
      </c>
      <c r="G245" s="6" t="s">
        <v>28</v>
      </c>
      <c r="H245" s="6" t="s">
        <v>251</v>
      </c>
      <c r="I245" s="6" t="s">
        <v>630</v>
      </c>
      <c r="J245" s="6" t="s">
        <v>28</v>
      </c>
    </row>
    <row r="246" customFormat="false" ht="15" hidden="false" customHeight="false" outlineLevel="0" collapsed="false">
      <c r="A246" s="6" t="s">
        <v>178</v>
      </c>
      <c r="B246" s="6" t="s">
        <v>932</v>
      </c>
      <c r="C246" s="6" t="s">
        <v>179</v>
      </c>
      <c r="D246" s="6" t="s">
        <v>873</v>
      </c>
      <c r="E246" s="6" t="s">
        <v>9</v>
      </c>
      <c r="F246" s="7" t="n">
        <v>0.694444444444444</v>
      </c>
      <c r="G246" s="6" t="s">
        <v>23</v>
      </c>
      <c r="H246" s="6" t="s">
        <v>175</v>
      </c>
      <c r="I246" s="6" t="s">
        <v>634</v>
      </c>
      <c r="J246" s="6" t="s">
        <v>180</v>
      </c>
    </row>
    <row r="247" customFormat="false" ht="15" hidden="false" customHeight="false" outlineLevel="0" collapsed="false">
      <c r="A247" s="6" t="s">
        <v>1243</v>
      </c>
      <c r="B247" s="6" t="s">
        <v>1244</v>
      </c>
      <c r="C247" s="6" t="s">
        <v>1245</v>
      </c>
      <c r="D247" s="6" t="s">
        <v>873</v>
      </c>
      <c r="E247" s="6" t="s">
        <v>9</v>
      </c>
      <c r="F247" s="7" t="n">
        <v>0.711805555555556</v>
      </c>
      <c r="G247" s="6" t="s">
        <v>13</v>
      </c>
      <c r="H247" s="6" t="s">
        <v>192</v>
      </c>
      <c r="I247" s="6" t="s">
        <v>635</v>
      </c>
      <c r="J247" s="6" t="s">
        <v>62</v>
      </c>
    </row>
    <row r="248" customFormat="false" ht="15" hidden="false" customHeight="false" outlineLevel="0" collapsed="false">
      <c r="A248" s="6" t="s">
        <v>1246</v>
      </c>
      <c r="B248" s="6" t="s">
        <v>1247</v>
      </c>
      <c r="C248" s="6" t="s">
        <v>1248</v>
      </c>
      <c r="D248" s="6" t="s">
        <v>873</v>
      </c>
      <c r="E248" s="6" t="s">
        <v>9</v>
      </c>
      <c r="F248" s="7" t="n">
        <v>0.711805555555556</v>
      </c>
      <c r="G248" s="6" t="s">
        <v>13</v>
      </c>
      <c r="H248" s="6" t="s">
        <v>192</v>
      </c>
      <c r="I248" s="6" t="s">
        <v>635</v>
      </c>
      <c r="J248" s="6" t="s">
        <v>62</v>
      </c>
    </row>
    <row r="249" customFormat="false" ht="23.85" hidden="false" customHeight="false" outlineLevel="0" collapsed="false">
      <c r="A249" s="6" t="s">
        <v>812</v>
      </c>
      <c r="B249" s="6" t="s">
        <v>1064</v>
      </c>
      <c r="C249" s="6" t="s">
        <v>963</v>
      </c>
      <c r="D249" s="6" t="s">
        <v>873</v>
      </c>
      <c r="E249" s="6" t="s">
        <v>9</v>
      </c>
      <c r="F249" s="7" t="n">
        <v>0.722222222222222</v>
      </c>
      <c r="G249" s="6" t="s">
        <v>13</v>
      </c>
      <c r="H249" s="6" t="s">
        <v>95</v>
      </c>
      <c r="I249" s="6" t="s">
        <v>639</v>
      </c>
      <c r="J249" s="6" t="s">
        <v>62</v>
      </c>
    </row>
    <row r="250" customFormat="false" ht="23.85" hidden="false" customHeight="false" outlineLevel="0" collapsed="false">
      <c r="A250" s="6" t="s">
        <v>1176</v>
      </c>
      <c r="B250" s="6" t="s">
        <v>950</v>
      </c>
      <c r="C250" s="6" t="s">
        <v>1026</v>
      </c>
      <c r="D250" s="6" t="s">
        <v>873</v>
      </c>
      <c r="E250" s="6" t="s">
        <v>9</v>
      </c>
      <c r="F250" s="7" t="n">
        <v>0.722222222222222</v>
      </c>
      <c r="G250" s="6" t="s">
        <v>13</v>
      </c>
      <c r="H250" s="6" t="s">
        <v>95</v>
      </c>
      <c r="I250" s="6" t="s">
        <v>639</v>
      </c>
      <c r="J250" s="6" t="s">
        <v>62</v>
      </c>
    </row>
    <row r="251" customFormat="false" ht="23.85" hidden="false" customHeight="false" outlineLevel="0" collapsed="false">
      <c r="A251" s="6" t="s">
        <v>924</v>
      </c>
      <c r="B251" s="6" t="s">
        <v>1249</v>
      </c>
      <c r="C251" s="6" t="s">
        <v>1250</v>
      </c>
      <c r="D251" s="6" t="s">
        <v>873</v>
      </c>
      <c r="E251" s="6" t="s">
        <v>9</v>
      </c>
      <c r="F251" s="7" t="n">
        <v>0.722222222222222</v>
      </c>
      <c r="G251" s="6" t="s">
        <v>13</v>
      </c>
      <c r="H251" s="6" t="s">
        <v>95</v>
      </c>
      <c r="I251" s="6" t="s">
        <v>639</v>
      </c>
      <c r="J251" s="6" t="s">
        <v>62</v>
      </c>
    </row>
    <row r="252" customFormat="false" ht="23.85" hidden="false" customHeight="false" outlineLevel="0" collapsed="false">
      <c r="A252" s="6" t="s">
        <v>52</v>
      </c>
      <c r="B252" s="6"/>
      <c r="C252" s="6" t="s">
        <v>53</v>
      </c>
      <c r="D252" s="6" t="s">
        <v>873</v>
      </c>
      <c r="E252" s="6" t="s">
        <v>10</v>
      </c>
      <c r="F252" s="7"/>
      <c r="G252" s="6" t="s">
        <v>24</v>
      </c>
      <c r="H252" s="6" t="s">
        <v>24</v>
      </c>
      <c r="I252" s="6" t="s">
        <v>644</v>
      </c>
      <c r="J252" s="6" t="s">
        <v>54</v>
      </c>
    </row>
    <row r="253" customFormat="false" ht="15" hidden="false" customHeight="false" outlineLevel="0" collapsed="false">
      <c r="A253" s="6" t="s">
        <v>1251</v>
      </c>
      <c r="B253" s="6" t="s">
        <v>1252</v>
      </c>
      <c r="C253" s="6" t="s">
        <v>1253</v>
      </c>
      <c r="D253" s="6" t="s">
        <v>873</v>
      </c>
      <c r="E253" s="6" t="s">
        <v>10</v>
      </c>
      <c r="F253" s="7" t="n">
        <v>0.395833333333333</v>
      </c>
      <c r="G253" s="6" t="s">
        <v>13</v>
      </c>
      <c r="H253" s="6" t="s">
        <v>199</v>
      </c>
      <c r="I253" s="6" t="s">
        <v>645</v>
      </c>
      <c r="J253" s="6" t="s">
        <v>62</v>
      </c>
    </row>
    <row r="254" customFormat="false" ht="15" hidden="false" customHeight="false" outlineLevel="0" collapsed="false">
      <c r="A254" s="6" t="s">
        <v>1254</v>
      </c>
      <c r="B254" s="6" t="s">
        <v>1255</v>
      </c>
      <c r="C254" s="6" t="s">
        <v>1256</v>
      </c>
      <c r="D254" s="6" t="s">
        <v>873</v>
      </c>
      <c r="E254" s="6" t="s">
        <v>10</v>
      </c>
      <c r="F254" s="7" t="n">
        <v>0.395833333333333</v>
      </c>
      <c r="G254" s="6" t="s">
        <v>13</v>
      </c>
      <c r="H254" s="6" t="s">
        <v>199</v>
      </c>
      <c r="I254" s="6" t="s">
        <v>645</v>
      </c>
      <c r="J254" s="6" t="s">
        <v>62</v>
      </c>
    </row>
    <row r="255" customFormat="false" ht="15" hidden="false" customHeight="false" outlineLevel="0" collapsed="false">
      <c r="A255" s="6" t="s">
        <v>1257</v>
      </c>
      <c r="B255" s="6" t="s">
        <v>890</v>
      </c>
      <c r="C255" s="6" t="s">
        <v>1258</v>
      </c>
      <c r="D255" s="6" t="s">
        <v>873</v>
      </c>
      <c r="E255" s="6" t="s">
        <v>10</v>
      </c>
      <c r="F255" s="7" t="n">
        <v>0.40625</v>
      </c>
      <c r="G255" s="6" t="s">
        <v>17</v>
      </c>
      <c r="H255" s="6" t="s">
        <v>70</v>
      </c>
      <c r="I255" s="6" t="s">
        <v>649</v>
      </c>
      <c r="J255" s="6" t="s">
        <v>69</v>
      </c>
    </row>
    <row r="256" customFormat="false" ht="15" hidden="false" customHeight="false" outlineLevel="0" collapsed="false">
      <c r="A256" s="6" t="s">
        <v>1259</v>
      </c>
      <c r="B256" s="6" t="s">
        <v>1260</v>
      </c>
      <c r="C256" s="6" t="s">
        <v>1261</v>
      </c>
      <c r="D256" s="6" t="s">
        <v>873</v>
      </c>
      <c r="E256" s="6" t="s">
        <v>10</v>
      </c>
      <c r="F256" s="7" t="n">
        <v>0.40625</v>
      </c>
      <c r="G256" s="6" t="s">
        <v>17</v>
      </c>
      <c r="H256" s="6" t="s">
        <v>70</v>
      </c>
      <c r="I256" s="6" t="s">
        <v>649</v>
      </c>
      <c r="J256" s="6" t="s">
        <v>69</v>
      </c>
    </row>
    <row r="257" customFormat="false" ht="15" hidden="false" customHeight="false" outlineLevel="0" collapsed="false">
      <c r="A257" s="6" t="s">
        <v>1262</v>
      </c>
      <c r="B257" s="6" t="s">
        <v>890</v>
      </c>
      <c r="C257" s="6" t="s">
        <v>1263</v>
      </c>
      <c r="D257" s="6" t="s">
        <v>873</v>
      </c>
      <c r="E257" s="6" t="s">
        <v>10</v>
      </c>
      <c r="F257" s="7" t="n">
        <v>0.40625</v>
      </c>
      <c r="G257" s="6" t="s">
        <v>13</v>
      </c>
      <c r="H257" s="6" t="s">
        <v>181</v>
      </c>
      <c r="I257" s="6" t="s">
        <v>653</v>
      </c>
      <c r="J257" s="6" t="s">
        <v>62</v>
      </c>
    </row>
    <row r="258" customFormat="false" ht="15" hidden="false" customHeight="false" outlineLevel="0" collapsed="false">
      <c r="A258" s="6" t="s">
        <v>1264</v>
      </c>
      <c r="B258" s="6" t="s">
        <v>965</v>
      </c>
      <c r="C258" s="6" t="s">
        <v>1265</v>
      </c>
      <c r="D258" s="6" t="s">
        <v>873</v>
      </c>
      <c r="E258" s="6" t="s">
        <v>10</v>
      </c>
      <c r="F258" s="7" t="n">
        <v>0.40625</v>
      </c>
      <c r="G258" s="6" t="s">
        <v>13</v>
      </c>
      <c r="H258" s="6" t="s">
        <v>181</v>
      </c>
      <c r="I258" s="6" t="s">
        <v>653</v>
      </c>
      <c r="J258" s="6" t="s">
        <v>62</v>
      </c>
    </row>
    <row r="259" customFormat="false" ht="23.85" hidden="false" customHeight="false" outlineLevel="0" collapsed="false">
      <c r="A259" s="6" t="s">
        <v>1257</v>
      </c>
      <c r="B259" s="6" t="s">
        <v>890</v>
      </c>
      <c r="C259" s="6" t="s">
        <v>1258</v>
      </c>
      <c r="D259" s="6" t="s">
        <v>873</v>
      </c>
      <c r="E259" s="6" t="s">
        <v>10</v>
      </c>
      <c r="F259" s="7" t="n">
        <v>0.416666666666667</v>
      </c>
      <c r="G259" s="6" t="s">
        <v>17</v>
      </c>
      <c r="H259" s="6" t="s">
        <v>95</v>
      </c>
      <c r="I259" s="6" t="s">
        <v>657</v>
      </c>
      <c r="J259" s="6" t="s">
        <v>69</v>
      </c>
    </row>
    <row r="260" customFormat="false" ht="23.85" hidden="false" customHeight="false" outlineLevel="0" collapsed="false">
      <c r="A260" s="6" t="s">
        <v>1266</v>
      </c>
      <c r="B260" s="6" t="s">
        <v>1267</v>
      </c>
      <c r="C260" s="6" t="s">
        <v>1268</v>
      </c>
      <c r="D260" s="6" t="s">
        <v>873</v>
      </c>
      <c r="E260" s="6" t="s">
        <v>10</v>
      </c>
      <c r="F260" s="7" t="n">
        <v>0.416666666666667</v>
      </c>
      <c r="G260" s="6" t="s">
        <v>17</v>
      </c>
      <c r="H260" s="6" t="s">
        <v>95</v>
      </c>
      <c r="I260" s="6" t="s">
        <v>657</v>
      </c>
      <c r="J260" s="6" t="s">
        <v>69</v>
      </c>
    </row>
    <row r="261" customFormat="false" ht="23.85" hidden="false" customHeight="false" outlineLevel="0" collapsed="false">
      <c r="A261" s="6" t="s">
        <v>1269</v>
      </c>
      <c r="B261" s="6" t="s">
        <v>1270</v>
      </c>
      <c r="C261" s="6" t="s">
        <v>1211</v>
      </c>
      <c r="D261" s="6" t="s">
        <v>873</v>
      </c>
      <c r="E261" s="6" t="s">
        <v>10</v>
      </c>
      <c r="F261" s="7" t="n">
        <v>0.416666666666667</v>
      </c>
      <c r="G261" s="6" t="s">
        <v>17</v>
      </c>
      <c r="H261" s="6" t="s">
        <v>95</v>
      </c>
      <c r="I261" s="6" t="s">
        <v>657</v>
      </c>
      <c r="J261" s="6" t="s">
        <v>69</v>
      </c>
    </row>
    <row r="262" customFormat="false" ht="23.85" hidden="false" customHeight="false" outlineLevel="0" collapsed="false">
      <c r="A262" s="6" t="s">
        <v>1262</v>
      </c>
      <c r="B262" s="6" t="s">
        <v>890</v>
      </c>
      <c r="C262" s="6" t="s">
        <v>1263</v>
      </c>
      <c r="D262" s="6" t="s">
        <v>873</v>
      </c>
      <c r="E262" s="6" t="s">
        <v>10</v>
      </c>
      <c r="F262" s="7" t="n">
        <v>0.416666666666667</v>
      </c>
      <c r="G262" s="6" t="s">
        <v>13</v>
      </c>
      <c r="H262" s="6" t="s">
        <v>95</v>
      </c>
      <c r="I262" s="6" t="s">
        <v>662</v>
      </c>
      <c r="J262" s="6" t="s">
        <v>62</v>
      </c>
    </row>
    <row r="263" customFormat="false" ht="23.85" hidden="false" customHeight="false" outlineLevel="0" collapsed="false">
      <c r="A263" s="6" t="s">
        <v>1271</v>
      </c>
      <c r="B263" s="6" t="s">
        <v>1272</v>
      </c>
      <c r="C263" s="6" t="s">
        <v>1273</v>
      </c>
      <c r="D263" s="6" t="s">
        <v>873</v>
      </c>
      <c r="E263" s="6" t="s">
        <v>10</v>
      </c>
      <c r="F263" s="7" t="n">
        <v>0.416666666666667</v>
      </c>
      <c r="G263" s="6" t="s">
        <v>13</v>
      </c>
      <c r="H263" s="6" t="s">
        <v>95</v>
      </c>
      <c r="I263" s="6" t="s">
        <v>662</v>
      </c>
      <c r="J263" s="6" t="s">
        <v>62</v>
      </c>
    </row>
    <row r="264" customFormat="false" ht="23.85" hidden="false" customHeight="false" outlineLevel="0" collapsed="false">
      <c r="A264" s="6" t="s">
        <v>1274</v>
      </c>
      <c r="B264" s="6" t="s">
        <v>1275</v>
      </c>
      <c r="C264" s="6" t="s">
        <v>1276</v>
      </c>
      <c r="D264" s="6" t="s">
        <v>873</v>
      </c>
      <c r="E264" s="6" t="s">
        <v>10</v>
      </c>
      <c r="F264" s="7" t="n">
        <v>0.416666666666667</v>
      </c>
      <c r="G264" s="6" t="s">
        <v>13</v>
      </c>
      <c r="H264" s="6" t="s">
        <v>95</v>
      </c>
      <c r="I264" s="6" t="s">
        <v>662</v>
      </c>
      <c r="J264" s="6" t="s">
        <v>62</v>
      </c>
    </row>
    <row r="265" customFormat="false" ht="23.85" hidden="false" customHeight="false" outlineLevel="0" collapsed="false">
      <c r="A265" s="6" t="s">
        <v>52</v>
      </c>
      <c r="B265" s="6"/>
      <c r="C265" s="6" t="s">
        <v>53</v>
      </c>
      <c r="D265" s="6" t="s">
        <v>873</v>
      </c>
      <c r="E265" s="6" t="s">
        <v>10</v>
      </c>
      <c r="F265" s="7" t="n">
        <v>0.447916666666667</v>
      </c>
      <c r="G265" s="6" t="s">
        <v>24</v>
      </c>
      <c r="H265" s="6" t="s">
        <v>24</v>
      </c>
      <c r="I265" s="6" t="s">
        <v>666</v>
      </c>
      <c r="J265" s="6" t="s">
        <v>54</v>
      </c>
    </row>
    <row r="266" customFormat="false" ht="15" hidden="false" customHeight="false" outlineLevel="0" collapsed="false">
      <c r="A266" s="6" t="s">
        <v>669</v>
      </c>
      <c r="B266" s="6" t="s">
        <v>1237</v>
      </c>
      <c r="C266" s="6" t="s">
        <v>670</v>
      </c>
      <c r="D266" s="6" t="s">
        <v>873</v>
      </c>
      <c r="E266" s="6" t="s">
        <v>10</v>
      </c>
      <c r="F266" s="7" t="n">
        <v>0.493055555555556</v>
      </c>
      <c r="G266" s="6" t="s">
        <v>28</v>
      </c>
      <c r="H266" s="6" t="s">
        <v>251</v>
      </c>
      <c r="I266" s="6" t="s">
        <v>667</v>
      </c>
      <c r="J266" s="6" t="s">
        <v>28</v>
      </c>
    </row>
    <row r="267" customFormat="false" ht="15" hidden="false" customHeight="false" outlineLevel="0" collapsed="false">
      <c r="A267" s="6" t="s">
        <v>178</v>
      </c>
      <c r="B267" s="6" t="s">
        <v>932</v>
      </c>
      <c r="C267" s="6" t="s">
        <v>179</v>
      </c>
      <c r="D267" s="6" t="s">
        <v>873</v>
      </c>
      <c r="E267" s="6" t="s">
        <v>10</v>
      </c>
      <c r="F267" s="7" t="n">
        <v>0.496527777777778</v>
      </c>
      <c r="G267" s="6" t="s">
        <v>23</v>
      </c>
      <c r="H267" s="6" t="s">
        <v>175</v>
      </c>
      <c r="I267" s="6" t="s">
        <v>176</v>
      </c>
      <c r="J267" s="6" t="s">
        <v>180</v>
      </c>
    </row>
    <row r="268" customFormat="false" ht="23.85" hidden="false" customHeight="false" outlineLevel="0" collapsed="false">
      <c r="A268" s="6" t="s">
        <v>1277</v>
      </c>
      <c r="B268" s="6" t="s">
        <v>1278</v>
      </c>
      <c r="C268" s="6" t="s">
        <v>1279</v>
      </c>
      <c r="D268" s="6" t="s">
        <v>873</v>
      </c>
      <c r="E268" s="6" t="s">
        <v>10</v>
      </c>
      <c r="F268" s="7" t="n">
        <v>0.5</v>
      </c>
      <c r="G268" s="6" t="s">
        <v>20</v>
      </c>
      <c r="H268" s="6" t="s">
        <v>181</v>
      </c>
      <c r="I268" s="6" t="s">
        <v>671</v>
      </c>
      <c r="J268" s="6" t="s">
        <v>220</v>
      </c>
    </row>
    <row r="269" customFormat="false" ht="23.85" hidden="false" customHeight="false" outlineLevel="0" collapsed="false">
      <c r="A269" s="6" t="s">
        <v>1280</v>
      </c>
      <c r="B269" s="6" t="s">
        <v>1281</v>
      </c>
      <c r="C269" s="6" t="s">
        <v>1282</v>
      </c>
      <c r="D269" s="6" t="s">
        <v>873</v>
      </c>
      <c r="E269" s="6" t="s">
        <v>10</v>
      </c>
      <c r="F269" s="7" t="n">
        <v>0.5</v>
      </c>
      <c r="G269" s="6" t="s">
        <v>20</v>
      </c>
      <c r="H269" s="6" t="s">
        <v>181</v>
      </c>
      <c r="I269" s="6" t="s">
        <v>671</v>
      </c>
      <c r="J269" s="6" t="s">
        <v>220</v>
      </c>
    </row>
    <row r="270" customFormat="false" ht="15" hidden="false" customHeight="false" outlineLevel="0" collapsed="false">
      <c r="A270" s="6" t="s">
        <v>677</v>
      </c>
      <c r="B270" s="6" t="s">
        <v>1283</v>
      </c>
      <c r="C270" s="6" t="s">
        <v>678</v>
      </c>
      <c r="D270" s="6" t="s">
        <v>873</v>
      </c>
      <c r="E270" s="6" t="s">
        <v>10</v>
      </c>
      <c r="F270" s="7" t="n">
        <v>0.5</v>
      </c>
      <c r="G270" s="6" t="s">
        <v>28</v>
      </c>
      <c r="H270" s="6" t="s">
        <v>251</v>
      </c>
      <c r="I270" s="6" t="s">
        <v>675</v>
      </c>
      <c r="J270" s="6" t="s">
        <v>28</v>
      </c>
    </row>
    <row r="271" customFormat="false" ht="15" hidden="false" customHeight="false" outlineLevel="0" collapsed="false">
      <c r="A271" s="6" t="s">
        <v>1284</v>
      </c>
      <c r="B271" s="6" t="s">
        <v>895</v>
      </c>
      <c r="C271" s="6" t="s">
        <v>1285</v>
      </c>
      <c r="D271" s="6" t="s">
        <v>873</v>
      </c>
      <c r="E271" s="6" t="s">
        <v>10</v>
      </c>
      <c r="F271" s="7" t="n">
        <v>0.5</v>
      </c>
      <c r="G271" s="6" t="s">
        <v>13</v>
      </c>
      <c r="H271" s="6" t="s">
        <v>70</v>
      </c>
      <c r="I271" s="6" t="s">
        <v>679</v>
      </c>
      <c r="J271" s="6" t="s">
        <v>62</v>
      </c>
    </row>
    <row r="272" customFormat="false" ht="15" hidden="false" customHeight="false" outlineLevel="0" collapsed="false">
      <c r="A272" s="6" t="s">
        <v>1286</v>
      </c>
      <c r="B272" s="6" t="s">
        <v>1037</v>
      </c>
      <c r="C272" s="6" t="s">
        <v>1287</v>
      </c>
      <c r="D272" s="6" t="s">
        <v>873</v>
      </c>
      <c r="E272" s="6" t="s">
        <v>10</v>
      </c>
      <c r="F272" s="7" t="n">
        <v>0.5</v>
      </c>
      <c r="G272" s="6" t="s">
        <v>13</v>
      </c>
      <c r="H272" s="6" t="s">
        <v>70</v>
      </c>
      <c r="I272" s="6" t="s">
        <v>679</v>
      </c>
      <c r="J272" s="6" t="s">
        <v>62</v>
      </c>
    </row>
    <row r="273" customFormat="false" ht="23.85" hidden="false" customHeight="false" outlineLevel="0" collapsed="false">
      <c r="A273" s="6" t="s">
        <v>1288</v>
      </c>
      <c r="B273" s="6" t="s">
        <v>1289</v>
      </c>
      <c r="C273" s="6" t="s">
        <v>1290</v>
      </c>
      <c r="D273" s="6" t="s">
        <v>873</v>
      </c>
      <c r="E273" s="6" t="s">
        <v>10</v>
      </c>
      <c r="F273" s="7" t="n">
        <v>0.5</v>
      </c>
      <c r="G273" s="6" t="s">
        <v>14</v>
      </c>
      <c r="H273" s="6" t="s">
        <v>181</v>
      </c>
      <c r="I273" s="6" t="s">
        <v>683</v>
      </c>
      <c r="J273" s="6" t="s">
        <v>69</v>
      </c>
    </row>
    <row r="274" customFormat="false" ht="23.85" hidden="false" customHeight="false" outlineLevel="0" collapsed="false">
      <c r="A274" s="6" t="s">
        <v>1027</v>
      </c>
      <c r="B274" s="6" t="s">
        <v>1028</v>
      </c>
      <c r="C274" s="6" t="s">
        <v>1029</v>
      </c>
      <c r="D274" s="6" t="s">
        <v>873</v>
      </c>
      <c r="E274" s="6" t="s">
        <v>10</v>
      </c>
      <c r="F274" s="7" t="n">
        <v>0.5</v>
      </c>
      <c r="G274" s="6" t="s">
        <v>14</v>
      </c>
      <c r="H274" s="6" t="s">
        <v>181</v>
      </c>
      <c r="I274" s="6" t="s">
        <v>683</v>
      </c>
      <c r="J274" s="6" t="s">
        <v>69</v>
      </c>
    </row>
    <row r="275" customFormat="false" ht="23.85" hidden="false" customHeight="false" outlineLevel="0" collapsed="false">
      <c r="A275" s="6" t="s">
        <v>689</v>
      </c>
      <c r="B275" s="6" t="s">
        <v>1291</v>
      </c>
      <c r="C275" s="6" t="s">
        <v>690</v>
      </c>
      <c r="D275" s="6" t="s">
        <v>873</v>
      </c>
      <c r="E275" s="6" t="s">
        <v>10</v>
      </c>
      <c r="F275" s="7" t="n">
        <v>0.5</v>
      </c>
      <c r="G275" s="6" t="s">
        <v>23</v>
      </c>
      <c r="H275" s="6" t="s">
        <v>192</v>
      </c>
      <c r="I275" s="6" t="s">
        <v>687</v>
      </c>
      <c r="J275" s="6" t="s">
        <v>180</v>
      </c>
    </row>
    <row r="276" customFormat="false" ht="23.85" hidden="false" customHeight="false" outlineLevel="0" collapsed="false">
      <c r="A276" s="6" t="s">
        <v>693</v>
      </c>
      <c r="B276" s="6" t="s">
        <v>1292</v>
      </c>
      <c r="C276" s="6" t="s">
        <v>694</v>
      </c>
      <c r="D276" s="6" t="s">
        <v>873</v>
      </c>
      <c r="E276" s="6" t="s">
        <v>10</v>
      </c>
      <c r="F276" s="7" t="n">
        <v>0.5</v>
      </c>
      <c r="G276" s="6" t="s">
        <v>12</v>
      </c>
      <c r="H276" s="6" t="s">
        <v>199</v>
      </c>
      <c r="I276" s="6" t="s">
        <v>691</v>
      </c>
      <c r="J276" s="6" t="s">
        <v>197</v>
      </c>
    </row>
    <row r="277" customFormat="false" ht="23.85" hidden="false" customHeight="false" outlineLevel="0" collapsed="false">
      <c r="A277" s="6" t="s">
        <v>1069</v>
      </c>
      <c r="B277" s="6" t="s">
        <v>1070</v>
      </c>
      <c r="C277" s="6" t="s">
        <v>1071</v>
      </c>
      <c r="D277" s="6" t="s">
        <v>873</v>
      </c>
      <c r="E277" s="6" t="s">
        <v>10</v>
      </c>
      <c r="F277" s="7" t="n">
        <v>0.5</v>
      </c>
      <c r="G277" s="6" t="s">
        <v>26</v>
      </c>
      <c r="H277" s="6" t="s">
        <v>192</v>
      </c>
      <c r="I277" s="6" t="s">
        <v>695</v>
      </c>
      <c r="J277" s="6" t="s">
        <v>240</v>
      </c>
    </row>
    <row r="278" customFormat="false" ht="23.85" hidden="false" customHeight="false" outlineLevel="0" collapsed="false">
      <c r="A278" s="6" t="s">
        <v>1293</v>
      </c>
      <c r="B278" s="6" t="s">
        <v>965</v>
      </c>
      <c r="C278" s="6" t="s">
        <v>1294</v>
      </c>
      <c r="D278" s="6" t="s">
        <v>873</v>
      </c>
      <c r="E278" s="6" t="s">
        <v>10</v>
      </c>
      <c r="F278" s="7" t="n">
        <v>0.5</v>
      </c>
      <c r="G278" s="6" t="s">
        <v>26</v>
      </c>
      <c r="H278" s="6" t="s">
        <v>192</v>
      </c>
      <c r="I278" s="6" t="s">
        <v>695</v>
      </c>
      <c r="J278" s="6" t="s">
        <v>240</v>
      </c>
    </row>
    <row r="279" customFormat="false" ht="15" hidden="false" customHeight="false" outlineLevel="0" collapsed="false">
      <c r="A279" s="6" t="s">
        <v>701</v>
      </c>
      <c r="B279" s="6" t="s">
        <v>1295</v>
      </c>
      <c r="C279" s="6" t="s">
        <v>702</v>
      </c>
      <c r="D279" s="6" t="s">
        <v>873</v>
      </c>
      <c r="E279" s="6" t="s">
        <v>10</v>
      </c>
      <c r="F279" s="7" t="n">
        <v>0.5</v>
      </c>
      <c r="G279" s="6" t="s">
        <v>15</v>
      </c>
      <c r="H279" s="6" t="s">
        <v>192</v>
      </c>
      <c r="I279" s="6" t="s">
        <v>699</v>
      </c>
      <c r="J279" s="6" t="s">
        <v>226</v>
      </c>
    </row>
    <row r="280" customFormat="false" ht="23.85" hidden="false" customHeight="false" outlineLevel="0" collapsed="false">
      <c r="A280" s="6" t="s">
        <v>706</v>
      </c>
      <c r="B280" s="6" t="s">
        <v>1296</v>
      </c>
      <c r="C280" s="6" t="s">
        <v>707</v>
      </c>
      <c r="D280" s="6" t="s">
        <v>873</v>
      </c>
      <c r="E280" s="6" t="s">
        <v>10</v>
      </c>
      <c r="F280" s="7" t="n">
        <v>0.506944444444444</v>
      </c>
      <c r="G280" s="6" t="s">
        <v>28</v>
      </c>
      <c r="H280" s="6" t="s">
        <v>251</v>
      </c>
      <c r="I280" s="6" t="s">
        <v>704</v>
      </c>
      <c r="J280" s="6" t="s">
        <v>28</v>
      </c>
    </row>
    <row r="281" customFormat="false" ht="15" hidden="false" customHeight="false" outlineLevel="0" collapsed="false">
      <c r="A281" s="6" t="s">
        <v>710</v>
      </c>
      <c r="B281" s="6" t="s">
        <v>1297</v>
      </c>
      <c r="C281" s="6" t="s">
        <v>711</v>
      </c>
      <c r="D281" s="6" t="s">
        <v>873</v>
      </c>
      <c r="E281" s="6" t="s">
        <v>10</v>
      </c>
      <c r="F281" s="7" t="n">
        <v>0.510416666666667</v>
      </c>
      <c r="G281" s="6" t="s">
        <v>12</v>
      </c>
      <c r="H281" s="6" t="s">
        <v>192</v>
      </c>
      <c r="I281" s="6" t="s">
        <v>708</v>
      </c>
      <c r="J281" s="6" t="s">
        <v>197</v>
      </c>
    </row>
    <row r="282" customFormat="false" ht="23.85" hidden="false" customHeight="false" outlineLevel="0" collapsed="false">
      <c r="A282" s="6" t="s">
        <v>1298</v>
      </c>
      <c r="B282" s="6" t="s">
        <v>1299</v>
      </c>
      <c r="C282" s="6" t="s">
        <v>1300</v>
      </c>
      <c r="D282" s="6" t="s">
        <v>873</v>
      </c>
      <c r="E282" s="6" t="s">
        <v>10</v>
      </c>
      <c r="F282" s="7" t="n">
        <v>0.510416666666667</v>
      </c>
      <c r="G282" s="6" t="s">
        <v>15</v>
      </c>
      <c r="H282" s="6" t="s">
        <v>95</v>
      </c>
      <c r="I282" s="6" t="s">
        <v>712</v>
      </c>
      <c r="J282" s="6" t="s">
        <v>226</v>
      </c>
    </row>
    <row r="283" customFormat="false" ht="23.85" hidden="false" customHeight="false" outlineLevel="0" collapsed="false">
      <c r="A283" s="6" t="s">
        <v>1301</v>
      </c>
      <c r="B283" s="6" t="s">
        <v>1302</v>
      </c>
      <c r="C283" s="6" t="s">
        <v>1303</v>
      </c>
      <c r="D283" s="6" t="s">
        <v>873</v>
      </c>
      <c r="E283" s="6" t="s">
        <v>10</v>
      </c>
      <c r="F283" s="7" t="n">
        <v>0.510416666666667</v>
      </c>
      <c r="G283" s="6" t="s">
        <v>15</v>
      </c>
      <c r="H283" s="6" t="s">
        <v>95</v>
      </c>
      <c r="I283" s="6" t="s">
        <v>712</v>
      </c>
      <c r="J283" s="6" t="s">
        <v>226</v>
      </c>
    </row>
    <row r="284" customFormat="false" ht="23.85" hidden="false" customHeight="false" outlineLevel="0" collapsed="false">
      <c r="A284" s="6" t="s">
        <v>1304</v>
      </c>
      <c r="B284" s="6" t="s">
        <v>1305</v>
      </c>
      <c r="C284" s="6" t="s">
        <v>1306</v>
      </c>
      <c r="D284" s="6" t="s">
        <v>873</v>
      </c>
      <c r="E284" s="6" t="s">
        <v>10</v>
      </c>
      <c r="F284" s="7" t="n">
        <v>0.510416666666667</v>
      </c>
      <c r="G284" s="6" t="s">
        <v>15</v>
      </c>
      <c r="H284" s="6" t="s">
        <v>95</v>
      </c>
      <c r="I284" s="6" t="s">
        <v>712</v>
      </c>
      <c r="J284" s="6" t="s">
        <v>226</v>
      </c>
    </row>
    <row r="285" customFormat="false" ht="23.85" hidden="false" customHeight="false" outlineLevel="0" collapsed="false">
      <c r="A285" s="6" t="s">
        <v>1307</v>
      </c>
      <c r="B285" s="6" t="s">
        <v>1308</v>
      </c>
      <c r="C285" s="6" t="s">
        <v>1309</v>
      </c>
      <c r="D285" s="6" t="s">
        <v>873</v>
      </c>
      <c r="E285" s="6" t="s">
        <v>10</v>
      </c>
      <c r="F285" s="7" t="n">
        <v>0.510416666666667</v>
      </c>
      <c r="G285" s="6" t="s">
        <v>26</v>
      </c>
      <c r="H285" s="6" t="s">
        <v>181</v>
      </c>
      <c r="I285" s="6" t="s">
        <v>717</v>
      </c>
      <c r="J285" s="6" t="s">
        <v>240</v>
      </c>
    </row>
    <row r="286" customFormat="false" ht="23.85" hidden="false" customHeight="false" outlineLevel="0" collapsed="false">
      <c r="A286" s="6" t="s">
        <v>1310</v>
      </c>
      <c r="B286" s="6" t="s">
        <v>1126</v>
      </c>
      <c r="C286" s="6" t="s">
        <v>1311</v>
      </c>
      <c r="D286" s="6" t="s">
        <v>873</v>
      </c>
      <c r="E286" s="6" t="s">
        <v>10</v>
      </c>
      <c r="F286" s="7" t="n">
        <v>0.510416666666667</v>
      </c>
      <c r="G286" s="6" t="s">
        <v>26</v>
      </c>
      <c r="H286" s="6" t="s">
        <v>181</v>
      </c>
      <c r="I286" s="6" t="s">
        <v>717</v>
      </c>
      <c r="J286" s="6" t="s">
        <v>240</v>
      </c>
    </row>
    <row r="287" customFormat="false" ht="23.85" hidden="false" customHeight="false" outlineLevel="0" collapsed="false">
      <c r="A287" s="6" t="s">
        <v>724</v>
      </c>
      <c r="B287" s="6" t="s">
        <v>1312</v>
      </c>
      <c r="C287" s="6" t="s">
        <v>725</v>
      </c>
      <c r="D287" s="6" t="s">
        <v>873</v>
      </c>
      <c r="E287" s="6" t="s">
        <v>10</v>
      </c>
      <c r="F287" s="7" t="n">
        <v>0.510416666666667</v>
      </c>
      <c r="G287" s="6" t="s">
        <v>20</v>
      </c>
      <c r="H287" s="6" t="s">
        <v>199</v>
      </c>
      <c r="I287" s="6" t="s">
        <v>722</v>
      </c>
      <c r="J287" s="6" t="s">
        <v>220</v>
      </c>
    </row>
    <row r="288" customFormat="false" ht="23.85" hidden="false" customHeight="false" outlineLevel="0" collapsed="false">
      <c r="A288" s="6" t="s">
        <v>728</v>
      </c>
      <c r="B288" s="6" t="s">
        <v>1313</v>
      </c>
      <c r="C288" s="6" t="s">
        <v>729</v>
      </c>
      <c r="D288" s="6" t="s">
        <v>873</v>
      </c>
      <c r="E288" s="6" t="s">
        <v>10</v>
      </c>
      <c r="F288" s="7" t="n">
        <v>0.510416666666667</v>
      </c>
      <c r="G288" s="6" t="s">
        <v>14</v>
      </c>
      <c r="H288" s="6" t="s">
        <v>192</v>
      </c>
      <c r="I288" s="6" t="s">
        <v>726</v>
      </c>
      <c r="J288" s="6" t="s">
        <v>69</v>
      </c>
    </row>
    <row r="289" customFormat="false" ht="15" hidden="false" customHeight="false" outlineLevel="0" collapsed="false">
      <c r="A289" s="6" t="s">
        <v>1314</v>
      </c>
      <c r="B289" s="6" t="s">
        <v>1315</v>
      </c>
      <c r="C289" s="6" t="s">
        <v>1316</v>
      </c>
      <c r="D289" s="6" t="s">
        <v>873</v>
      </c>
      <c r="E289" s="6" t="s">
        <v>10</v>
      </c>
      <c r="F289" s="7" t="n">
        <v>0.510416666666667</v>
      </c>
      <c r="G289" s="6" t="s">
        <v>23</v>
      </c>
      <c r="H289" s="6" t="s">
        <v>192</v>
      </c>
      <c r="I289" s="6" t="s">
        <v>730</v>
      </c>
      <c r="J289" s="6" t="s">
        <v>180</v>
      </c>
    </row>
    <row r="290" customFormat="false" ht="15" hidden="false" customHeight="false" outlineLevel="0" collapsed="false">
      <c r="A290" s="6" t="s">
        <v>1317</v>
      </c>
      <c r="B290" s="6" t="s">
        <v>1318</v>
      </c>
      <c r="C290" s="6" t="s">
        <v>1319</v>
      </c>
      <c r="D290" s="6" t="s">
        <v>873</v>
      </c>
      <c r="E290" s="6" t="s">
        <v>10</v>
      </c>
      <c r="F290" s="7" t="n">
        <v>0.510416666666667</v>
      </c>
      <c r="G290" s="6" t="s">
        <v>23</v>
      </c>
      <c r="H290" s="6" t="s">
        <v>192</v>
      </c>
      <c r="I290" s="6" t="s">
        <v>730</v>
      </c>
      <c r="J290" s="6" t="s">
        <v>180</v>
      </c>
    </row>
    <row r="291" customFormat="false" ht="15" hidden="false" customHeight="false" outlineLevel="0" collapsed="false">
      <c r="A291" s="6" t="s">
        <v>737</v>
      </c>
      <c r="B291" s="6" t="s">
        <v>1320</v>
      </c>
      <c r="C291" s="6" t="s">
        <v>738</v>
      </c>
      <c r="D291" s="6" t="s">
        <v>873</v>
      </c>
      <c r="E291" s="6" t="s">
        <v>10</v>
      </c>
      <c r="F291" s="7" t="n">
        <v>0.513888888888889</v>
      </c>
      <c r="G291" s="6" t="s">
        <v>28</v>
      </c>
      <c r="H291" s="6" t="s">
        <v>251</v>
      </c>
      <c r="I291" s="6" t="s">
        <v>735</v>
      </c>
      <c r="J291" s="6" t="s">
        <v>28</v>
      </c>
    </row>
    <row r="292" customFormat="false" ht="23.85" hidden="false" customHeight="false" outlineLevel="0" collapsed="false">
      <c r="A292" s="6" t="s">
        <v>1321</v>
      </c>
      <c r="B292" s="6" t="s">
        <v>1322</v>
      </c>
      <c r="C292" s="6" t="s">
        <v>1323</v>
      </c>
      <c r="D292" s="6" t="s">
        <v>873</v>
      </c>
      <c r="E292" s="6" t="s">
        <v>10</v>
      </c>
      <c r="F292" s="7" t="n">
        <v>0.520833333333333</v>
      </c>
      <c r="G292" s="6" t="s">
        <v>20</v>
      </c>
      <c r="H292" s="6" t="s">
        <v>95</v>
      </c>
      <c r="I292" s="6" t="s">
        <v>739</v>
      </c>
      <c r="J292" s="6" t="s">
        <v>220</v>
      </c>
    </row>
    <row r="293" customFormat="false" ht="23.85" hidden="false" customHeight="false" outlineLevel="0" collapsed="false">
      <c r="A293" s="6" t="s">
        <v>1324</v>
      </c>
      <c r="B293" s="6" t="s">
        <v>1325</v>
      </c>
      <c r="C293" s="6" t="s">
        <v>551</v>
      </c>
      <c r="D293" s="6" t="s">
        <v>873</v>
      </c>
      <c r="E293" s="6" t="s">
        <v>10</v>
      </c>
      <c r="F293" s="7" t="n">
        <v>0.520833333333333</v>
      </c>
      <c r="G293" s="6" t="s">
        <v>20</v>
      </c>
      <c r="H293" s="6" t="s">
        <v>95</v>
      </c>
      <c r="I293" s="6" t="s">
        <v>739</v>
      </c>
      <c r="J293" s="6" t="s">
        <v>220</v>
      </c>
    </row>
    <row r="294" customFormat="false" ht="23.85" hidden="false" customHeight="false" outlineLevel="0" collapsed="false">
      <c r="A294" s="6" t="s">
        <v>1326</v>
      </c>
      <c r="B294" s="6" t="s">
        <v>1327</v>
      </c>
      <c r="C294" s="6" t="s">
        <v>1328</v>
      </c>
      <c r="D294" s="6" t="s">
        <v>873</v>
      </c>
      <c r="E294" s="6" t="s">
        <v>10</v>
      </c>
      <c r="F294" s="7" t="n">
        <v>0.520833333333333</v>
      </c>
      <c r="G294" s="6" t="s">
        <v>20</v>
      </c>
      <c r="H294" s="6" t="s">
        <v>95</v>
      </c>
      <c r="I294" s="6" t="s">
        <v>739</v>
      </c>
      <c r="J294" s="6" t="s">
        <v>220</v>
      </c>
    </row>
    <row r="295" customFormat="false" ht="23.85" hidden="false" customHeight="false" outlineLevel="0" collapsed="false">
      <c r="A295" s="6" t="s">
        <v>1039</v>
      </c>
      <c r="B295" s="6" t="s">
        <v>1040</v>
      </c>
      <c r="C295" s="6" t="s">
        <v>690</v>
      </c>
      <c r="D295" s="6" t="s">
        <v>873</v>
      </c>
      <c r="E295" s="6" t="s">
        <v>10</v>
      </c>
      <c r="F295" s="7" t="n">
        <v>0.520833333333333</v>
      </c>
      <c r="G295" s="6" t="s">
        <v>26</v>
      </c>
      <c r="H295" s="6" t="s">
        <v>95</v>
      </c>
      <c r="I295" s="6" t="s">
        <v>744</v>
      </c>
      <c r="J295" s="6" t="s">
        <v>240</v>
      </c>
    </row>
    <row r="296" customFormat="false" ht="23.85" hidden="false" customHeight="false" outlineLevel="0" collapsed="false">
      <c r="A296" s="6" t="s">
        <v>1203</v>
      </c>
      <c r="B296" s="6" t="s">
        <v>1204</v>
      </c>
      <c r="C296" s="6" t="s">
        <v>1205</v>
      </c>
      <c r="D296" s="6" t="s">
        <v>873</v>
      </c>
      <c r="E296" s="6" t="s">
        <v>10</v>
      </c>
      <c r="F296" s="7" t="n">
        <v>0.520833333333333</v>
      </c>
      <c r="G296" s="6" t="s">
        <v>26</v>
      </c>
      <c r="H296" s="6" t="s">
        <v>95</v>
      </c>
      <c r="I296" s="6" t="s">
        <v>744</v>
      </c>
      <c r="J296" s="6" t="s">
        <v>240</v>
      </c>
    </row>
    <row r="297" customFormat="false" ht="23.85" hidden="false" customHeight="false" outlineLevel="0" collapsed="false">
      <c r="A297" s="6" t="s">
        <v>1329</v>
      </c>
      <c r="B297" s="6" t="s">
        <v>1174</v>
      </c>
      <c r="C297" s="6" t="s">
        <v>1330</v>
      </c>
      <c r="D297" s="6" t="s">
        <v>873</v>
      </c>
      <c r="E297" s="6" t="s">
        <v>10</v>
      </c>
      <c r="F297" s="7" t="n">
        <v>0.520833333333333</v>
      </c>
      <c r="G297" s="6" t="s">
        <v>26</v>
      </c>
      <c r="H297" s="6" t="s">
        <v>95</v>
      </c>
      <c r="I297" s="6" t="s">
        <v>744</v>
      </c>
      <c r="J297" s="6" t="s">
        <v>240</v>
      </c>
    </row>
    <row r="298" customFormat="false" ht="23.85" hidden="false" customHeight="false" outlineLevel="0" collapsed="false">
      <c r="A298" s="6" t="s">
        <v>998</v>
      </c>
      <c r="B298" s="6" t="s">
        <v>999</v>
      </c>
      <c r="C298" s="6" t="s">
        <v>1000</v>
      </c>
      <c r="D298" s="6" t="s">
        <v>873</v>
      </c>
      <c r="E298" s="6" t="s">
        <v>10</v>
      </c>
      <c r="F298" s="7" t="n">
        <v>0.520833333333333</v>
      </c>
      <c r="G298" s="6" t="s">
        <v>14</v>
      </c>
      <c r="H298" s="6" t="s">
        <v>95</v>
      </c>
      <c r="I298" s="6" t="s">
        <v>749</v>
      </c>
      <c r="J298" s="6" t="s">
        <v>69</v>
      </c>
    </row>
    <row r="299" customFormat="false" ht="23.85" hidden="false" customHeight="false" outlineLevel="0" collapsed="false">
      <c r="A299" s="6" t="s">
        <v>1288</v>
      </c>
      <c r="B299" s="6" t="s">
        <v>1289</v>
      </c>
      <c r="C299" s="6" t="s">
        <v>1290</v>
      </c>
      <c r="D299" s="6" t="s">
        <v>873</v>
      </c>
      <c r="E299" s="6" t="s">
        <v>10</v>
      </c>
      <c r="F299" s="7" t="n">
        <v>0.520833333333333</v>
      </c>
      <c r="G299" s="6" t="s">
        <v>14</v>
      </c>
      <c r="H299" s="6" t="s">
        <v>95</v>
      </c>
      <c r="I299" s="6" t="s">
        <v>749</v>
      </c>
      <c r="J299" s="6" t="s">
        <v>69</v>
      </c>
    </row>
    <row r="300" customFormat="false" ht="23.85" hidden="false" customHeight="false" outlineLevel="0" collapsed="false">
      <c r="A300" s="6" t="s">
        <v>1331</v>
      </c>
      <c r="B300" s="6" t="s">
        <v>950</v>
      </c>
      <c r="C300" s="6" t="s">
        <v>1258</v>
      </c>
      <c r="D300" s="6" t="s">
        <v>873</v>
      </c>
      <c r="E300" s="6" t="s">
        <v>10</v>
      </c>
      <c r="F300" s="7" t="n">
        <v>0.520833333333333</v>
      </c>
      <c r="G300" s="6" t="s">
        <v>14</v>
      </c>
      <c r="H300" s="6" t="s">
        <v>95</v>
      </c>
      <c r="I300" s="6" t="s">
        <v>749</v>
      </c>
      <c r="J300" s="6" t="s">
        <v>69</v>
      </c>
    </row>
    <row r="301" customFormat="false" ht="23.85" hidden="false" customHeight="false" outlineLevel="0" collapsed="false">
      <c r="A301" s="6" t="s">
        <v>689</v>
      </c>
      <c r="B301" s="6" t="s">
        <v>1291</v>
      </c>
      <c r="C301" s="6" t="s">
        <v>690</v>
      </c>
      <c r="D301" s="6" t="s">
        <v>873</v>
      </c>
      <c r="E301" s="6" t="s">
        <v>10</v>
      </c>
      <c r="F301" s="7" t="n">
        <v>0.520833333333333</v>
      </c>
      <c r="G301" s="6" t="s">
        <v>23</v>
      </c>
      <c r="H301" s="6" t="s">
        <v>199</v>
      </c>
      <c r="I301" s="6" t="s">
        <v>754</v>
      </c>
      <c r="J301" s="6" t="s">
        <v>180</v>
      </c>
    </row>
    <row r="302" customFormat="false" ht="23.85" hidden="false" customHeight="false" outlineLevel="0" collapsed="false">
      <c r="A302" s="6" t="s">
        <v>1332</v>
      </c>
      <c r="B302" s="6" t="s">
        <v>1333</v>
      </c>
      <c r="C302" s="6" t="s">
        <v>244</v>
      </c>
      <c r="D302" s="6" t="s">
        <v>873</v>
      </c>
      <c r="E302" s="6" t="s">
        <v>10</v>
      </c>
      <c r="F302" s="7" t="n">
        <v>0.520833333333333</v>
      </c>
      <c r="G302" s="6" t="s">
        <v>23</v>
      </c>
      <c r="H302" s="6" t="s">
        <v>199</v>
      </c>
      <c r="I302" s="6" t="s">
        <v>754</v>
      </c>
      <c r="J302" s="6" t="s">
        <v>180</v>
      </c>
    </row>
    <row r="303" customFormat="false" ht="23.85" hidden="false" customHeight="false" outlineLevel="0" collapsed="false">
      <c r="A303" s="6" t="s">
        <v>993</v>
      </c>
      <c r="B303" s="6" t="s">
        <v>994</v>
      </c>
      <c r="C303" s="6" t="s">
        <v>995</v>
      </c>
      <c r="D303" s="6" t="s">
        <v>873</v>
      </c>
      <c r="E303" s="6" t="s">
        <v>10</v>
      </c>
      <c r="F303" s="7" t="n">
        <v>0.520833333333333</v>
      </c>
      <c r="G303" s="6" t="s">
        <v>23</v>
      </c>
      <c r="H303" s="6" t="s">
        <v>199</v>
      </c>
      <c r="I303" s="6" t="s">
        <v>754</v>
      </c>
      <c r="J303" s="6" t="s">
        <v>180</v>
      </c>
    </row>
    <row r="304" customFormat="false" ht="23.85" hidden="false" customHeight="false" outlineLevel="0" collapsed="false">
      <c r="A304" s="6" t="s">
        <v>1334</v>
      </c>
      <c r="B304" s="6" t="s">
        <v>965</v>
      </c>
      <c r="C304" s="6" t="s">
        <v>1018</v>
      </c>
      <c r="D304" s="6" t="s">
        <v>873</v>
      </c>
      <c r="E304" s="6" t="s">
        <v>10</v>
      </c>
      <c r="F304" s="7" t="n">
        <v>0.520833333333333</v>
      </c>
      <c r="G304" s="6" t="s">
        <v>12</v>
      </c>
      <c r="H304" s="6" t="s">
        <v>192</v>
      </c>
      <c r="I304" s="6" t="s">
        <v>759</v>
      </c>
      <c r="J304" s="6" t="s">
        <v>197</v>
      </c>
    </row>
    <row r="305" customFormat="false" ht="23.85" hidden="false" customHeight="false" outlineLevel="0" collapsed="false">
      <c r="A305" s="6" t="s">
        <v>1335</v>
      </c>
      <c r="B305" s="6" t="s">
        <v>1336</v>
      </c>
      <c r="C305" s="6" t="s">
        <v>1006</v>
      </c>
      <c r="D305" s="6" t="s">
        <v>873</v>
      </c>
      <c r="E305" s="6" t="s">
        <v>10</v>
      </c>
      <c r="F305" s="7" t="n">
        <v>0.520833333333333</v>
      </c>
      <c r="G305" s="6" t="s">
        <v>12</v>
      </c>
      <c r="H305" s="6" t="s">
        <v>192</v>
      </c>
      <c r="I305" s="6" t="s">
        <v>759</v>
      </c>
      <c r="J305" s="6" t="s">
        <v>197</v>
      </c>
    </row>
    <row r="306" customFormat="false" ht="15" hidden="false" customHeight="false" outlineLevel="0" collapsed="false">
      <c r="A306" s="6" t="s">
        <v>766</v>
      </c>
      <c r="B306" s="6" t="s">
        <v>1337</v>
      </c>
      <c r="C306" s="6" t="s">
        <v>767</v>
      </c>
      <c r="D306" s="6" t="s">
        <v>873</v>
      </c>
      <c r="E306" s="6" t="s">
        <v>10</v>
      </c>
      <c r="F306" s="7" t="n">
        <v>0.520833333333333</v>
      </c>
      <c r="G306" s="6" t="s">
        <v>28</v>
      </c>
      <c r="H306" s="6" t="s">
        <v>251</v>
      </c>
      <c r="I306" s="6" t="s">
        <v>764</v>
      </c>
      <c r="J306" s="6" t="s">
        <v>28</v>
      </c>
    </row>
    <row r="307" customFormat="false" ht="15" hidden="false" customHeight="false" outlineLevel="0" collapsed="false">
      <c r="A307" s="6" t="s">
        <v>770</v>
      </c>
      <c r="B307" s="6" t="s">
        <v>1337</v>
      </c>
      <c r="C307" s="6" t="s">
        <v>771</v>
      </c>
      <c r="D307" s="6" t="s">
        <v>873</v>
      </c>
      <c r="E307" s="6" t="s">
        <v>10</v>
      </c>
      <c r="F307" s="7" t="n">
        <v>0.527777777777778</v>
      </c>
      <c r="G307" s="6" t="s">
        <v>28</v>
      </c>
      <c r="H307" s="6" t="s">
        <v>251</v>
      </c>
      <c r="I307" s="6" t="s">
        <v>768</v>
      </c>
      <c r="J307" s="6" t="s">
        <v>28</v>
      </c>
    </row>
    <row r="308" customFormat="false" ht="23.85" hidden="false" customHeight="false" outlineLevel="0" collapsed="false">
      <c r="A308" s="6" t="s">
        <v>1338</v>
      </c>
      <c r="B308" s="6" t="s">
        <v>1339</v>
      </c>
      <c r="C308" s="6" t="s">
        <v>1340</v>
      </c>
      <c r="D308" s="6" t="s">
        <v>873</v>
      </c>
      <c r="E308" s="6" t="s">
        <v>10</v>
      </c>
      <c r="F308" s="7" t="n">
        <v>0.53125</v>
      </c>
      <c r="G308" s="6" t="s">
        <v>12</v>
      </c>
      <c r="H308" s="6" t="s">
        <v>95</v>
      </c>
      <c r="I308" s="6" t="s">
        <v>772</v>
      </c>
      <c r="J308" s="6" t="s">
        <v>197</v>
      </c>
    </row>
    <row r="309" customFormat="false" ht="23.85" hidden="false" customHeight="false" outlineLevel="0" collapsed="false">
      <c r="A309" s="6" t="s">
        <v>1341</v>
      </c>
      <c r="B309" s="6" t="s">
        <v>1342</v>
      </c>
      <c r="C309" s="6" t="s">
        <v>1018</v>
      </c>
      <c r="D309" s="6" t="s">
        <v>873</v>
      </c>
      <c r="E309" s="6" t="s">
        <v>10</v>
      </c>
      <c r="F309" s="7" t="n">
        <v>0.53125</v>
      </c>
      <c r="G309" s="6" t="s">
        <v>12</v>
      </c>
      <c r="H309" s="6" t="s">
        <v>95</v>
      </c>
      <c r="I309" s="6" t="s">
        <v>772</v>
      </c>
      <c r="J309" s="6" t="s">
        <v>197</v>
      </c>
    </row>
    <row r="310" customFormat="false" ht="23.85" hidden="false" customHeight="false" outlineLevel="0" collapsed="false">
      <c r="A310" s="6" t="s">
        <v>1343</v>
      </c>
      <c r="B310" s="6" t="s">
        <v>1344</v>
      </c>
      <c r="C310" s="6" t="s">
        <v>951</v>
      </c>
      <c r="D310" s="6" t="s">
        <v>873</v>
      </c>
      <c r="E310" s="6" t="s">
        <v>10</v>
      </c>
      <c r="F310" s="7" t="n">
        <v>0.53125</v>
      </c>
      <c r="G310" s="6" t="s">
        <v>12</v>
      </c>
      <c r="H310" s="6" t="s">
        <v>95</v>
      </c>
      <c r="I310" s="6" t="s">
        <v>772</v>
      </c>
      <c r="J310" s="6" t="s">
        <v>197</v>
      </c>
    </row>
    <row r="311" customFormat="false" ht="15" hidden="false" customHeight="false" outlineLevel="0" collapsed="false">
      <c r="A311" s="6" t="s">
        <v>779</v>
      </c>
      <c r="B311" s="6" t="s">
        <v>1345</v>
      </c>
      <c r="C311" s="6" t="s">
        <v>780</v>
      </c>
      <c r="D311" s="6" t="s">
        <v>873</v>
      </c>
      <c r="E311" s="6" t="s">
        <v>10</v>
      </c>
      <c r="F311" s="7" t="n">
        <v>0.534722222222222</v>
      </c>
      <c r="G311" s="6" t="s">
        <v>28</v>
      </c>
      <c r="H311" s="6" t="s">
        <v>251</v>
      </c>
      <c r="I311" s="6" t="s">
        <v>777</v>
      </c>
      <c r="J311" s="6" t="s">
        <v>28</v>
      </c>
    </row>
    <row r="312" customFormat="false" ht="15" hidden="false" customHeight="false" outlineLevel="0" collapsed="false">
      <c r="A312" s="6" t="s">
        <v>783</v>
      </c>
      <c r="B312" s="6" t="s">
        <v>1346</v>
      </c>
      <c r="C312" s="6" t="s">
        <v>784</v>
      </c>
      <c r="D312" s="6" t="s">
        <v>873</v>
      </c>
      <c r="E312" s="6" t="s">
        <v>10</v>
      </c>
      <c r="F312" s="7" t="n">
        <v>0.541666666666667</v>
      </c>
      <c r="G312" s="6" t="s">
        <v>28</v>
      </c>
      <c r="H312" s="6" t="s">
        <v>251</v>
      </c>
      <c r="I312" s="6" t="s">
        <v>781</v>
      </c>
      <c r="J312" s="6" t="s">
        <v>28</v>
      </c>
    </row>
    <row r="313" customFormat="false" ht="15" hidden="false" customHeight="false" outlineLevel="0" collapsed="false">
      <c r="A313" s="6" t="s">
        <v>787</v>
      </c>
      <c r="B313" s="6" t="s">
        <v>1054</v>
      </c>
      <c r="C313" s="6" t="s">
        <v>788</v>
      </c>
      <c r="D313" s="6" t="s">
        <v>873</v>
      </c>
      <c r="E313" s="6" t="s">
        <v>10</v>
      </c>
      <c r="F313" s="7" t="n">
        <v>0.548611111111111</v>
      </c>
      <c r="G313" s="6" t="s">
        <v>28</v>
      </c>
      <c r="H313" s="6" t="s">
        <v>251</v>
      </c>
      <c r="I313" s="6" t="s">
        <v>785</v>
      </c>
      <c r="J313" s="6" t="s">
        <v>28</v>
      </c>
    </row>
    <row r="314" customFormat="false" ht="23.85" hidden="false" customHeight="false" outlineLevel="0" collapsed="false">
      <c r="A314" s="6" t="s">
        <v>1347</v>
      </c>
      <c r="B314" s="6"/>
      <c r="C314" s="6"/>
      <c r="D314" s="6" t="s">
        <v>52</v>
      </c>
      <c r="E314" s="6" t="s">
        <v>10</v>
      </c>
      <c r="F314" s="7" t="n">
        <v>0.552083333333333</v>
      </c>
      <c r="G314" s="6" t="s">
        <v>30</v>
      </c>
      <c r="H314" s="6" t="s">
        <v>30</v>
      </c>
      <c r="I314" s="6" t="s">
        <v>789</v>
      </c>
      <c r="J314" s="6" t="s">
        <v>240</v>
      </c>
    </row>
    <row r="315" customFormat="false" ht="23.85" hidden="false" customHeight="false" outlineLevel="0" collapsed="false">
      <c r="A315" s="6" t="s">
        <v>1348</v>
      </c>
      <c r="B315" s="6"/>
      <c r="C315" s="6"/>
      <c r="D315" s="6" t="s">
        <v>52</v>
      </c>
      <c r="E315" s="6" t="s">
        <v>10</v>
      </c>
      <c r="F315" s="7" t="n">
        <v>0.552083333333333</v>
      </c>
      <c r="G315" s="6" t="s">
        <v>30</v>
      </c>
      <c r="H315" s="6" t="s">
        <v>30</v>
      </c>
      <c r="I315" s="6" t="s">
        <v>789</v>
      </c>
      <c r="J315" s="6" t="s">
        <v>240</v>
      </c>
    </row>
    <row r="316" customFormat="false" ht="23.85" hidden="false" customHeight="false" outlineLevel="0" collapsed="false">
      <c r="A316" s="6" t="s">
        <v>1349</v>
      </c>
      <c r="B316" s="6"/>
      <c r="C316" s="6"/>
      <c r="D316" s="6" t="s">
        <v>52</v>
      </c>
      <c r="E316" s="6" t="s">
        <v>10</v>
      </c>
      <c r="F316" s="7" t="n">
        <v>0.552083333333333</v>
      </c>
      <c r="G316" s="6" t="s">
        <v>30</v>
      </c>
      <c r="H316" s="6" t="s">
        <v>30</v>
      </c>
      <c r="I316" s="6" t="s">
        <v>789</v>
      </c>
      <c r="J316" s="6" t="s">
        <v>240</v>
      </c>
    </row>
    <row r="317" customFormat="false" ht="23.85" hidden="false" customHeight="false" outlineLevel="0" collapsed="false">
      <c r="A317" s="6" t="s">
        <v>1350</v>
      </c>
      <c r="B317" s="6"/>
      <c r="C317" s="6"/>
      <c r="D317" s="6" t="s">
        <v>52</v>
      </c>
      <c r="E317" s="6" t="s">
        <v>10</v>
      </c>
      <c r="F317" s="7" t="n">
        <v>0.552083333333333</v>
      </c>
      <c r="G317" s="6" t="s">
        <v>30</v>
      </c>
      <c r="H317" s="6" t="s">
        <v>30</v>
      </c>
      <c r="I317" s="6" t="s">
        <v>789</v>
      </c>
      <c r="J317" s="6" t="s">
        <v>240</v>
      </c>
    </row>
    <row r="318" customFormat="false" ht="23.85" hidden="false" customHeight="false" outlineLevel="0" collapsed="false">
      <c r="A318" s="6" t="s">
        <v>1351</v>
      </c>
      <c r="B318" s="6"/>
      <c r="C318" s="6"/>
      <c r="D318" s="6" t="s">
        <v>52</v>
      </c>
      <c r="E318" s="6" t="s">
        <v>10</v>
      </c>
      <c r="F318" s="7" t="n">
        <v>0.552083333333333</v>
      </c>
      <c r="G318" s="6" t="s">
        <v>30</v>
      </c>
      <c r="H318" s="6" t="s">
        <v>30</v>
      </c>
      <c r="I318" s="6" t="s">
        <v>789</v>
      </c>
      <c r="J318" s="6" t="s">
        <v>240</v>
      </c>
    </row>
    <row r="319" customFormat="false" ht="23.85" hidden="false" customHeight="false" outlineLevel="0" collapsed="false">
      <c r="A319" s="6" t="s">
        <v>1352</v>
      </c>
      <c r="B319" s="6"/>
      <c r="C319" s="6"/>
      <c r="D319" s="6" t="s">
        <v>52</v>
      </c>
      <c r="E319" s="6" t="s">
        <v>10</v>
      </c>
      <c r="F319" s="7" t="n">
        <v>0.552083333333333</v>
      </c>
      <c r="G319" s="6" t="s">
        <v>30</v>
      </c>
      <c r="H319" s="6" t="s">
        <v>30</v>
      </c>
      <c r="I319" s="6" t="s">
        <v>789</v>
      </c>
      <c r="J319" s="6" t="s">
        <v>240</v>
      </c>
    </row>
    <row r="320" customFormat="false" ht="15" hidden="false" customHeight="false" outlineLevel="0" collapsed="false">
      <c r="A320" s="6" t="s">
        <v>795</v>
      </c>
      <c r="B320" s="6" t="s">
        <v>1353</v>
      </c>
      <c r="C320" s="6" t="s">
        <v>796</v>
      </c>
      <c r="D320" s="6" t="s">
        <v>873</v>
      </c>
      <c r="E320" s="6" t="s">
        <v>10</v>
      </c>
      <c r="F320" s="7" t="n">
        <v>0.555555555555556</v>
      </c>
      <c r="G320" s="6" t="s">
        <v>28</v>
      </c>
      <c r="H320" s="6" t="s">
        <v>251</v>
      </c>
      <c r="I320" s="6" t="s">
        <v>793</v>
      </c>
      <c r="J320" s="6" t="s">
        <v>28</v>
      </c>
    </row>
    <row r="321" customFormat="false" ht="15" hidden="false" customHeight="false" outlineLevel="0" collapsed="false">
      <c r="A321" s="6" t="s">
        <v>1111</v>
      </c>
      <c r="B321" s="6" t="s">
        <v>1085</v>
      </c>
      <c r="C321" s="6" t="s">
        <v>1112</v>
      </c>
      <c r="D321" s="6" t="s">
        <v>873</v>
      </c>
      <c r="E321" s="6" t="s">
        <v>10</v>
      </c>
      <c r="F321" s="7" t="n">
        <v>0.5625</v>
      </c>
      <c r="G321" s="6" t="s">
        <v>13</v>
      </c>
      <c r="H321" s="6" t="s">
        <v>797</v>
      </c>
      <c r="I321" s="6" t="s">
        <v>798</v>
      </c>
      <c r="J321" s="6" t="s">
        <v>62</v>
      </c>
    </row>
    <row r="322" customFormat="false" ht="15" hidden="false" customHeight="false" outlineLevel="0" collapsed="false">
      <c r="A322" s="6" t="s">
        <v>1200</v>
      </c>
      <c r="B322" s="6" t="s">
        <v>1201</v>
      </c>
      <c r="C322" s="6" t="s">
        <v>1202</v>
      </c>
      <c r="D322" s="6" t="s">
        <v>873</v>
      </c>
      <c r="E322" s="6" t="s">
        <v>10</v>
      </c>
      <c r="F322" s="7" t="n">
        <v>0.5625</v>
      </c>
      <c r="G322" s="6" t="s">
        <v>13</v>
      </c>
      <c r="H322" s="6" t="s">
        <v>797</v>
      </c>
      <c r="I322" s="6" t="s">
        <v>798</v>
      </c>
      <c r="J322" s="6" t="s">
        <v>62</v>
      </c>
    </row>
    <row r="323" customFormat="false" ht="15" hidden="false" customHeight="false" outlineLevel="0" collapsed="false">
      <c r="A323" s="6" t="s">
        <v>1354</v>
      </c>
      <c r="B323" s="6" t="s">
        <v>1355</v>
      </c>
      <c r="C323" s="6" t="s">
        <v>61</v>
      </c>
      <c r="D323" s="6" t="s">
        <v>873</v>
      </c>
      <c r="E323" s="6" t="s">
        <v>10</v>
      </c>
      <c r="F323" s="7" t="n">
        <v>0.5625</v>
      </c>
      <c r="G323" s="6" t="s">
        <v>13</v>
      </c>
      <c r="H323" s="6" t="s">
        <v>797</v>
      </c>
      <c r="I323" s="6" t="s">
        <v>798</v>
      </c>
      <c r="J323" s="6" t="s">
        <v>62</v>
      </c>
    </row>
    <row r="324" customFormat="false" ht="15" hidden="false" customHeight="false" outlineLevel="0" collapsed="false">
      <c r="A324" s="6" t="s">
        <v>806</v>
      </c>
      <c r="B324" s="6" t="s">
        <v>1356</v>
      </c>
      <c r="C324" s="6" t="s">
        <v>807</v>
      </c>
      <c r="D324" s="6" t="s">
        <v>873</v>
      </c>
      <c r="E324" s="6" t="s">
        <v>10</v>
      </c>
      <c r="F324" s="7" t="n">
        <v>0.5625</v>
      </c>
      <c r="G324" s="6" t="s">
        <v>28</v>
      </c>
      <c r="H324" s="6" t="s">
        <v>251</v>
      </c>
      <c r="I324" s="6" t="s">
        <v>804</v>
      </c>
      <c r="J324" s="6" t="s">
        <v>28</v>
      </c>
    </row>
    <row r="325" customFormat="false" ht="23.85" hidden="false" customHeight="false" outlineLevel="0" collapsed="false">
      <c r="A325" s="6" t="s">
        <v>809</v>
      </c>
      <c r="B325" s="6"/>
      <c r="C325" s="6"/>
      <c r="D325" s="6" t="s">
        <v>52</v>
      </c>
      <c r="E325" s="6" t="s">
        <v>10</v>
      </c>
      <c r="F325" s="7" t="n">
        <v>0.5625</v>
      </c>
      <c r="G325" s="6" t="s">
        <v>27</v>
      </c>
      <c r="H325" s="6" t="s">
        <v>27</v>
      </c>
      <c r="I325" s="6" t="s">
        <v>808</v>
      </c>
      <c r="J325" s="6" t="s">
        <v>113</v>
      </c>
    </row>
    <row r="326" customFormat="false" ht="23.85" hidden="false" customHeight="false" outlineLevel="0" collapsed="false">
      <c r="A326" s="6" t="s">
        <v>812</v>
      </c>
      <c r="B326" s="6"/>
      <c r="C326" s="6"/>
      <c r="D326" s="6" t="s">
        <v>52</v>
      </c>
      <c r="E326" s="6" t="s">
        <v>10</v>
      </c>
      <c r="F326" s="7" t="n">
        <v>0.5625</v>
      </c>
      <c r="G326" s="6" t="s">
        <v>27</v>
      </c>
      <c r="H326" s="6" t="s">
        <v>27</v>
      </c>
      <c r="I326" s="6" t="s">
        <v>811</v>
      </c>
      <c r="J326" s="6" t="s">
        <v>113</v>
      </c>
    </row>
    <row r="327" customFormat="false" ht="15" hidden="false" customHeight="false" outlineLevel="0" collapsed="false">
      <c r="A327" s="6" t="s">
        <v>1357</v>
      </c>
      <c r="B327" s="6" t="s">
        <v>1173</v>
      </c>
      <c r="C327" s="6" t="s">
        <v>1358</v>
      </c>
      <c r="D327" s="6" t="s">
        <v>873</v>
      </c>
      <c r="E327" s="6" t="s">
        <v>10</v>
      </c>
      <c r="F327" s="7" t="n">
        <v>0.576388888888889</v>
      </c>
      <c r="G327" s="6" t="s">
        <v>22</v>
      </c>
      <c r="H327" s="6" t="s">
        <v>199</v>
      </c>
      <c r="I327" s="6" t="s">
        <v>813</v>
      </c>
      <c r="J327" s="6" t="s">
        <v>28</v>
      </c>
    </row>
    <row r="328" customFormat="false" ht="15" hidden="false" customHeight="false" outlineLevel="0" collapsed="false">
      <c r="A328" s="6" t="s">
        <v>1359</v>
      </c>
      <c r="B328" s="6" t="s">
        <v>1360</v>
      </c>
      <c r="C328" s="6" t="s">
        <v>1361</v>
      </c>
      <c r="D328" s="6" t="s">
        <v>873</v>
      </c>
      <c r="E328" s="6" t="s">
        <v>10</v>
      </c>
      <c r="F328" s="7" t="n">
        <v>0.576388888888889</v>
      </c>
      <c r="G328" s="6" t="s">
        <v>22</v>
      </c>
      <c r="H328" s="6" t="s">
        <v>199</v>
      </c>
      <c r="I328" s="6" t="s">
        <v>813</v>
      </c>
      <c r="J328" s="6" t="s">
        <v>28</v>
      </c>
    </row>
    <row r="329" customFormat="false" ht="15" hidden="false" customHeight="false" outlineLevel="0" collapsed="false">
      <c r="A329" s="6" t="s">
        <v>1362</v>
      </c>
      <c r="B329" s="6" t="s">
        <v>1173</v>
      </c>
      <c r="C329" s="6" t="s">
        <v>1363</v>
      </c>
      <c r="D329" s="6" t="s">
        <v>873</v>
      </c>
      <c r="E329" s="6" t="s">
        <v>10</v>
      </c>
      <c r="F329" s="7" t="n">
        <v>0.576388888888889</v>
      </c>
      <c r="G329" s="6" t="s">
        <v>22</v>
      </c>
      <c r="H329" s="6" t="s">
        <v>199</v>
      </c>
      <c r="I329" s="6" t="s">
        <v>813</v>
      </c>
      <c r="J329" s="6" t="s">
        <v>28</v>
      </c>
    </row>
    <row r="330" customFormat="false" ht="23.85" hidden="false" customHeight="false" outlineLevel="0" collapsed="false">
      <c r="A330" s="6" t="s">
        <v>1364</v>
      </c>
      <c r="B330" s="6" t="s">
        <v>1365</v>
      </c>
      <c r="C330" s="6" t="s">
        <v>1366</v>
      </c>
      <c r="D330" s="6" t="s">
        <v>873</v>
      </c>
      <c r="E330" s="6" t="s">
        <v>10</v>
      </c>
      <c r="F330" s="7" t="n">
        <v>0.583333333333333</v>
      </c>
      <c r="G330" s="6" t="s">
        <v>20</v>
      </c>
      <c r="H330" s="6" t="s">
        <v>181</v>
      </c>
      <c r="I330" s="6" t="s">
        <v>817</v>
      </c>
      <c r="J330" s="6" t="s">
        <v>220</v>
      </c>
    </row>
    <row r="331" customFormat="false" ht="23.85" hidden="false" customHeight="false" outlineLevel="0" collapsed="false">
      <c r="A331" s="6" t="s">
        <v>1280</v>
      </c>
      <c r="B331" s="6" t="s">
        <v>1281</v>
      </c>
      <c r="C331" s="6" t="s">
        <v>1282</v>
      </c>
      <c r="D331" s="6" t="s">
        <v>873</v>
      </c>
      <c r="E331" s="6" t="s">
        <v>10</v>
      </c>
      <c r="F331" s="7" t="n">
        <v>0.583333333333333</v>
      </c>
      <c r="G331" s="6" t="s">
        <v>20</v>
      </c>
      <c r="H331" s="6" t="s">
        <v>181</v>
      </c>
      <c r="I331" s="6" t="s">
        <v>817</v>
      </c>
      <c r="J331" s="6" t="s">
        <v>220</v>
      </c>
    </row>
    <row r="332" customFormat="false" ht="23.85" hidden="false" customHeight="false" outlineLevel="0" collapsed="false">
      <c r="A332" s="6" t="s">
        <v>1367</v>
      </c>
      <c r="B332" s="6" t="s">
        <v>1368</v>
      </c>
      <c r="C332" s="6" t="s">
        <v>1369</v>
      </c>
      <c r="D332" s="6" t="s">
        <v>873</v>
      </c>
      <c r="E332" s="6" t="s">
        <v>10</v>
      </c>
      <c r="F332" s="7" t="n">
        <v>0.583333333333333</v>
      </c>
      <c r="G332" s="6" t="s">
        <v>23</v>
      </c>
      <c r="H332" s="6" t="s">
        <v>181</v>
      </c>
      <c r="I332" s="6" t="s">
        <v>821</v>
      </c>
      <c r="J332" s="6" t="s">
        <v>180</v>
      </c>
    </row>
    <row r="333" customFormat="false" ht="23.85" hidden="false" customHeight="false" outlineLevel="0" collapsed="false">
      <c r="A333" s="6" t="s">
        <v>178</v>
      </c>
      <c r="B333" s="6" t="s">
        <v>932</v>
      </c>
      <c r="C333" s="6" t="s">
        <v>179</v>
      </c>
      <c r="D333" s="6" t="s">
        <v>873</v>
      </c>
      <c r="E333" s="6" t="s">
        <v>10</v>
      </c>
      <c r="F333" s="7" t="n">
        <v>0.583333333333333</v>
      </c>
      <c r="G333" s="6" t="s">
        <v>23</v>
      </c>
      <c r="H333" s="6" t="s">
        <v>181</v>
      </c>
      <c r="I333" s="6" t="s">
        <v>821</v>
      </c>
      <c r="J333" s="6" t="s">
        <v>180</v>
      </c>
    </row>
    <row r="334" customFormat="false" ht="23.85" hidden="false" customHeight="false" outlineLevel="0" collapsed="false">
      <c r="A334" s="6" t="s">
        <v>1370</v>
      </c>
      <c r="B334" s="6" t="s">
        <v>1371</v>
      </c>
      <c r="C334" s="6" t="s">
        <v>1372</v>
      </c>
      <c r="D334" s="6" t="s">
        <v>873</v>
      </c>
      <c r="E334" s="6" t="s">
        <v>10</v>
      </c>
      <c r="F334" s="7" t="n">
        <v>0.583333333333333</v>
      </c>
      <c r="G334" s="6" t="s">
        <v>14</v>
      </c>
      <c r="H334" s="6" t="s">
        <v>181</v>
      </c>
      <c r="I334" s="6" t="s">
        <v>825</v>
      </c>
      <c r="J334" s="6" t="s">
        <v>69</v>
      </c>
    </row>
    <row r="335" customFormat="false" ht="23.85" hidden="false" customHeight="false" outlineLevel="0" collapsed="false">
      <c r="A335" s="6" t="s">
        <v>1259</v>
      </c>
      <c r="B335" s="6" t="s">
        <v>1260</v>
      </c>
      <c r="C335" s="6" t="s">
        <v>1261</v>
      </c>
      <c r="D335" s="6" t="s">
        <v>873</v>
      </c>
      <c r="E335" s="6" t="s">
        <v>10</v>
      </c>
      <c r="F335" s="7" t="n">
        <v>0.583333333333333</v>
      </c>
      <c r="G335" s="6" t="s">
        <v>14</v>
      </c>
      <c r="H335" s="6" t="s">
        <v>181</v>
      </c>
      <c r="I335" s="6" t="s">
        <v>825</v>
      </c>
      <c r="J335" s="6" t="s">
        <v>69</v>
      </c>
    </row>
    <row r="336" customFormat="false" ht="15" hidden="false" customHeight="false" outlineLevel="0" collapsed="false">
      <c r="A336" s="6" t="s">
        <v>1373</v>
      </c>
      <c r="B336" s="6" t="s">
        <v>1374</v>
      </c>
      <c r="C336" s="6" t="s">
        <v>1375</v>
      </c>
      <c r="D336" s="6" t="s">
        <v>873</v>
      </c>
      <c r="E336" s="6" t="s">
        <v>10</v>
      </c>
      <c r="F336" s="7" t="n">
        <v>0.583333333333333</v>
      </c>
      <c r="G336" s="6" t="s">
        <v>12</v>
      </c>
      <c r="H336" s="6" t="s">
        <v>181</v>
      </c>
      <c r="I336" s="6" t="s">
        <v>829</v>
      </c>
      <c r="J336" s="6" t="s">
        <v>197</v>
      </c>
    </row>
    <row r="337" customFormat="false" ht="15" hidden="false" customHeight="false" outlineLevel="0" collapsed="false">
      <c r="A337" s="6" t="s">
        <v>1376</v>
      </c>
      <c r="B337" s="6" t="s">
        <v>1377</v>
      </c>
      <c r="C337" s="6" t="s">
        <v>1378</v>
      </c>
      <c r="D337" s="6" t="s">
        <v>873</v>
      </c>
      <c r="E337" s="6" t="s">
        <v>10</v>
      </c>
      <c r="F337" s="7" t="n">
        <v>0.583333333333333</v>
      </c>
      <c r="G337" s="6" t="s">
        <v>12</v>
      </c>
      <c r="H337" s="6" t="s">
        <v>181</v>
      </c>
      <c r="I337" s="6" t="s">
        <v>829</v>
      </c>
      <c r="J337" s="6" t="s">
        <v>197</v>
      </c>
    </row>
    <row r="338" customFormat="false" ht="23.85" hidden="false" customHeight="false" outlineLevel="0" collapsed="false">
      <c r="A338" s="6" t="s">
        <v>1379</v>
      </c>
      <c r="B338" s="6" t="s">
        <v>1380</v>
      </c>
      <c r="C338" s="6" t="s">
        <v>836</v>
      </c>
      <c r="D338" s="6" t="s">
        <v>873</v>
      </c>
      <c r="E338" s="6" t="s">
        <v>10</v>
      </c>
      <c r="F338" s="7" t="n">
        <v>0.59375</v>
      </c>
      <c r="G338" s="6" t="s">
        <v>12</v>
      </c>
      <c r="H338" s="6" t="s">
        <v>199</v>
      </c>
      <c r="I338" s="6" t="s">
        <v>833</v>
      </c>
      <c r="J338" s="6" t="s">
        <v>197</v>
      </c>
    </row>
    <row r="339" customFormat="false" ht="23.85" hidden="false" customHeight="false" outlineLevel="0" collapsed="false">
      <c r="A339" s="6" t="s">
        <v>1381</v>
      </c>
      <c r="B339" s="6" t="s">
        <v>1382</v>
      </c>
      <c r="C339" s="6" t="s">
        <v>836</v>
      </c>
      <c r="D339" s="6" t="s">
        <v>873</v>
      </c>
      <c r="E339" s="6" t="s">
        <v>10</v>
      </c>
      <c r="F339" s="7" t="n">
        <v>0.59375</v>
      </c>
      <c r="G339" s="6" t="s">
        <v>12</v>
      </c>
      <c r="H339" s="6" t="s">
        <v>199</v>
      </c>
      <c r="I339" s="6" t="s">
        <v>833</v>
      </c>
      <c r="J339" s="6" t="s">
        <v>197</v>
      </c>
    </row>
    <row r="340" customFormat="false" ht="23.85" hidden="false" customHeight="false" outlineLevel="0" collapsed="false">
      <c r="A340" s="6" t="s">
        <v>1383</v>
      </c>
      <c r="B340" s="6" t="s">
        <v>1384</v>
      </c>
      <c r="C340" s="6" t="s">
        <v>1385</v>
      </c>
      <c r="D340" s="6" t="s">
        <v>873</v>
      </c>
      <c r="E340" s="6" t="s">
        <v>10</v>
      </c>
      <c r="F340" s="7" t="n">
        <v>0.59375</v>
      </c>
      <c r="G340" s="6" t="s">
        <v>14</v>
      </c>
      <c r="H340" s="6" t="s">
        <v>95</v>
      </c>
      <c r="I340" s="6" t="s">
        <v>837</v>
      </c>
      <c r="J340" s="6" t="s">
        <v>69</v>
      </c>
    </row>
    <row r="341" customFormat="false" ht="23.85" hidden="false" customHeight="false" outlineLevel="0" collapsed="false">
      <c r="A341" s="6" t="s">
        <v>1386</v>
      </c>
      <c r="B341" s="6" t="s">
        <v>1387</v>
      </c>
      <c r="C341" s="6" t="s">
        <v>1388</v>
      </c>
      <c r="D341" s="6" t="s">
        <v>873</v>
      </c>
      <c r="E341" s="6" t="s">
        <v>10</v>
      </c>
      <c r="F341" s="7" t="n">
        <v>0.59375</v>
      </c>
      <c r="G341" s="6" t="s">
        <v>14</v>
      </c>
      <c r="H341" s="6" t="s">
        <v>95</v>
      </c>
      <c r="I341" s="6" t="s">
        <v>837</v>
      </c>
      <c r="J341" s="6" t="s">
        <v>69</v>
      </c>
    </row>
    <row r="342" customFormat="false" ht="23.85" hidden="false" customHeight="false" outlineLevel="0" collapsed="false">
      <c r="A342" s="6" t="s">
        <v>1127</v>
      </c>
      <c r="B342" s="6" t="s">
        <v>1128</v>
      </c>
      <c r="C342" s="6" t="s">
        <v>1129</v>
      </c>
      <c r="D342" s="6" t="s">
        <v>873</v>
      </c>
      <c r="E342" s="6" t="s">
        <v>10</v>
      </c>
      <c r="F342" s="7" t="n">
        <v>0.59375</v>
      </c>
      <c r="G342" s="6" t="s">
        <v>14</v>
      </c>
      <c r="H342" s="6" t="s">
        <v>95</v>
      </c>
      <c r="I342" s="6" t="s">
        <v>837</v>
      </c>
      <c r="J342" s="6" t="s">
        <v>69</v>
      </c>
    </row>
    <row r="343" customFormat="false" ht="15" hidden="false" customHeight="false" outlineLevel="0" collapsed="false">
      <c r="A343" s="6" t="s">
        <v>1389</v>
      </c>
      <c r="B343" s="6" t="s">
        <v>890</v>
      </c>
      <c r="C343" s="6" t="s">
        <v>1390</v>
      </c>
      <c r="D343" s="6" t="s">
        <v>873</v>
      </c>
      <c r="E343" s="6" t="s">
        <v>10</v>
      </c>
      <c r="F343" s="7" t="n">
        <v>0.59375</v>
      </c>
      <c r="G343" s="6" t="s">
        <v>23</v>
      </c>
      <c r="H343" s="6" t="s">
        <v>199</v>
      </c>
      <c r="I343" s="6" t="s">
        <v>842</v>
      </c>
      <c r="J343" s="6" t="s">
        <v>180</v>
      </c>
    </row>
    <row r="344" customFormat="false" ht="15" hidden="false" customHeight="false" outlineLevel="0" collapsed="false">
      <c r="A344" s="6" t="s">
        <v>178</v>
      </c>
      <c r="B344" s="6" t="s">
        <v>932</v>
      </c>
      <c r="C344" s="6" t="s">
        <v>179</v>
      </c>
      <c r="D344" s="6" t="s">
        <v>873</v>
      </c>
      <c r="E344" s="6" t="s">
        <v>10</v>
      </c>
      <c r="F344" s="7" t="n">
        <v>0.59375</v>
      </c>
      <c r="G344" s="6" t="s">
        <v>23</v>
      </c>
      <c r="H344" s="6" t="s">
        <v>199</v>
      </c>
      <c r="I344" s="6" t="s">
        <v>842</v>
      </c>
      <c r="J344" s="6" t="s">
        <v>180</v>
      </c>
    </row>
    <row r="345" customFormat="false" ht="15" hidden="false" customHeight="false" outlineLevel="0" collapsed="false">
      <c r="A345" s="6" t="s">
        <v>1367</v>
      </c>
      <c r="B345" s="6" t="s">
        <v>1368</v>
      </c>
      <c r="C345" s="6" t="s">
        <v>1369</v>
      </c>
      <c r="D345" s="6" t="s">
        <v>873</v>
      </c>
      <c r="E345" s="6" t="s">
        <v>10</v>
      </c>
      <c r="F345" s="7" t="n">
        <v>0.59375</v>
      </c>
      <c r="G345" s="6" t="s">
        <v>23</v>
      </c>
      <c r="H345" s="6" t="s">
        <v>199</v>
      </c>
      <c r="I345" s="6" t="s">
        <v>842</v>
      </c>
      <c r="J345" s="6" t="s">
        <v>180</v>
      </c>
    </row>
    <row r="346" customFormat="false" ht="23.85" hidden="false" customHeight="false" outlineLevel="0" collapsed="false">
      <c r="A346" s="6" t="s">
        <v>1391</v>
      </c>
      <c r="B346" s="6" t="s">
        <v>1392</v>
      </c>
      <c r="C346" s="6" t="s">
        <v>1393</v>
      </c>
      <c r="D346" s="6" t="s">
        <v>873</v>
      </c>
      <c r="E346" s="6" t="s">
        <v>10</v>
      </c>
      <c r="F346" s="7" t="n">
        <v>0.59375</v>
      </c>
      <c r="G346" s="6" t="s">
        <v>20</v>
      </c>
      <c r="H346" s="6" t="s">
        <v>95</v>
      </c>
      <c r="I346" s="6" t="s">
        <v>847</v>
      </c>
      <c r="J346" s="6" t="s">
        <v>220</v>
      </c>
    </row>
    <row r="347" customFormat="false" ht="23.85" hidden="false" customHeight="false" outlineLevel="0" collapsed="false">
      <c r="A347" s="6" t="s">
        <v>1394</v>
      </c>
      <c r="B347" s="6" t="s">
        <v>1395</v>
      </c>
      <c r="C347" s="6" t="s">
        <v>1366</v>
      </c>
      <c r="D347" s="6" t="s">
        <v>873</v>
      </c>
      <c r="E347" s="6" t="s">
        <v>10</v>
      </c>
      <c r="F347" s="7" t="n">
        <v>0.59375</v>
      </c>
      <c r="G347" s="6" t="s">
        <v>20</v>
      </c>
      <c r="H347" s="6" t="s">
        <v>95</v>
      </c>
      <c r="I347" s="6" t="s">
        <v>847</v>
      </c>
      <c r="J347" s="6" t="s">
        <v>220</v>
      </c>
    </row>
    <row r="348" customFormat="false" ht="23.85" hidden="false" customHeight="false" outlineLevel="0" collapsed="false">
      <c r="A348" s="6" t="s">
        <v>1396</v>
      </c>
      <c r="B348" s="6" t="s">
        <v>1397</v>
      </c>
      <c r="C348" s="6" t="s">
        <v>1398</v>
      </c>
      <c r="D348" s="6" t="s">
        <v>873</v>
      </c>
      <c r="E348" s="6" t="s">
        <v>10</v>
      </c>
      <c r="F348" s="7" t="n">
        <v>0.59375</v>
      </c>
      <c r="G348" s="6" t="s">
        <v>20</v>
      </c>
      <c r="H348" s="6" t="s">
        <v>95</v>
      </c>
      <c r="I348" s="6" t="s">
        <v>847</v>
      </c>
      <c r="J348" s="6" t="s">
        <v>220</v>
      </c>
    </row>
    <row r="349" customFormat="false" ht="23.85" hidden="false" customHeight="false" outlineLevel="0" collapsed="false">
      <c r="A349" s="6" t="s">
        <v>1399</v>
      </c>
      <c r="B349" s="6" t="s">
        <v>1400</v>
      </c>
      <c r="C349" s="6" t="s">
        <v>1205</v>
      </c>
      <c r="D349" s="6" t="s">
        <v>873</v>
      </c>
      <c r="E349" s="6" t="s">
        <v>10</v>
      </c>
      <c r="F349" s="7" t="n">
        <v>0.604166666666667</v>
      </c>
      <c r="G349" s="6" t="s">
        <v>12</v>
      </c>
      <c r="H349" s="6" t="s">
        <v>199</v>
      </c>
      <c r="I349" s="6" t="s">
        <v>852</v>
      </c>
      <c r="J349" s="6" t="s">
        <v>197</v>
      </c>
    </row>
    <row r="350" customFormat="false" ht="23.85" hidden="false" customHeight="false" outlineLevel="0" collapsed="false">
      <c r="A350" s="6" t="s">
        <v>1401</v>
      </c>
      <c r="B350" s="6" t="s">
        <v>1402</v>
      </c>
      <c r="C350" s="6" t="s">
        <v>244</v>
      </c>
      <c r="D350" s="6" t="s">
        <v>873</v>
      </c>
      <c r="E350" s="6" t="s">
        <v>10</v>
      </c>
      <c r="F350" s="7" t="n">
        <v>0.604166666666667</v>
      </c>
      <c r="G350" s="6" t="s">
        <v>12</v>
      </c>
      <c r="H350" s="6" t="s">
        <v>199</v>
      </c>
      <c r="I350" s="6" t="s">
        <v>852</v>
      </c>
      <c r="J350" s="6" t="s">
        <v>197</v>
      </c>
    </row>
    <row r="351" customFormat="false" ht="23.85" hidden="false" customHeight="false" outlineLevel="0" collapsed="false">
      <c r="A351" s="6" t="s">
        <v>693</v>
      </c>
      <c r="B351" s="6" t="s">
        <v>1292</v>
      </c>
      <c r="C351" s="6" t="s">
        <v>694</v>
      </c>
      <c r="D351" s="6" t="s">
        <v>873</v>
      </c>
      <c r="E351" s="6" t="s">
        <v>10</v>
      </c>
      <c r="F351" s="7" t="n">
        <v>0.604166666666667</v>
      </c>
      <c r="G351" s="6" t="s">
        <v>12</v>
      </c>
      <c r="H351" s="6" t="s">
        <v>199</v>
      </c>
      <c r="I351" s="6" t="s">
        <v>852</v>
      </c>
      <c r="J351" s="6" t="s">
        <v>197</v>
      </c>
    </row>
    <row r="352" customFormat="false" ht="23.85" hidden="false" customHeight="false" outlineLevel="0" collapsed="false">
      <c r="A352" s="6" t="s">
        <v>1403</v>
      </c>
      <c r="B352" s="6" t="s">
        <v>1404</v>
      </c>
      <c r="C352" s="6" t="s">
        <v>951</v>
      </c>
      <c r="D352" s="6" t="s">
        <v>873</v>
      </c>
      <c r="E352" s="6" t="s">
        <v>10</v>
      </c>
      <c r="F352" s="7" t="n">
        <v>0.604166666666667</v>
      </c>
      <c r="G352" s="6" t="s">
        <v>13</v>
      </c>
      <c r="H352" s="6" t="s">
        <v>95</v>
      </c>
      <c r="I352" s="6" t="s">
        <v>856</v>
      </c>
      <c r="J352" s="6" t="s">
        <v>62</v>
      </c>
    </row>
    <row r="353" customFormat="false" ht="23.85" hidden="false" customHeight="false" outlineLevel="0" collapsed="false">
      <c r="A353" s="6" t="s">
        <v>1405</v>
      </c>
      <c r="B353" s="6" t="s">
        <v>1406</v>
      </c>
      <c r="C353" s="6" t="s">
        <v>61</v>
      </c>
      <c r="D353" s="6" t="s">
        <v>873</v>
      </c>
      <c r="E353" s="6" t="s">
        <v>10</v>
      </c>
      <c r="F353" s="7" t="n">
        <v>0.604166666666667</v>
      </c>
      <c r="G353" s="6" t="s">
        <v>13</v>
      </c>
      <c r="H353" s="6" t="s">
        <v>95</v>
      </c>
      <c r="I353" s="6" t="s">
        <v>856</v>
      </c>
      <c r="J353" s="6" t="s">
        <v>62</v>
      </c>
    </row>
    <row r="354" customFormat="false" ht="23.85" hidden="false" customHeight="false" outlineLevel="0" collapsed="false">
      <c r="A354" s="6" t="s">
        <v>1314</v>
      </c>
      <c r="B354" s="6" t="s">
        <v>1315</v>
      </c>
      <c r="C354" s="6" t="s">
        <v>1316</v>
      </c>
      <c r="D354" s="6" t="s">
        <v>873</v>
      </c>
      <c r="E354" s="6" t="s">
        <v>10</v>
      </c>
      <c r="F354" s="7" t="n">
        <v>0.604166666666667</v>
      </c>
      <c r="G354" s="6" t="s">
        <v>13</v>
      </c>
      <c r="H354" s="6" t="s">
        <v>95</v>
      </c>
      <c r="I354" s="6" t="s">
        <v>856</v>
      </c>
      <c r="J354" s="6" t="s">
        <v>62</v>
      </c>
    </row>
    <row r="355" customFormat="false" ht="15" hidden="false" customHeight="false" outlineLevel="0" collapsed="false">
      <c r="A355" s="6" t="s">
        <v>863</v>
      </c>
      <c r="B355" s="6" t="s">
        <v>890</v>
      </c>
      <c r="C355" s="6" t="s">
        <v>864</v>
      </c>
      <c r="D355" s="6" t="s">
        <v>873</v>
      </c>
      <c r="E355" s="6" t="s">
        <v>10</v>
      </c>
      <c r="F355" s="7" t="n">
        <v>0.614583333333333</v>
      </c>
      <c r="G355" s="6" t="s">
        <v>28</v>
      </c>
      <c r="H355" s="6" t="s">
        <v>251</v>
      </c>
      <c r="I355" s="6" t="s">
        <v>861</v>
      </c>
      <c r="J355" s="6" t="s">
        <v>28</v>
      </c>
    </row>
    <row r="356" customFormat="false" ht="15" hidden="false" customHeight="false" outlineLevel="0" collapsed="false">
      <c r="A356" s="6" t="s">
        <v>1254</v>
      </c>
      <c r="B356" s="6" t="s">
        <v>1255</v>
      </c>
      <c r="C356" s="6" t="s">
        <v>1256</v>
      </c>
      <c r="D356" s="6" t="s">
        <v>873</v>
      </c>
      <c r="E356" s="6" t="s">
        <v>10</v>
      </c>
      <c r="F356" s="7" t="n">
        <v>0.635416666666667</v>
      </c>
      <c r="G356" s="6" t="s">
        <v>13</v>
      </c>
      <c r="H356" s="6" t="s">
        <v>797</v>
      </c>
      <c r="I356" s="6" t="s">
        <v>865</v>
      </c>
      <c r="J356" s="6" t="s">
        <v>62</v>
      </c>
    </row>
    <row r="357" customFormat="false" ht="15" hidden="false" customHeight="false" outlineLevel="0" collapsed="false">
      <c r="A357" s="6" t="s">
        <v>1407</v>
      </c>
      <c r="B357" s="6" t="s">
        <v>932</v>
      </c>
      <c r="C357" s="6" t="s">
        <v>1408</v>
      </c>
      <c r="D357" s="6" t="s">
        <v>873</v>
      </c>
      <c r="E357" s="6" t="s">
        <v>10</v>
      </c>
      <c r="F357" s="7" t="n">
        <v>0.635416666666667</v>
      </c>
      <c r="G357" s="6" t="s">
        <v>13</v>
      </c>
      <c r="H357" s="6" t="s">
        <v>797</v>
      </c>
      <c r="I357" s="6" t="s">
        <v>865</v>
      </c>
      <c r="J357" s="6" t="s">
        <v>62</v>
      </c>
    </row>
    <row r="358" customFormat="false" ht="15" hidden="false" customHeight="false" outlineLevel="0" collapsed="false">
      <c r="A358" s="6" t="s">
        <v>1409</v>
      </c>
      <c r="B358" s="6" t="s">
        <v>1410</v>
      </c>
      <c r="C358" s="6" t="s">
        <v>1411</v>
      </c>
      <c r="D358" s="6" t="s">
        <v>873</v>
      </c>
      <c r="E358" s="6" t="s">
        <v>10</v>
      </c>
      <c r="F358" s="7" t="n">
        <v>0.635416666666667</v>
      </c>
      <c r="G358" s="6" t="s">
        <v>13</v>
      </c>
      <c r="H358" s="6" t="s">
        <v>797</v>
      </c>
      <c r="I358" s="6" t="s">
        <v>865</v>
      </c>
      <c r="J358" s="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40"/>
    <col collapsed="false" customWidth="true" hidden="false" outlineLevel="0" max="4" min="4" style="0" width="12"/>
  </cols>
  <sheetData>
    <row r="1" customFormat="false" ht="30" hidden="false" customHeight="true" outlineLevel="0" collapsed="false">
      <c r="A1" s="5" t="s">
        <v>869</v>
      </c>
      <c r="B1" s="5" t="s">
        <v>870</v>
      </c>
      <c r="C1" s="5" t="s">
        <v>871</v>
      </c>
      <c r="D1" s="5" t="s">
        <v>1412</v>
      </c>
    </row>
    <row r="2" customFormat="false" ht="15" hidden="false" customHeight="false" outlineLevel="0" collapsed="false">
      <c r="A2" s="6" t="s">
        <v>1234</v>
      </c>
      <c r="B2" s="6" t="s">
        <v>1235</v>
      </c>
      <c r="C2" s="6" t="s">
        <v>1236</v>
      </c>
      <c r="D2" s="6" t="n">
        <f aca="false">COUNTIF('Speaker Appearances'!$A$2:$A$358,A2)</f>
        <v>1</v>
      </c>
    </row>
    <row r="3" customFormat="false" ht="15" hidden="false" customHeight="false" outlineLevel="0" collapsed="false">
      <c r="A3" s="6" t="s">
        <v>412</v>
      </c>
      <c r="B3" s="6" t="s">
        <v>1010</v>
      </c>
      <c r="C3" s="6" t="s">
        <v>413</v>
      </c>
      <c r="D3" s="6" t="n">
        <f aca="false">COUNTIF('Speaker Appearances'!$A$2:$A$358,A3)</f>
        <v>1</v>
      </c>
    </row>
    <row r="4" customFormat="false" ht="23.85" hidden="false" customHeight="false" outlineLevel="0" collapsed="false">
      <c r="A4" s="6" t="s">
        <v>1370</v>
      </c>
      <c r="B4" s="6" t="s">
        <v>1371</v>
      </c>
      <c r="C4" s="6" t="s">
        <v>1372</v>
      </c>
      <c r="D4" s="6" t="n">
        <f aca="false">COUNTIF('Speaker Appearances'!$A$2:$A$358,A4)</f>
        <v>1</v>
      </c>
    </row>
    <row r="5" customFormat="false" ht="15" hidden="false" customHeight="false" outlineLevel="0" collapsed="false">
      <c r="A5" s="6" t="s">
        <v>1192</v>
      </c>
      <c r="B5" s="6" t="s">
        <v>1193</v>
      </c>
      <c r="C5" s="6" t="s">
        <v>1194</v>
      </c>
      <c r="D5" s="6" t="n">
        <f aca="false">COUNTIF('Speaker Appearances'!$A$2:$A$358,A5)</f>
        <v>1</v>
      </c>
    </row>
    <row r="6" customFormat="false" ht="15" hidden="false" customHeight="false" outlineLevel="0" collapsed="false">
      <c r="A6" s="6" t="s">
        <v>885</v>
      </c>
      <c r="B6" s="6" t="s">
        <v>875</v>
      </c>
      <c r="C6" s="6" t="s">
        <v>886</v>
      </c>
      <c r="D6" s="6" t="n">
        <f aca="false">COUNTIF('Speaker Appearances'!$A$2:$A$358,A6)</f>
        <v>2</v>
      </c>
    </row>
    <row r="7" customFormat="false" ht="15" hidden="false" customHeight="false" outlineLevel="0" collapsed="false">
      <c r="A7" s="6" t="s">
        <v>1105</v>
      </c>
      <c r="B7" s="6" t="s">
        <v>1106</v>
      </c>
      <c r="C7" s="6" t="s">
        <v>1107</v>
      </c>
      <c r="D7" s="6" t="n">
        <f aca="false">COUNTIF('Speaker Appearances'!$A$2:$A$358,A7)</f>
        <v>2</v>
      </c>
    </row>
    <row r="8" customFormat="false" ht="15" hidden="false" customHeight="false" outlineLevel="0" collapsed="false">
      <c r="A8" s="6" t="s">
        <v>555</v>
      </c>
      <c r="B8" s="6" t="s">
        <v>1175</v>
      </c>
      <c r="C8" s="6" t="s">
        <v>556</v>
      </c>
      <c r="D8" s="6" t="n">
        <f aca="false">COUNTIF('Speaker Appearances'!$A$2:$A$358,A8)</f>
        <v>1</v>
      </c>
    </row>
    <row r="9" customFormat="false" ht="15" hidden="false" customHeight="false" outlineLevel="0" collapsed="false">
      <c r="A9" s="6" t="s">
        <v>706</v>
      </c>
      <c r="B9" s="6" t="s">
        <v>1296</v>
      </c>
      <c r="C9" s="6" t="s">
        <v>707</v>
      </c>
      <c r="D9" s="6" t="n">
        <f aca="false">COUNTIF('Speaker Appearances'!$A$2:$A$358,A9)</f>
        <v>1</v>
      </c>
    </row>
    <row r="10" customFormat="false" ht="15" hidden="false" customHeight="false" outlineLevel="0" collapsed="false">
      <c r="A10" s="6" t="s">
        <v>1167</v>
      </c>
      <c r="B10" s="6" t="s">
        <v>1168</v>
      </c>
      <c r="C10" s="6" t="s">
        <v>1169</v>
      </c>
      <c r="D10" s="6" t="n">
        <f aca="false">COUNTIF('Speaker Appearances'!$A$2:$A$358,A10)</f>
        <v>2</v>
      </c>
    </row>
    <row r="11" customFormat="false" ht="15" hidden="false" customHeight="false" outlineLevel="0" collapsed="false">
      <c r="A11" s="6" t="s">
        <v>357</v>
      </c>
      <c r="B11" s="6" t="s">
        <v>1044</v>
      </c>
      <c r="C11" s="6" t="s">
        <v>358</v>
      </c>
      <c r="D11" s="6" t="n">
        <f aca="false">COUNTIF('Speaker Appearances'!$A$2:$A$358,A11)</f>
        <v>2</v>
      </c>
    </row>
    <row r="12" customFormat="false" ht="15" hidden="false" customHeight="false" outlineLevel="0" collapsed="false">
      <c r="A12" s="6" t="s">
        <v>597</v>
      </c>
      <c r="B12" s="6" t="s">
        <v>1215</v>
      </c>
      <c r="C12" s="6" t="s">
        <v>598</v>
      </c>
      <c r="D12" s="6" t="n">
        <f aca="false">COUNTIF('Speaker Appearances'!$A$2:$A$358,A12)</f>
        <v>1</v>
      </c>
    </row>
    <row r="13" customFormat="false" ht="15" hidden="false" customHeight="false" outlineLevel="0" collapsed="false">
      <c r="A13" s="6" t="s">
        <v>564</v>
      </c>
      <c r="B13" s="6" t="s">
        <v>890</v>
      </c>
      <c r="C13" s="6" t="s">
        <v>565</v>
      </c>
      <c r="D13" s="6" t="n">
        <f aca="false">COUNTIF('Speaker Appearances'!$A$2:$A$358,A13)</f>
        <v>1</v>
      </c>
    </row>
    <row r="14" customFormat="false" ht="15" hidden="false" customHeight="false" outlineLevel="0" collapsed="false">
      <c r="A14" s="6" t="s">
        <v>901</v>
      </c>
      <c r="B14" s="6"/>
      <c r="C14" s="6"/>
      <c r="D14" s="6" t="n">
        <f aca="false">COUNTIF('Speaker Appearances'!$A$2:$A$358,A14)</f>
        <v>1</v>
      </c>
    </row>
    <row r="15" customFormat="false" ht="15" hidden="false" customHeight="false" outlineLevel="0" collapsed="false">
      <c r="A15" s="6" t="s">
        <v>917</v>
      </c>
      <c r="B15" s="6"/>
      <c r="C15" s="6"/>
      <c r="D15" s="6" t="n">
        <f aca="false">COUNTIF('Speaker Appearances'!$A$2:$A$358,A15)</f>
        <v>1</v>
      </c>
    </row>
    <row r="16" customFormat="false" ht="23.85" hidden="false" customHeight="false" outlineLevel="0" collapsed="false">
      <c r="A16" s="6" t="s">
        <v>1030</v>
      </c>
      <c r="B16" s="6" t="s">
        <v>1031</v>
      </c>
      <c r="C16" s="6" t="s">
        <v>1032</v>
      </c>
      <c r="D16" s="6" t="n">
        <f aca="false">COUNTIF('Speaker Appearances'!$A$2:$A$358,A16)</f>
        <v>1</v>
      </c>
    </row>
    <row r="17" customFormat="false" ht="15" hidden="false" customHeight="false" outlineLevel="0" collapsed="false">
      <c r="A17" s="6" t="s">
        <v>1274</v>
      </c>
      <c r="B17" s="6" t="s">
        <v>1275</v>
      </c>
      <c r="C17" s="6" t="s">
        <v>1276</v>
      </c>
      <c r="D17" s="6" t="n">
        <f aca="false">COUNTIF('Speaker Appearances'!$A$2:$A$358,A17)</f>
        <v>1</v>
      </c>
    </row>
    <row r="18" customFormat="false" ht="15" hidden="false" customHeight="false" outlineLevel="0" collapsed="false">
      <c r="A18" s="6" t="s">
        <v>1262</v>
      </c>
      <c r="B18" s="6" t="s">
        <v>890</v>
      </c>
      <c r="C18" s="6" t="s">
        <v>1263</v>
      </c>
      <c r="D18" s="6" t="n">
        <f aca="false">COUNTIF('Speaker Appearances'!$A$2:$A$358,A18)</f>
        <v>2</v>
      </c>
    </row>
    <row r="19" customFormat="false" ht="15" hidden="false" customHeight="false" outlineLevel="0" collapsed="false">
      <c r="A19" s="6" t="s">
        <v>914</v>
      </c>
      <c r="B19" s="6"/>
      <c r="C19" s="6"/>
      <c r="D19" s="6" t="n">
        <f aca="false">COUNTIF('Speaker Appearances'!$A$2:$A$358,A19)</f>
        <v>1</v>
      </c>
    </row>
    <row r="20" customFormat="false" ht="15" hidden="false" customHeight="false" outlineLevel="0" collapsed="false">
      <c r="A20" s="6" t="s">
        <v>1307</v>
      </c>
      <c r="B20" s="6" t="s">
        <v>1308</v>
      </c>
      <c r="C20" s="6" t="s">
        <v>1309</v>
      </c>
      <c r="D20" s="6" t="n">
        <f aca="false">COUNTIF('Speaker Appearances'!$A$2:$A$358,A20)</f>
        <v>1</v>
      </c>
    </row>
    <row r="21" customFormat="false" ht="15" hidden="false" customHeight="false" outlineLevel="0" collapsed="false">
      <c r="A21" s="6" t="s">
        <v>973</v>
      </c>
      <c r="B21" s="6" t="s">
        <v>974</v>
      </c>
      <c r="C21" s="6" t="s">
        <v>975</v>
      </c>
      <c r="D21" s="6" t="n">
        <f aca="false">COUNTIF('Speaker Appearances'!$A$2:$A$358,A21)</f>
        <v>1</v>
      </c>
    </row>
    <row r="22" customFormat="false" ht="15" hidden="false" customHeight="false" outlineLevel="0" collapsed="false">
      <c r="A22" s="6" t="s">
        <v>904</v>
      </c>
      <c r="B22" s="6"/>
      <c r="C22" s="6"/>
      <c r="D22" s="6" t="n">
        <f aca="false">COUNTIF('Speaker Appearances'!$A$2:$A$358,A22)</f>
        <v>1</v>
      </c>
    </row>
    <row r="23" customFormat="false" ht="15" hidden="false" customHeight="false" outlineLevel="0" collapsed="false">
      <c r="A23" s="6" t="s">
        <v>471</v>
      </c>
      <c r="B23" s="6" t="s">
        <v>1125</v>
      </c>
      <c r="C23" s="6" t="s">
        <v>472</v>
      </c>
      <c r="D23" s="6" t="n">
        <f aca="false">COUNTIF('Speaker Appearances'!$A$2:$A$358,A23)</f>
        <v>1</v>
      </c>
    </row>
    <row r="24" customFormat="false" ht="15" hidden="false" customHeight="false" outlineLevel="0" collapsed="false">
      <c r="A24" s="6" t="s">
        <v>1373</v>
      </c>
      <c r="B24" s="6" t="s">
        <v>1374</v>
      </c>
      <c r="C24" s="6" t="s">
        <v>1375</v>
      </c>
      <c r="D24" s="6" t="n">
        <f aca="false">COUNTIF('Speaker Appearances'!$A$2:$A$358,A24)</f>
        <v>1</v>
      </c>
    </row>
    <row r="25" customFormat="false" ht="15" hidden="false" customHeight="false" outlineLevel="0" collapsed="false">
      <c r="A25" s="6" t="s">
        <v>1381</v>
      </c>
      <c r="B25" s="6" t="s">
        <v>1382</v>
      </c>
      <c r="C25" s="6" t="s">
        <v>836</v>
      </c>
      <c r="D25" s="6" t="n">
        <f aca="false">COUNTIF('Speaker Appearances'!$A$2:$A$358,A25)</f>
        <v>1</v>
      </c>
    </row>
    <row r="26" customFormat="false" ht="23.85" hidden="false" customHeight="false" outlineLevel="0" collapsed="false">
      <c r="A26" s="6" t="s">
        <v>1209</v>
      </c>
      <c r="B26" s="6" t="s">
        <v>1210</v>
      </c>
      <c r="C26" s="6" t="s">
        <v>1211</v>
      </c>
      <c r="D26" s="6" t="n">
        <f aca="false">COUNTIF('Speaker Appearances'!$A$2:$A$358,A26)</f>
        <v>1</v>
      </c>
    </row>
    <row r="27" customFormat="false" ht="15" hidden="false" customHeight="false" outlineLevel="0" collapsed="false">
      <c r="A27" s="6" t="s">
        <v>998</v>
      </c>
      <c r="B27" s="6" t="s">
        <v>999</v>
      </c>
      <c r="C27" s="6" t="s">
        <v>1000</v>
      </c>
      <c r="D27" s="6" t="n">
        <f aca="false">COUNTIF('Speaker Appearances'!$A$2:$A$358,A27)</f>
        <v>2</v>
      </c>
    </row>
    <row r="28" customFormat="false" ht="15" hidden="false" customHeight="false" outlineLevel="0" collapsed="false">
      <c r="A28" s="6" t="s">
        <v>915</v>
      </c>
      <c r="B28" s="6"/>
      <c r="C28" s="6"/>
      <c r="D28" s="6" t="n">
        <f aca="false">COUNTIF('Speaker Appearances'!$A$2:$A$358,A28)</f>
        <v>1</v>
      </c>
    </row>
    <row r="29" customFormat="false" ht="15" hidden="false" customHeight="false" outlineLevel="0" collapsed="false">
      <c r="A29" s="6" t="s">
        <v>1379</v>
      </c>
      <c r="B29" s="6" t="s">
        <v>1380</v>
      </c>
      <c r="C29" s="6" t="s">
        <v>836</v>
      </c>
      <c r="D29" s="6" t="n">
        <f aca="false">COUNTIF('Speaker Appearances'!$A$2:$A$358,A29)</f>
        <v>1</v>
      </c>
    </row>
    <row r="30" customFormat="false" ht="15" hidden="false" customHeight="false" outlineLevel="0" collapsed="false">
      <c r="A30" s="6" t="s">
        <v>1357</v>
      </c>
      <c r="B30" s="6" t="s">
        <v>1173</v>
      </c>
      <c r="C30" s="6" t="s">
        <v>1358</v>
      </c>
      <c r="D30" s="6" t="n">
        <f aca="false">COUNTIF('Speaker Appearances'!$A$2:$A$358,A30)</f>
        <v>1</v>
      </c>
    </row>
    <row r="31" customFormat="false" ht="15" hidden="false" customHeight="false" outlineLevel="0" collapsed="false">
      <c r="A31" s="6" t="s">
        <v>930</v>
      </c>
      <c r="B31" s="6"/>
      <c r="C31" s="6"/>
      <c r="D31" s="6" t="n">
        <f aca="false">COUNTIF('Speaker Appearances'!$A$2:$A$358,A31)</f>
        <v>1</v>
      </c>
    </row>
    <row r="32" customFormat="false" ht="15" hidden="false" customHeight="false" outlineLevel="0" collapsed="false">
      <c r="A32" s="6" t="s">
        <v>976</v>
      </c>
      <c r="B32" s="6" t="s">
        <v>977</v>
      </c>
      <c r="C32" s="6" t="s">
        <v>978</v>
      </c>
      <c r="D32" s="6" t="n">
        <f aca="false">COUNTIF('Speaker Appearances'!$A$2:$A$358,A32)</f>
        <v>1</v>
      </c>
    </row>
    <row r="33" customFormat="false" ht="15" hidden="false" customHeight="false" outlineLevel="0" collapsed="false">
      <c r="A33" s="6" t="s">
        <v>1111</v>
      </c>
      <c r="B33" s="6" t="s">
        <v>1085</v>
      </c>
      <c r="C33" s="6" t="s">
        <v>1112</v>
      </c>
      <c r="D33" s="6" t="n">
        <f aca="false">COUNTIF('Speaker Appearances'!$A$2:$A$358,A33)</f>
        <v>2</v>
      </c>
    </row>
    <row r="34" customFormat="false" ht="15" hidden="false" customHeight="false" outlineLevel="0" collapsed="false">
      <c r="A34" s="6" t="s">
        <v>812</v>
      </c>
      <c r="B34" s="6" t="s">
        <v>1064</v>
      </c>
      <c r="C34" s="6" t="s">
        <v>963</v>
      </c>
      <c r="D34" s="6" t="n">
        <f aca="false">COUNTIF('Speaker Appearances'!$A$2:$A$358,A34)</f>
        <v>3</v>
      </c>
    </row>
    <row r="35" customFormat="false" ht="15" hidden="false" customHeight="false" outlineLevel="0" collapsed="false">
      <c r="A35" s="6" t="s">
        <v>924</v>
      </c>
      <c r="B35" s="6" t="s">
        <v>1249</v>
      </c>
      <c r="C35" s="6" t="s">
        <v>1250</v>
      </c>
      <c r="D35" s="6" t="n">
        <f aca="false">COUNTIF('Speaker Appearances'!$A$2:$A$358,A35)</f>
        <v>2</v>
      </c>
    </row>
    <row r="36" customFormat="false" ht="15" hidden="false" customHeight="false" outlineLevel="0" collapsed="false">
      <c r="A36" s="6" t="s">
        <v>878</v>
      </c>
      <c r="B36" s="6" t="s">
        <v>879</v>
      </c>
      <c r="C36" s="6" t="s">
        <v>880</v>
      </c>
      <c r="D36" s="6" t="n">
        <f aca="false">COUNTIF('Speaker Appearances'!$A$2:$A$358,A36)</f>
        <v>4</v>
      </c>
    </row>
    <row r="37" customFormat="false" ht="15" hidden="false" customHeight="false" outlineLevel="0" collapsed="false">
      <c r="A37" s="6" t="s">
        <v>1317</v>
      </c>
      <c r="B37" s="6" t="s">
        <v>1318</v>
      </c>
      <c r="C37" s="6" t="s">
        <v>1319</v>
      </c>
      <c r="D37" s="6" t="n">
        <f aca="false">COUNTIF('Speaker Appearances'!$A$2:$A$358,A37)</f>
        <v>1</v>
      </c>
    </row>
    <row r="38" customFormat="false" ht="15" hidden="false" customHeight="false" outlineLevel="0" collapsed="false">
      <c r="A38" s="6" t="s">
        <v>258</v>
      </c>
      <c r="B38" s="6" t="s">
        <v>971</v>
      </c>
      <c r="C38" s="6" t="s">
        <v>259</v>
      </c>
      <c r="D38" s="6" t="n">
        <f aca="false">COUNTIF('Speaker Appearances'!$A$2:$A$358,A38)</f>
        <v>1</v>
      </c>
    </row>
    <row r="39" customFormat="false" ht="15" hidden="false" customHeight="false" outlineLevel="0" collapsed="false">
      <c r="A39" s="6" t="s">
        <v>940</v>
      </c>
      <c r="B39" s="6" t="s">
        <v>941</v>
      </c>
      <c r="C39" s="6" t="s">
        <v>942</v>
      </c>
      <c r="D39" s="6" t="n">
        <f aca="false">COUNTIF('Speaker Appearances'!$A$2:$A$358,A39)</f>
        <v>1</v>
      </c>
    </row>
    <row r="40" customFormat="false" ht="15" hidden="false" customHeight="false" outlineLevel="0" collapsed="false">
      <c r="A40" s="6" t="s">
        <v>1094</v>
      </c>
      <c r="B40" s="6"/>
      <c r="C40" s="6"/>
      <c r="D40" s="6" t="n">
        <f aca="false">COUNTIF('Speaker Appearances'!$A$2:$A$358,A40)</f>
        <v>1</v>
      </c>
    </row>
    <row r="41" customFormat="false" ht="15" hidden="false" customHeight="false" outlineLevel="0" collapsed="false">
      <c r="A41" s="6" t="s">
        <v>1324</v>
      </c>
      <c r="B41" s="6" t="s">
        <v>1325</v>
      </c>
      <c r="C41" s="6" t="s">
        <v>551</v>
      </c>
      <c r="D41" s="6" t="n">
        <f aca="false">COUNTIF('Speaker Appearances'!$A$2:$A$358,A41)</f>
        <v>1</v>
      </c>
    </row>
    <row r="42" customFormat="false" ht="15" hidden="false" customHeight="false" outlineLevel="0" collapsed="false">
      <c r="A42" s="6" t="s">
        <v>903</v>
      </c>
      <c r="B42" s="6"/>
      <c r="C42" s="6"/>
      <c r="D42" s="6" t="n">
        <f aca="false">COUNTIF('Speaker Appearances'!$A$2:$A$358,A42)</f>
        <v>1</v>
      </c>
    </row>
    <row r="43" customFormat="false" ht="15" hidden="false" customHeight="false" outlineLevel="0" collapsed="false">
      <c r="A43" s="6" t="s">
        <v>928</v>
      </c>
      <c r="B43" s="6"/>
      <c r="C43" s="6"/>
      <c r="D43" s="6" t="n">
        <f aca="false">COUNTIF('Speaker Appearances'!$A$2:$A$358,A43)</f>
        <v>1</v>
      </c>
    </row>
    <row r="44" customFormat="false" ht="15" hidden="false" customHeight="false" outlineLevel="0" collapsed="false">
      <c r="A44" s="6" t="s">
        <v>1163</v>
      </c>
      <c r="B44" s="6" t="s">
        <v>1164</v>
      </c>
      <c r="C44" s="6" t="s">
        <v>1165</v>
      </c>
      <c r="D44" s="6" t="n">
        <f aca="false">COUNTIF('Speaker Appearances'!$A$2:$A$358,A44)</f>
        <v>1</v>
      </c>
    </row>
    <row r="45" customFormat="false" ht="15" hidden="false" customHeight="false" outlineLevel="0" collapsed="false">
      <c r="A45" s="6" t="s">
        <v>521</v>
      </c>
      <c r="B45" s="6" t="s">
        <v>1158</v>
      </c>
      <c r="C45" s="6" t="s">
        <v>522</v>
      </c>
      <c r="D45" s="6" t="n">
        <f aca="false">COUNTIF('Speaker Appearances'!$A$2:$A$358,A45)</f>
        <v>1</v>
      </c>
    </row>
    <row r="46" customFormat="false" ht="15" hidden="false" customHeight="false" outlineLevel="0" collapsed="false">
      <c r="A46" s="6" t="s">
        <v>1271</v>
      </c>
      <c r="B46" s="6" t="s">
        <v>1272</v>
      </c>
      <c r="C46" s="6" t="s">
        <v>1273</v>
      </c>
      <c r="D46" s="6" t="n">
        <f aca="false">COUNTIF('Speaker Appearances'!$A$2:$A$358,A46)</f>
        <v>1</v>
      </c>
    </row>
    <row r="47" customFormat="false" ht="15" hidden="false" customHeight="false" outlineLevel="0" collapsed="false">
      <c r="A47" s="6" t="s">
        <v>1403</v>
      </c>
      <c r="B47" s="6" t="s">
        <v>1404</v>
      </c>
      <c r="C47" s="6" t="s">
        <v>951</v>
      </c>
      <c r="D47" s="6" t="n">
        <f aca="false">COUNTIF('Speaker Appearances'!$A$2:$A$358,A47)</f>
        <v>1</v>
      </c>
    </row>
    <row r="48" customFormat="false" ht="15" hidden="false" customHeight="false" outlineLevel="0" collapsed="false">
      <c r="A48" s="6" t="s">
        <v>60</v>
      </c>
      <c r="B48" s="6" t="s">
        <v>874</v>
      </c>
      <c r="C48" s="6" t="s">
        <v>61</v>
      </c>
      <c r="D48" s="6" t="n">
        <f aca="false">COUNTIF('Speaker Appearances'!$A$2:$A$358,A48)</f>
        <v>1</v>
      </c>
    </row>
    <row r="49" customFormat="false" ht="15" hidden="false" customHeight="false" outlineLevel="0" collapsed="false">
      <c r="A49" s="6" t="s">
        <v>1119</v>
      </c>
      <c r="B49" s="6" t="s">
        <v>1120</v>
      </c>
      <c r="C49" s="6" t="s">
        <v>1121</v>
      </c>
      <c r="D49" s="6" t="n">
        <f aca="false">COUNTIF('Speaker Appearances'!$A$2:$A$358,A49)</f>
        <v>2</v>
      </c>
    </row>
    <row r="50" customFormat="false" ht="15" hidden="false" customHeight="false" outlineLevel="0" collapsed="false">
      <c r="A50" s="6" t="s">
        <v>476</v>
      </c>
      <c r="B50" s="6" t="s">
        <v>1126</v>
      </c>
      <c r="C50" s="6" t="s">
        <v>477</v>
      </c>
      <c r="D50" s="6" t="n">
        <f aca="false">COUNTIF('Speaker Appearances'!$A$2:$A$358,A50)</f>
        <v>1</v>
      </c>
    </row>
    <row r="51" customFormat="false" ht="15" hidden="false" customHeight="false" outlineLevel="0" collapsed="false">
      <c r="A51" s="6" t="s">
        <v>1195</v>
      </c>
      <c r="B51" s="6" t="s">
        <v>1196</v>
      </c>
      <c r="C51" s="6" t="s">
        <v>951</v>
      </c>
      <c r="D51" s="6" t="n">
        <f aca="false">COUNTIF('Speaker Appearances'!$A$2:$A$358,A51)</f>
        <v>1</v>
      </c>
    </row>
    <row r="52" customFormat="false" ht="15" hidden="false" customHeight="false" outlineLevel="0" collapsed="false">
      <c r="A52" s="6" t="s">
        <v>913</v>
      </c>
      <c r="B52" s="6"/>
      <c r="C52" s="6"/>
      <c r="D52" s="6" t="n">
        <f aca="false">COUNTIF('Speaker Appearances'!$A$2:$A$358,A52)</f>
        <v>1</v>
      </c>
    </row>
    <row r="53" customFormat="false" ht="15" hidden="false" customHeight="false" outlineLevel="0" collapsed="false">
      <c r="A53" s="6" t="s">
        <v>1144</v>
      </c>
      <c r="B53" s="6" t="s">
        <v>965</v>
      </c>
      <c r="C53" s="6" t="s">
        <v>1145</v>
      </c>
      <c r="D53" s="6" t="n">
        <f aca="false">COUNTIF('Speaker Appearances'!$A$2:$A$358,A53)</f>
        <v>1</v>
      </c>
    </row>
    <row r="54" customFormat="false" ht="15" hidden="false" customHeight="false" outlineLevel="0" collapsed="false">
      <c r="A54" s="6" t="s">
        <v>806</v>
      </c>
      <c r="B54" s="6" t="s">
        <v>1356</v>
      </c>
      <c r="C54" s="6" t="s">
        <v>807</v>
      </c>
      <c r="D54" s="6" t="n">
        <f aca="false">COUNTIF('Speaker Appearances'!$A$2:$A$358,A54)</f>
        <v>1</v>
      </c>
    </row>
    <row r="55" customFormat="false" ht="15" hidden="false" customHeight="false" outlineLevel="0" collapsed="false">
      <c r="A55" s="6" t="s">
        <v>724</v>
      </c>
      <c r="B55" s="6" t="s">
        <v>1312</v>
      </c>
      <c r="C55" s="6" t="s">
        <v>725</v>
      </c>
      <c r="D55" s="6" t="n">
        <f aca="false">COUNTIF('Speaker Appearances'!$A$2:$A$358,A55)</f>
        <v>1</v>
      </c>
    </row>
    <row r="56" customFormat="false" ht="15" hidden="false" customHeight="false" outlineLevel="0" collapsed="false">
      <c r="A56" s="6" t="s">
        <v>408</v>
      </c>
      <c r="B56" s="6"/>
      <c r="C56" s="6"/>
      <c r="D56" s="6" t="n">
        <f aca="false">COUNTIF('Speaker Appearances'!$A$2:$A$358,A56)</f>
        <v>1</v>
      </c>
    </row>
    <row r="57" customFormat="false" ht="15" hidden="false" customHeight="false" outlineLevel="0" collapsed="false">
      <c r="A57" s="6" t="s">
        <v>1076</v>
      </c>
      <c r="B57" s="6" t="s">
        <v>1077</v>
      </c>
      <c r="C57" s="6" t="s">
        <v>1078</v>
      </c>
      <c r="D57" s="6" t="n">
        <f aca="false">COUNTIF('Speaker Appearances'!$A$2:$A$358,A57)</f>
        <v>1</v>
      </c>
    </row>
    <row r="58" customFormat="false" ht="15" hidden="false" customHeight="false" outlineLevel="0" collapsed="false">
      <c r="A58" s="6" t="s">
        <v>1277</v>
      </c>
      <c r="B58" s="6" t="s">
        <v>1278</v>
      </c>
      <c r="C58" s="6" t="s">
        <v>1279</v>
      </c>
      <c r="D58" s="6" t="n">
        <f aca="false">COUNTIF('Speaker Appearances'!$A$2:$A$358,A58)</f>
        <v>1</v>
      </c>
    </row>
    <row r="59" customFormat="false" ht="15" hidden="false" customHeight="false" outlineLevel="0" collapsed="false">
      <c r="A59" s="6" t="s">
        <v>1137</v>
      </c>
      <c r="B59" s="6" t="s">
        <v>1138</v>
      </c>
      <c r="C59" s="6" t="s">
        <v>951</v>
      </c>
      <c r="D59" s="6" t="n">
        <f aca="false">COUNTIF('Speaker Appearances'!$A$2:$A$358,A59)</f>
        <v>1</v>
      </c>
    </row>
    <row r="60" customFormat="false" ht="15" hidden="false" customHeight="false" outlineLevel="0" collapsed="false">
      <c r="A60" s="6" t="s">
        <v>320</v>
      </c>
      <c r="B60" s="6" t="s">
        <v>890</v>
      </c>
      <c r="C60" s="6" t="s">
        <v>321</v>
      </c>
      <c r="D60" s="6" t="n">
        <f aca="false">COUNTIF('Speaker Appearances'!$A$2:$A$358,A60)</f>
        <v>1</v>
      </c>
    </row>
    <row r="61" customFormat="false" ht="15" hidden="false" customHeight="false" outlineLevel="0" collapsed="false">
      <c r="A61" s="6" t="s">
        <v>1293</v>
      </c>
      <c r="B61" s="6" t="s">
        <v>965</v>
      </c>
      <c r="C61" s="6" t="s">
        <v>1294</v>
      </c>
      <c r="D61" s="6" t="n">
        <f aca="false">COUNTIF('Speaker Appearances'!$A$2:$A$358,A61)</f>
        <v>1</v>
      </c>
    </row>
    <row r="62" customFormat="false" ht="15" hidden="false" customHeight="false" outlineLevel="0" collapsed="false">
      <c r="A62" s="6" t="s">
        <v>578</v>
      </c>
      <c r="B62" s="6" t="s">
        <v>1191</v>
      </c>
      <c r="C62" s="6" t="s">
        <v>579</v>
      </c>
      <c r="D62" s="6" t="n">
        <f aca="false">COUNTIF('Speaker Appearances'!$A$2:$A$358,A62)</f>
        <v>1</v>
      </c>
    </row>
    <row r="63" customFormat="false" ht="15" hidden="false" customHeight="false" outlineLevel="0" collapsed="false">
      <c r="A63" s="6" t="s">
        <v>1241</v>
      </c>
      <c r="B63" s="6" t="s">
        <v>1242</v>
      </c>
      <c r="C63" s="6" t="s">
        <v>1205</v>
      </c>
      <c r="D63" s="6" t="n">
        <f aca="false">COUNTIF('Speaker Appearances'!$A$2:$A$358,A63)</f>
        <v>1</v>
      </c>
    </row>
    <row r="64" customFormat="false" ht="15" hidden="false" customHeight="false" outlineLevel="0" collapsed="false">
      <c r="A64" s="6" t="s">
        <v>1352</v>
      </c>
      <c r="B64" s="6"/>
      <c r="C64" s="6"/>
      <c r="D64" s="6" t="n">
        <f aca="false">COUNTIF('Speaker Appearances'!$A$2:$A$358,A64)</f>
        <v>1</v>
      </c>
    </row>
    <row r="65" customFormat="false" ht="15" hidden="false" customHeight="false" outlineLevel="0" collapsed="false">
      <c r="A65" s="6" t="s">
        <v>952</v>
      </c>
      <c r="B65" s="6" t="s">
        <v>953</v>
      </c>
      <c r="C65" s="6" t="s">
        <v>954</v>
      </c>
      <c r="D65" s="6" t="n">
        <f aca="false">COUNTIF('Speaker Appearances'!$A$2:$A$358,A65)</f>
        <v>1</v>
      </c>
    </row>
    <row r="66" customFormat="false" ht="15" hidden="false" customHeight="false" outlineLevel="0" collapsed="false">
      <c r="A66" s="6" t="s">
        <v>964</v>
      </c>
      <c r="B66" s="6" t="s">
        <v>965</v>
      </c>
      <c r="C66" s="6" t="s">
        <v>966</v>
      </c>
      <c r="D66" s="6" t="n">
        <f aca="false">COUNTIF('Speaker Appearances'!$A$2:$A$358,A66)</f>
        <v>2</v>
      </c>
    </row>
    <row r="67" customFormat="false" ht="15" hidden="false" customHeight="false" outlineLevel="0" collapsed="false">
      <c r="A67" s="6" t="s">
        <v>1073</v>
      </c>
      <c r="B67" s="6" t="s">
        <v>1074</v>
      </c>
      <c r="C67" s="6" t="s">
        <v>1075</v>
      </c>
      <c r="D67" s="6" t="n">
        <f aca="false">COUNTIF('Speaker Appearances'!$A$2:$A$358,A67)</f>
        <v>1</v>
      </c>
    </row>
    <row r="68" customFormat="false" ht="15" hidden="false" customHeight="false" outlineLevel="0" collapsed="false">
      <c r="A68" s="6" t="s">
        <v>601</v>
      </c>
      <c r="B68" s="6" t="s">
        <v>1216</v>
      </c>
      <c r="C68" s="6" t="s">
        <v>602</v>
      </c>
      <c r="D68" s="6" t="n">
        <f aca="false">COUNTIF('Speaker Appearances'!$A$2:$A$358,A68)</f>
        <v>1</v>
      </c>
    </row>
    <row r="69" customFormat="false" ht="15" hidden="false" customHeight="false" outlineLevel="0" collapsed="false">
      <c r="A69" s="6" t="s">
        <v>432</v>
      </c>
      <c r="B69" s="6" t="s">
        <v>1098</v>
      </c>
      <c r="C69" s="6" t="s">
        <v>433</v>
      </c>
      <c r="D69" s="6" t="n">
        <f aca="false">COUNTIF('Speaker Appearances'!$A$2:$A$358,A69)</f>
        <v>1</v>
      </c>
    </row>
    <row r="70" customFormat="false" ht="15" hidden="false" customHeight="false" outlineLevel="0" collapsed="false">
      <c r="A70" s="6" t="s">
        <v>809</v>
      </c>
      <c r="B70" s="6" t="s">
        <v>1065</v>
      </c>
      <c r="C70" s="6" t="s">
        <v>1066</v>
      </c>
      <c r="D70" s="6" t="n">
        <f aca="false">COUNTIF('Speaker Appearances'!$A$2:$A$358,A70)</f>
        <v>2</v>
      </c>
    </row>
    <row r="71" customFormat="false" ht="15" hidden="false" customHeight="false" outlineLevel="0" collapsed="false">
      <c r="A71" s="6" t="s">
        <v>899</v>
      </c>
      <c r="B71" s="6"/>
      <c r="C71" s="6"/>
      <c r="D71" s="6" t="n">
        <f aca="false">COUNTIF('Speaker Appearances'!$A$2:$A$358,A71)</f>
        <v>1</v>
      </c>
    </row>
    <row r="72" customFormat="false" ht="15" hidden="false" customHeight="false" outlineLevel="0" collapsed="false">
      <c r="A72" s="6" t="s">
        <v>262</v>
      </c>
      <c r="B72" s="6" t="s">
        <v>972</v>
      </c>
      <c r="C72" s="6" t="s">
        <v>263</v>
      </c>
      <c r="D72" s="6" t="n">
        <f aca="false">COUNTIF('Speaker Appearances'!$A$2:$A$358,A72)</f>
        <v>1</v>
      </c>
    </row>
    <row r="73" customFormat="false" ht="15" hidden="false" customHeight="false" outlineLevel="0" collapsed="false">
      <c r="A73" s="6" t="s">
        <v>1350</v>
      </c>
      <c r="B73" s="6"/>
      <c r="C73" s="6"/>
      <c r="D73" s="6" t="n">
        <f aca="false">COUNTIF('Speaker Appearances'!$A$2:$A$358,A73)</f>
        <v>1</v>
      </c>
    </row>
    <row r="74" customFormat="false" ht="15" hidden="false" customHeight="false" outlineLevel="0" collapsed="false">
      <c r="A74" s="6" t="s">
        <v>1394</v>
      </c>
      <c r="B74" s="6" t="s">
        <v>1395</v>
      </c>
      <c r="C74" s="6" t="s">
        <v>1366</v>
      </c>
      <c r="D74" s="6" t="n">
        <f aca="false">COUNTIF('Speaker Appearances'!$A$2:$A$358,A74)</f>
        <v>1</v>
      </c>
    </row>
    <row r="75" customFormat="false" ht="15" hidden="false" customHeight="false" outlineLevel="0" collapsed="false">
      <c r="A75" s="6" t="s">
        <v>1284</v>
      </c>
      <c r="B75" s="6" t="s">
        <v>895</v>
      </c>
      <c r="C75" s="6" t="s">
        <v>1285</v>
      </c>
      <c r="D75" s="6" t="n">
        <f aca="false">COUNTIF('Speaker Appearances'!$A$2:$A$358,A75)</f>
        <v>1</v>
      </c>
    </row>
    <row r="76" customFormat="false" ht="15" hidden="false" customHeight="false" outlineLevel="0" collapsed="false">
      <c r="A76" s="6" t="s">
        <v>979</v>
      </c>
      <c r="B76" s="6" t="s">
        <v>980</v>
      </c>
      <c r="C76" s="6" t="s">
        <v>981</v>
      </c>
      <c r="D76" s="6" t="n">
        <f aca="false">COUNTIF('Speaker Appearances'!$A$2:$A$358,A76)</f>
        <v>1</v>
      </c>
    </row>
    <row r="77" customFormat="false" ht="15" hidden="false" customHeight="false" outlineLevel="0" collapsed="false">
      <c r="A77" s="6" t="s">
        <v>905</v>
      </c>
      <c r="B77" s="6"/>
      <c r="C77" s="6"/>
      <c r="D77" s="6" t="n">
        <f aca="false">COUNTIF('Speaker Appearances'!$A$2:$A$358,A77)</f>
        <v>1</v>
      </c>
    </row>
    <row r="78" customFormat="false" ht="15" hidden="false" customHeight="false" outlineLevel="0" collapsed="false">
      <c r="A78" s="6" t="s">
        <v>1359</v>
      </c>
      <c r="B78" s="6" t="s">
        <v>1360</v>
      </c>
      <c r="C78" s="6" t="s">
        <v>1361</v>
      </c>
      <c r="D78" s="6" t="n">
        <f aca="false">COUNTIF('Speaker Appearances'!$A$2:$A$358,A78)</f>
        <v>1</v>
      </c>
    </row>
    <row r="79" customFormat="false" ht="15" hidden="false" customHeight="false" outlineLevel="0" collapsed="false">
      <c r="A79" s="6" t="s">
        <v>1019</v>
      </c>
      <c r="B79" s="6" t="s">
        <v>1020</v>
      </c>
      <c r="C79" s="6" t="s">
        <v>1021</v>
      </c>
      <c r="D79" s="6" t="n">
        <f aca="false">COUNTIF('Speaker Appearances'!$A$2:$A$358,A79)</f>
        <v>1</v>
      </c>
    </row>
    <row r="80" customFormat="false" ht="15" hidden="false" customHeight="false" outlineLevel="0" collapsed="false">
      <c r="A80" s="6" t="s">
        <v>530</v>
      </c>
      <c r="B80" s="6" t="s">
        <v>1160</v>
      </c>
      <c r="C80" s="6" t="s">
        <v>531</v>
      </c>
      <c r="D80" s="6" t="n">
        <f aca="false">COUNTIF('Speaker Appearances'!$A$2:$A$358,A80)</f>
        <v>1</v>
      </c>
    </row>
    <row r="81" customFormat="false" ht="15" hidden="false" customHeight="false" outlineLevel="0" collapsed="false">
      <c r="A81" s="6" t="s">
        <v>1089</v>
      </c>
      <c r="B81" s="6" t="s">
        <v>1090</v>
      </c>
      <c r="C81" s="6" t="s">
        <v>402</v>
      </c>
      <c r="D81" s="6" t="n">
        <f aca="false">COUNTIF('Speaker Appearances'!$A$2:$A$358,A81)</f>
        <v>1</v>
      </c>
    </row>
    <row r="82" customFormat="false" ht="15" hidden="false" customHeight="false" outlineLevel="0" collapsed="false">
      <c r="A82" s="6" t="s">
        <v>1304</v>
      </c>
      <c r="B82" s="6" t="s">
        <v>1305</v>
      </c>
      <c r="C82" s="6" t="s">
        <v>1306</v>
      </c>
      <c r="D82" s="6" t="n">
        <f aca="false">COUNTIF('Speaker Appearances'!$A$2:$A$358,A82)</f>
        <v>1</v>
      </c>
    </row>
    <row r="83" customFormat="false" ht="15" hidden="false" customHeight="false" outlineLevel="0" collapsed="false">
      <c r="A83" s="6" t="s">
        <v>526</v>
      </c>
      <c r="B83" s="6" t="s">
        <v>1159</v>
      </c>
      <c r="C83" s="6" t="s">
        <v>527</v>
      </c>
      <c r="D83" s="6" t="n">
        <f aca="false">COUNTIF('Speaker Appearances'!$A$2:$A$358,A83)</f>
        <v>1</v>
      </c>
    </row>
    <row r="84" customFormat="false" ht="15" hidden="false" customHeight="false" outlineLevel="0" collapsed="false">
      <c r="A84" s="6" t="s">
        <v>728</v>
      </c>
      <c r="B84" s="6" t="s">
        <v>1313</v>
      </c>
      <c r="C84" s="6" t="s">
        <v>729</v>
      </c>
      <c r="D84" s="6" t="n">
        <f aca="false">COUNTIF('Speaker Appearances'!$A$2:$A$358,A84)</f>
        <v>1</v>
      </c>
    </row>
    <row r="85" customFormat="false" ht="15" hidden="false" customHeight="false" outlineLevel="0" collapsed="false">
      <c r="A85" s="6" t="s">
        <v>324</v>
      </c>
      <c r="B85" s="6" t="s">
        <v>1015</v>
      </c>
      <c r="C85" s="6" t="s">
        <v>325</v>
      </c>
      <c r="D85" s="6" t="n">
        <f aca="false">COUNTIF('Speaker Appearances'!$A$2:$A$358,A85)</f>
        <v>1</v>
      </c>
    </row>
    <row r="86" customFormat="false" ht="15" hidden="false" customHeight="false" outlineLevel="0" collapsed="false">
      <c r="A86" s="6" t="s">
        <v>1246</v>
      </c>
      <c r="B86" s="6" t="s">
        <v>1247</v>
      </c>
      <c r="C86" s="6" t="s">
        <v>1248</v>
      </c>
      <c r="D86" s="6" t="n">
        <f aca="false">COUNTIF('Speaker Appearances'!$A$2:$A$358,A86)</f>
        <v>1</v>
      </c>
    </row>
    <row r="87" customFormat="false" ht="15" hidden="false" customHeight="false" outlineLevel="0" collapsed="false">
      <c r="A87" s="6" t="s">
        <v>1223</v>
      </c>
      <c r="B87" s="6" t="s">
        <v>1224</v>
      </c>
      <c r="C87" s="6" t="s">
        <v>1225</v>
      </c>
      <c r="D87" s="6" t="n">
        <f aca="false">COUNTIF('Speaker Appearances'!$A$2:$A$358,A87)</f>
        <v>1</v>
      </c>
    </row>
    <row r="88" customFormat="false" ht="15" hidden="false" customHeight="false" outlineLevel="0" collapsed="false">
      <c r="A88" s="6" t="s">
        <v>927</v>
      </c>
      <c r="B88" s="6"/>
      <c r="C88" s="6"/>
      <c r="D88" s="6" t="n">
        <f aca="false">COUNTIF('Speaker Appearances'!$A$2:$A$358,A88)</f>
        <v>1</v>
      </c>
    </row>
    <row r="89" customFormat="false" ht="15" hidden="false" customHeight="false" outlineLevel="0" collapsed="false">
      <c r="A89" s="6" t="s">
        <v>931</v>
      </c>
      <c r="B89" s="6"/>
      <c r="C89" s="6"/>
      <c r="D89" s="6" t="n">
        <f aca="false">COUNTIF('Speaker Appearances'!$A$2:$A$358,A89)</f>
        <v>1</v>
      </c>
    </row>
    <row r="90" customFormat="false" ht="15" hidden="false" customHeight="false" outlineLevel="0" collapsed="false">
      <c r="A90" s="6" t="s">
        <v>1093</v>
      </c>
      <c r="B90" s="6"/>
      <c r="C90" s="6"/>
      <c r="D90" s="6" t="n">
        <f aca="false">COUNTIF('Speaker Appearances'!$A$2:$A$358,A90)</f>
        <v>1</v>
      </c>
    </row>
    <row r="91" customFormat="false" ht="15" hidden="false" customHeight="false" outlineLevel="0" collapsed="false">
      <c r="A91" s="6" t="s">
        <v>1367</v>
      </c>
      <c r="B91" s="6" t="s">
        <v>1368</v>
      </c>
      <c r="C91" s="6" t="s">
        <v>1369</v>
      </c>
      <c r="D91" s="6" t="n">
        <f aca="false">COUNTIF('Speaker Appearances'!$A$2:$A$358,A91)</f>
        <v>2</v>
      </c>
    </row>
    <row r="92" customFormat="false" ht="15" hidden="false" customHeight="false" outlineLevel="0" collapsed="false">
      <c r="A92" s="6" t="s">
        <v>1001</v>
      </c>
      <c r="B92" s="6" t="s">
        <v>936</v>
      </c>
      <c r="C92" s="6" t="s">
        <v>1002</v>
      </c>
      <c r="D92" s="6" t="n">
        <f aca="false">COUNTIF('Speaker Appearances'!$A$2:$A$358,A92)</f>
        <v>1</v>
      </c>
    </row>
    <row r="93" customFormat="false" ht="15" hidden="false" customHeight="false" outlineLevel="0" collapsed="false">
      <c r="A93" s="6" t="s">
        <v>1127</v>
      </c>
      <c r="B93" s="6" t="s">
        <v>1128</v>
      </c>
      <c r="C93" s="6" t="s">
        <v>1129</v>
      </c>
      <c r="D93" s="6" t="n">
        <f aca="false">COUNTIF('Speaker Appearances'!$A$2:$A$358,A93)</f>
        <v>2</v>
      </c>
    </row>
    <row r="94" customFormat="false" ht="15" hidden="false" customHeight="false" outlineLevel="0" collapsed="false">
      <c r="A94" s="6" t="s">
        <v>1407</v>
      </c>
      <c r="B94" s="6" t="s">
        <v>932</v>
      </c>
      <c r="C94" s="6" t="s">
        <v>1408</v>
      </c>
      <c r="D94" s="6" t="n">
        <f aca="false">COUNTIF('Speaker Appearances'!$A$2:$A$358,A94)</f>
        <v>1</v>
      </c>
    </row>
    <row r="95" customFormat="false" ht="15" hidden="false" customHeight="false" outlineLevel="0" collapsed="false">
      <c r="A95" s="6" t="s">
        <v>1036</v>
      </c>
      <c r="B95" s="6" t="s">
        <v>1037</v>
      </c>
      <c r="C95" s="6" t="s">
        <v>1038</v>
      </c>
      <c r="D95" s="6" t="n">
        <f aca="false">COUNTIF('Speaker Appearances'!$A$2:$A$358,A95)</f>
        <v>1</v>
      </c>
    </row>
    <row r="96" customFormat="false" ht="15" hidden="false" customHeight="false" outlineLevel="0" collapsed="false">
      <c r="A96" s="6" t="s">
        <v>1097</v>
      </c>
      <c r="B96" s="6"/>
      <c r="C96" s="6"/>
      <c r="D96" s="6" t="n">
        <f aca="false">COUNTIF('Speaker Appearances'!$A$2:$A$358,A96)</f>
        <v>1</v>
      </c>
    </row>
    <row r="97" customFormat="false" ht="15" hidden="false" customHeight="false" outlineLevel="0" collapsed="false">
      <c r="A97" s="6" t="s">
        <v>1108</v>
      </c>
      <c r="B97" s="6" t="s">
        <v>1109</v>
      </c>
      <c r="C97" s="6" t="s">
        <v>1110</v>
      </c>
      <c r="D97" s="6" t="n">
        <f aca="false">COUNTIF('Speaker Appearances'!$A$2:$A$358,A97)</f>
        <v>1</v>
      </c>
    </row>
    <row r="98" customFormat="false" ht="15" hidden="false" customHeight="false" outlineLevel="0" collapsed="false">
      <c r="A98" s="6" t="s">
        <v>1045</v>
      </c>
      <c r="B98" s="6" t="s">
        <v>1046</v>
      </c>
      <c r="C98" s="6" t="s">
        <v>1047</v>
      </c>
      <c r="D98" s="6" t="n">
        <f aca="false">COUNTIF('Speaker Appearances'!$A$2:$A$358,A98)</f>
        <v>1</v>
      </c>
    </row>
    <row r="99" customFormat="false" ht="15" hidden="false" customHeight="false" outlineLevel="0" collapsed="false">
      <c r="A99" s="6" t="s">
        <v>178</v>
      </c>
      <c r="B99" s="6" t="s">
        <v>932</v>
      </c>
      <c r="C99" s="6" t="s">
        <v>179</v>
      </c>
      <c r="D99" s="6" t="n">
        <f aca="false">COUNTIF('Speaker Appearances'!$A$2:$A$358,A99)</f>
        <v>7</v>
      </c>
    </row>
    <row r="100" customFormat="false" ht="15" hidden="false" customHeight="false" outlineLevel="0" collapsed="false">
      <c r="A100" s="6" t="s">
        <v>1386</v>
      </c>
      <c r="B100" s="6" t="s">
        <v>1387</v>
      </c>
      <c r="C100" s="6" t="s">
        <v>1388</v>
      </c>
      <c r="D100" s="6" t="n">
        <f aca="false">COUNTIF('Speaker Appearances'!$A$2:$A$358,A100)</f>
        <v>1</v>
      </c>
    </row>
    <row r="101" customFormat="false" ht="15" hidden="false" customHeight="false" outlineLevel="0" collapsed="false">
      <c r="A101" s="6" t="s">
        <v>538</v>
      </c>
      <c r="B101" s="6" t="s">
        <v>1166</v>
      </c>
      <c r="C101" s="6" t="s">
        <v>539</v>
      </c>
      <c r="D101" s="6" t="n">
        <f aca="false">COUNTIF('Speaker Appearances'!$A$2:$A$358,A101)</f>
        <v>1</v>
      </c>
    </row>
    <row r="102" customFormat="false" ht="15" hidden="false" customHeight="false" outlineLevel="0" collapsed="false">
      <c r="A102" s="6" t="s">
        <v>509</v>
      </c>
      <c r="B102" s="6" t="s">
        <v>1146</v>
      </c>
      <c r="C102" s="6" t="s">
        <v>61</v>
      </c>
      <c r="D102" s="6" t="n">
        <f aca="false">COUNTIF('Speaker Appearances'!$A$2:$A$358,A102)</f>
        <v>2</v>
      </c>
    </row>
    <row r="103" customFormat="false" ht="15" hidden="false" customHeight="false" outlineLevel="0" collapsed="false">
      <c r="A103" s="6" t="s">
        <v>918</v>
      </c>
      <c r="B103" s="6" t="s">
        <v>1103</v>
      </c>
      <c r="C103" s="6" t="s">
        <v>1104</v>
      </c>
      <c r="D103" s="6" t="n">
        <f aca="false">COUNTIF('Speaker Appearances'!$A$2:$A$358,A103)</f>
        <v>2</v>
      </c>
    </row>
    <row r="104" customFormat="false" ht="15" hidden="false" customHeight="false" outlineLevel="0" collapsed="false">
      <c r="A104" s="6" t="s">
        <v>52</v>
      </c>
      <c r="B104" s="6"/>
      <c r="C104" s="6" t="s">
        <v>53</v>
      </c>
      <c r="D104" s="6" t="n">
        <f aca="false">COUNTIF('Speaker Appearances'!$A$2:$A$358,A104)</f>
        <v>5</v>
      </c>
    </row>
    <row r="105" customFormat="false" ht="15" hidden="false" customHeight="false" outlineLevel="0" collapsed="false">
      <c r="A105" s="6" t="s">
        <v>1188</v>
      </c>
      <c r="B105" s="6" t="s">
        <v>1189</v>
      </c>
      <c r="C105" s="6" t="s">
        <v>1190</v>
      </c>
      <c r="D105" s="6" t="n">
        <f aca="false">COUNTIF('Speaker Appearances'!$A$2:$A$358,A105)</f>
        <v>1</v>
      </c>
    </row>
    <row r="106" customFormat="false" ht="15" hidden="false" customHeight="false" outlineLevel="0" collapsed="false">
      <c r="A106" s="6" t="s">
        <v>1231</v>
      </c>
      <c r="B106" s="6" t="s">
        <v>1232</v>
      </c>
      <c r="C106" s="6" t="s">
        <v>1233</v>
      </c>
      <c r="D106" s="6" t="n">
        <f aca="false">COUNTIF('Speaker Appearances'!$A$2:$A$358,A106)</f>
        <v>1</v>
      </c>
    </row>
    <row r="107" customFormat="false" ht="15" hidden="false" customHeight="false" outlineLevel="0" collapsed="false">
      <c r="A107" s="6" t="s">
        <v>1338</v>
      </c>
      <c r="B107" s="6" t="s">
        <v>1339</v>
      </c>
      <c r="C107" s="6" t="s">
        <v>1340</v>
      </c>
      <c r="D107" s="6" t="n">
        <f aca="false">COUNTIF('Speaker Appearances'!$A$2:$A$358,A107)</f>
        <v>1</v>
      </c>
    </row>
    <row r="108" customFormat="false" ht="15" hidden="false" customHeight="false" outlineLevel="0" collapsed="false">
      <c r="A108" s="6" t="s">
        <v>1179</v>
      </c>
      <c r="B108" s="6" t="s">
        <v>1180</v>
      </c>
      <c r="C108" s="6" t="s">
        <v>1181</v>
      </c>
      <c r="D108" s="6" t="n">
        <f aca="false">COUNTIF('Speaker Appearances'!$A$2:$A$358,A108)</f>
        <v>1</v>
      </c>
    </row>
    <row r="109" customFormat="false" ht="15" hidden="false" customHeight="false" outlineLevel="0" collapsed="false">
      <c r="A109" s="6" t="s">
        <v>1288</v>
      </c>
      <c r="B109" s="6" t="s">
        <v>1289</v>
      </c>
      <c r="C109" s="6" t="s">
        <v>1290</v>
      </c>
      <c r="D109" s="6" t="n">
        <f aca="false">COUNTIF('Speaker Appearances'!$A$2:$A$358,A109)</f>
        <v>2</v>
      </c>
    </row>
    <row r="110" customFormat="false" ht="15" hidden="false" customHeight="false" outlineLevel="0" collapsed="false">
      <c r="A110" s="6" t="s">
        <v>424</v>
      </c>
      <c r="B110" s="6" t="s">
        <v>890</v>
      </c>
      <c r="C110" s="6" t="s">
        <v>425</v>
      </c>
      <c r="D110" s="6" t="n">
        <f aca="false">COUNTIF('Speaker Appearances'!$A$2:$A$358,A110)</f>
        <v>1</v>
      </c>
    </row>
    <row r="111" customFormat="false" ht="15" hidden="false" customHeight="false" outlineLevel="0" collapsed="false">
      <c r="A111" s="6" t="s">
        <v>912</v>
      </c>
      <c r="B111" s="6"/>
      <c r="C111" s="6"/>
      <c r="D111" s="6" t="n">
        <f aca="false">COUNTIF('Speaker Appearances'!$A$2:$A$358,A111)</f>
        <v>1</v>
      </c>
    </row>
    <row r="112" customFormat="false" ht="15" hidden="false" customHeight="false" outlineLevel="0" collapsed="false">
      <c r="A112" s="6" t="s">
        <v>1058</v>
      </c>
      <c r="B112" s="6" t="s">
        <v>1059</v>
      </c>
      <c r="C112" s="6" t="s">
        <v>1060</v>
      </c>
      <c r="D112" s="6" t="n">
        <f aca="false">COUNTIF('Speaker Appearances'!$A$2:$A$358,A112)</f>
        <v>2</v>
      </c>
    </row>
    <row r="113" customFormat="false" ht="15" hidden="false" customHeight="false" outlineLevel="0" collapsed="false">
      <c r="A113" s="6" t="s">
        <v>1389</v>
      </c>
      <c r="B113" s="6" t="s">
        <v>890</v>
      </c>
      <c r="C113" s="6" t="s">
        <v>1390</v>
      </c>
      <c r="D113" s="6" t="n">
        <f aca="false">COUNTIF('Speaker Appearances'!$A$2:$A$358,A113)</f>
        <v>1</v>
      </c>
    </row>
    <row r="114" customFormat="false" ht="15" hidden="false" customHeight="false" outlineLevel="0" collapsed="false">
      <c r="A114" s="6" t="s">
        <v>1084</v>
      </c>
      <c r="B114" s="6" t="s">
        <v>1085</v>
      </c>
      <c r="C114" s="6" t="s">
        <v>1086</v>
      </c>
      <c r="D114" s="6" t="n">
        <f aca="false">COUNTIF('Speaker Appearances'!$A$2:$A$358,A114)</f>
        <v>1</v>
      </c>
    </row>
    <row r="115" customFormat="false" ht="15" hidden="false" customHeight="false" outlineLevel="0" collapsed="false">
      <c r="A115" s="6" t="s">
        <v>922</v>
      </c>
      <c r="B115" s="6"/>
      <c r="C115" s="6"/>
      <c r="D115" s="6" t="n">
        <f aca="false">COUNTIF('Speaker Appearances'!$A$2:$A$358,A115)</f>
        <v>1</v>
      </c>
    </row>
    <row r="116" customFormat="false" ht="15" hidden="false" customHeight="false" outlineLevel="0" collapsed="false">
      <c r="A116" s="6" t="s">
        <v>1269</v>
      </c>
      <c r="B116" s="6" t="s">
        <v>1270</v>
      </c>
      <c r="C116" s="6" t="s">
        <v>1211</v>
      </c>
      <c r="D116" s="6" t="n">
        <f aca="false">COUNTIF('Speaker Appearances'!$A$2:$A$358,A116)</f>
        <v>1</v>
      </c>
    </row>
    <row r="117" customFormat="false" ht="15" hidden="false" customHeight="false" outlineLevel="0" collapsed="false">
      <c r="A117" s="6" t="s">
        <v>1329</v>
      </c>
      <c r="B117" s="6" t="s">
        <v>1174</v>
      </c>
      <c r="C117" s="6" t="s">
        <v>1330</v>
      </c>
      <c r="D117" s="6" t="n">
        <f aca="false">COUNTIF('Speaker Appearances'!$A$2:$A$358,A117)</f>
        <v>1</v>
      </c>
    </row>
    <row r="118" customFormat="false" ht="15" hidden="false" customHeight="false" outlineLevel="0" collapsed="false">
      <c r="A118" s="6" t="s">
        <v>943</v>
      </c>
      <c r="B118" s="6" t="s">
        <v>944</v>
      </c>
      <c r="C118" s="6" t="s">
        <v>945</v>
      </c>
      <c r="D118" s="6" t="n">
        <f aca="false">COUNTIF('Speaker Appearances'!$A$2:$A$358,A118)</f>
        <v>2</v>
      </c>
    </row>
    <row r="119" customFormat="false" ht="15" hidden="false" customHeight="false" outlineLevel="0" collapsed="false">
      <c r="A119" s="6" t="s">
        <v>770</v>
      </c>
      <c r="B119" s="6" t="s">
        <v>1337</v>
      </c>
      <c r="C119" s="6" t="s">
        <v>771</v>
      </c>
      <c r="D119" s="6" t="n">
        <f aca="false">COUNTIF('Speaker Appearances'!$A$2:$A$358,A119)</f>
        <v>1</v>
      </c>
    </row>
    <row r="120" customFormat="false" ht="15" hidden="false" customHeight="false" outlineLevel="0" collapsed="false">
      <c r="A120" s="6" t="s">
        <v>1004</v>
      </c>
      <c r="B120" s="6" t="s">
        <v>1005</v>
      </c>
      <c r="C120" s="6" t="s">
        <v>1006</v>
      </c>
      <c r="D120" s="6" t="n">
        <f aca="false">COUNTIF('Speaker Appearances'!$A$2:$A$358,A120)</f>
        <v>1</v>
      </c>
    </row>
    <row r="121" customFormat="false" ht="15" hidden="false" customHeight="false" outlineLevel="0" collapsed="false">
      <c r="A121" s="6" t="s">
        <v>1133</v>
      </c>
      <c r="B121" s="6" t="s">
        <v>1134</v>
      </c>
      <c r="C121" s="6" t="s">
        <v>61</v>
      </c>
      <c r="D121" s="6" t="n">
        <f aca="false">COUNTIF('Speaker Appearances'!$A$2:$A$358,A121)</f>
        <v>2</v>
      </c>
    </row>
    <row r="122" customFormat="false" ht="15" hidden="false" customHeight="false" outlineLevel="0" collapsed="false">
      <c r="A122" s="6" t="s">
        <v>902</v>
      </c>
      <c r="B122" s="6"/>
      <c r="C122" s="6"/>
      <c r="D122" s="6" t="n">
        <f aca="false">COUNTIF('Speaker Appearances'!$A$2:$A$358,A122)</f>
        <v>1</v>
      </c>
    </row>
    <row r="123" customFormat="false" ht="15" hidden="false" customHeight="false" outlineLevel="0" collapsed="false">
      <c r="A123" s="6" t="s">
        <v>968</v>
      </c>
      <c r="B123" s="6" t="s">
        <v>875</v>
      </c>
      <c r="C123" s="6" t="s">
        <v>969</v>
      </c>
      <c r="D123" s="6" t="n">
        <f aca="false">COUNTIF('Speaker Appearances'!$A$2:$A$358,A123)</f>
        <v>2</v>
      </c>
    </row>
    <row r="124" customFormat="false" ht="15" hidden="false" customHeight="false" outlineLevel="0" collapsed="false">
      <c r="A124" s="6" t="s">
        <v>1286</v>
      </c>
      <c r="B124" s="6" t="s">
        <v>1037</v>
      </c>
      <c r="C124" s="6" t="s">
        <v>1287</v>
      </c>
      <c r="D124" s="6" t="n">
        <f aca="false">COUNTIF('Speaker Appearances'!$A$2:$A$358,A124)</f>
        <v>1</v>
      </c>
    </row>
    <row r="125" customFormat="false" ht="15" hidden="false" customHeight="false" outlineLevel="0" collapsed="false">
      <c r="A125" s="6" t="s">
        <v>1409</v>
      </c>
      <c r="B125" s="6" t="s">
        <v>1410</v>
      </c>
      <c r="C125" s="6" t="s">
        <v>1411</v>
      </c>
      <c r="D125" s="6" t="n">
        <f aca="false">COUNTIF('Speaker Appearances'!$A$2:$A$358,A125)</f>
        <v>1</v>
      </c>
    </row>
    <row r="126" customFormat="false" ht="15" hidden="false" customHeight="false" outlineLevel="0" collapsed="false">
      <c r="A126" s="6" t="s">
        <v>1238</v>
      </c>
      <c r="B126" s="6" t="s">
        <v>1239</v>
      </c>
      <c r="C126" s="6" t="s">
        <v>1240</v>
      </c>
      <c r="D126" s="6" t="n">
        <f aca="false">COUNTIF('Speaker Appearances'!$A$2:$A$358,A126)</f>
        <v>1</v>
      </c>
    </row>
    <row r="127" customFormat="false" ht="15" hidden="false" customHeight="false" outlineLevel="0" collapsed="false">
      <c r="A127" s="6" t="s">
        <v>233</v>
      </c>
      <c r="B127" s="6" t="s">
        <v>960</v>
      </c>
      <c r="C127" s="6" t="s">
        <v>234</v>
      </c>
      <c r="D127" s="6" t="n">
        <f aca="false">COUNTIF('Speaker Appearances'!$A$2:$A$358,A127)</f>
        <v>2</v>
      </c>
    </row>
    <row r="128" customFormat="false" ht="15" hidden="false" customHeight="false" outlineLevel="0" collapsed="false">
      <c r="A128" s="6" t="s">
        <v>1348</v>
      </c>
      <c r="B128" s="6"/>
      <c r="C128" s="6"/>
      <c r="D128" s="6" t="n">
        <f aca="false">COUNTIF('Speaker Appearances'!$A$2:$A$358,A128)</f>
        <v>1</v>
      </c>
    </row>
    <row r="129" customFormat="false" ht="15" hidden="false" customHeight="false" outlineLevel="0" collapsed="false">
      <c r="A129" s="6" t="s">
        <v>898</v>
      </c>
      <c r="B129" s="6"/>
      <c r="C129" s="6"/>
      <c r="D129" s="6" t="n">
        <f aca="false">COUNTIF('Speaker Appearances'!$A$2:$A$358,A129)</f>
        <v>1</v>
      </c>
    </row>
    <row r="130" customFormat="false" ht="15" hidden="false" customHeight="false" outlineLevel="0" collapsed="false">
      <c r="A130" s="6" t="s">
        <v>1041</v>
      </c>
      <c r="B130" s="6" t="s">
        <v>890</v>
      </c>
      <c r="C130" s="6" t="s">
        <v>1042</v>
      </c>
      <c r="D130" s="6" t="n">
        <f aca="false">COUNTIF('Speaker Appearances'!$A$2:$A$358,A130)</f>
        <v>1</v>
      </c>
    </row>
    <row r="131" customFormat="false" ht="15" hidden="false" customHeight="false" outlineLevel="0" collapsed="false">
      <c r="A131" s="6" t="s">
        <v>961</v>
      </c>
      <c r="B131" s="6" t="s">
        <v>962</v>
      </c>
      <c r="C131" s="6" t="s">
        <v>963</v>
      </c>
      <c r="D131" s="6" t="n">
        <f aca="false">COUNTIF('Speaker Appearances'!$A$2:$A$358,A131)</f>
        <v>2</v>
      </c>
    </row>
    <row r="132" customFormat="false" ht="15" hidden="false" customHeight="false" outlineLevel="0" collapsed="false">
      <c r="A132" s="6" t="s">
        <v>1321</v>
      </c>
      <c r="B132" s="6" t="s">
        <v>1322</v>
      </c>
      <c r="C132" s="6" t="s">
        <v>1323</v>
      </c>
      <c r="D132" s="6" t="n">
        <f aca="false">COUNTIF('Speaker Appearances'!$A$2:$A$358,A132)</f>
        <v>1</v>
      </c>
    </row>
    <row r="133" customFormat="false" ht="15" hidden="false" customHeight="false" outlineLevel="0" collapsed="false">
      <c r="A133" s="6" t="s">
        <v>1153</v>
      </c>
      <c r="B133" s="6" t="s">
        <v>1154</v>
      </c>
      <c r="C133" s="6" t="s">
        <v>1155</v>
      </c>
      <c r="D133" s="6" t="n">
        <f aca="false">COUNTIF('Speaker Appearances'!$A$2:$A$358,A133)</f>
        <v>1</v>
      </c>
    </row>
    <row r="134" customFormat="false" ht="15" hidden="false" customHeight="false" outlineLevel="0" collapsed="false">
      <c r="A134" s="6" t="s">
        <v>500</v>
      </c>
      <c r="B134" s="6" t="s">
        <v>1140</v>
      </c>
      <c r="C134" s="6" t="s">
        <v>501</v>
      </c>
      <c r="D134" s="6" t="n">
        <f aca="false">COUNTIF('Speaker Appearances'!$A$2:$A$358,A134)</f>
        <v>1</v>
      </c>
    </row>
    <row r="135" customFormat="false" ht="23.85" hidden="false" customHeight="false" outlineLevel="0" collapsed="false">
      <c r="A135" s="6" t="s">
        <v>1383</v>
      </c>
      <c r="B135" s="6" t="s">
        <v>1384</v>
      </c>
      <c r="C135" s="6" t="s">
        <v>1385</v>
      </c>
      <c r="D135" s="6" t="n">
        <f aca="false">COUNTIF('Speaker Appearances'!$A$2:$A$358,A135)</f>
        <v>1</v>
      </c>
    </row>
    <row r="136" customFormat="false" ht="15" hidden="false" customHeight="false" outlineLevel="0" collapsed="false">
      <c r="A136" s="6" t="s">
        <v>982</v>
      </c>
      <c r="B136" s="6" t="s">
        <v>983</v>
      </c>
      <c r="C136" s="6" t="s">
        <v>984</v>
      </c>
      <c r="D136" s="6" t="n">
        <f aca="false">COUNTIF('Speaker Appearances'!$A$2:$A$358,A136)</f>
        <v>1</v>
      </c>
    </row>
    <row r="137" customFormat="false" ht="15" hidden="false" customHeight="false" outlineLevel="0" collapsed="false">
      <c r="A137" s="6" t="s">
        <v>1217</v>
      </c>
      <c r="B137" s="6" t="s">
        <v>936</v>
      </c>
      <c r="C137" s="6" t="s">
        <v>1218</v>
      </c>
      <c r="D137" s="6" t="n">
        <f aca="false">COUNTIF('Speaker Appearances'!$A$2:$A$358,A137)</f>
        <v>1</v>
      </c>
    </row>
    <row r="138" customFormat="false" ht="15" hidden="false" customHeight="false" outlineLevel="0" collapsed="false">
      <c r="A138" s="6" t="s">
        <v>908</v>
      </c>
      <c r="B138" s="6"/>
      <c r="C138" s="6"/>
      <c r="D138" s="6" t="n">
        <f aca="false">COUNTIF('Speaker Appearances'!$A$2:$A$358,A138)</f>
        <v>1</v>
      </c>
    </row>
    <row r="139" customFormat="false" ht="15" hidden="false" customHeight="false" outlineLevel="0" collapsed="false">
      <c r="A139" s="6" t="s">
        <v>254</v>
      </c>
      <c r="B139" s="6" t="s">
        <v>970</v>
      </c>
      <c r="C139" s="6" t="s">
        <v>255</v>
      </c>
      <c r="D139" s="6" t="n">
        <f aca="false">COUNTIF('Speaker Appearances'!$A$2:$A$358,A139)</f>
        <v>1</v>
      </c>
    </row>
    <row r="140" customFormat="false" ht="15" hidden="false" customHeight="false" outlineLevel="0" collapsed="false">
      <c r="A140" s="6" t="s">
        <v>1022</v>
      </c>
      <c r="B140" s="6" t="s">
        <v>1023</v>
      </c>
      <c r="C140" s="6" t="s">
        <v>1024</v>
      </c>
      <c r="D140" s="6" t="n">
        <f aca="false">COUNTIF('Speaker Appearances'!$A$2:$A$358,A140)</f>
        <v>1</v>
      </c>
    </row>
    <row r="141" customFormat="false" ht="15" hidden="false" customHeight="false" outlineLevel="0" collapsed="false">
      <c r="A141" s="6" t="s">
        <v>1067</v>
      </c>
      <c r="B141" s="6" t="s">
        <v>1068</v>
      </c>
      <c r="C141" s="6" t="s">
        <v>1018</v>
      </c>
      <c r="D141" s="6" t="n">
        <f aca="false">COUNTIF('Speaker Appearances'!$A$2:$A$358,A141)</f>
        <v>1</v>
      </c>
    </row>
    <row r="142" customFormat="false" ht="15" hidden="false" customHeight="false" outlineLevel="0" collapsed="false">
      <c r="A142" s="6" t="s">
        <v>1096</v>
      </c>
      <c r="B142" s="6"/>
      <c r="C142" s="6"/>
      <c r="D142" s="6" t="n">
        <f aca="false">COUNTIF('Speaker Appearances'!$A$2:$A$358,A142)</f>
        <v>1</v>
      </c>
    </row>
    <row r="143" customFormat="false" ht="15" hidden="false" customHeight="false" outlineLevel="0" collapsed="false">
      <c r="A143" s="6" t="s">
        <v>299</v>
      </c>
      <c r="B143" s="6" t="s">
        <v>1003</v>
      </c>
      <c r="C143" s="6" t="s">
        <v>300</v>
      </c>
      <c r="D143" s="6" t="n">
        <f aca="false">COUNTIF('Speaker Appearances'!$A$2:$A$358,A143)</f>
        <v>1</v>
      </c>
    </row>
    <row r="144" customFormat="false" ht="15" hidden="false" customHeight="false" outlineLevel="0" collapsed="false">
      <c r="A144" s="6" t="s">
        <v>127</v>
      </c>
      <c r="B144" s="6"/>
      <c r="C144" s="6"/>
      <c r="D144" s="6" t="n">
        <f aca="false">COUNTIF('Speaker Appearances'!$A$2:$A$358,A144)</f>
        <v>1</v>
      </c>
    </row>
    <row r="145" customFormat="false" ht="15" hidden="false" customHeight="false" outlineLevel="0" collapsed="false">
      <c r="A145" s="6" t="s">
        <v>1341</v>
      </c>
      <c r="B145" s="6" t="s">
        <v>1342</v>
      </c>
      <c r="C145" s="6" t="s">
        <v>1018</v>
      </c>
      <c r="D145" s="6" t="n">
        <f aca="false">COUNTIF('Speaker Appearances'!$A$2:$A$358,A145)</f>
        <v>1</v>
      </c>
    </row>
    <row r="146" customFormat="false" ht="15" hidden="false" customHeight="false" outlineLevel="0" collapsed="false">
      <c r="A146" s="6" t="s">
        <v>1257</v>
      </c>
      <c r="B146" s="6" t="s">
        <v>890</v>
      </c>
      <c r="C146" s="6" t="s">
        <v>1258</v>
      </c>
      <c r="D146" s="6" t="n">
        <f aca="false">COUNTIF('Speaker Appearances'!$A$2:$A$358,A146)</f>
        <v>2</v>
      </c>
    </row>
    <row r="147" customFormat="false" ht="15" hidden="false" customHeight="false" outlineLevel="0" collapsed="false">
      <c r="A147" s="6" t="s">
        <v>710</v>
      </c>
      <c r="B147" s="6" t="s">
        <v>1297</v>
      </c>
      <c r="C147" s="6" t="s">
        <v>711</v>
      </c>
      <c r="D147" s="6" t="n">
        <f aca="false">COUNTIF('Speaker Appearances'!$A$2:$A$358,A147)</f>
        <v>1</v>
      </c>
    </row>
    <row r="148" customFormat="false" ht="15" hidden="false" customHeight="false" outlineLevel="0" collapsed="false">
      <c r="A148" s="6" t="s">
        <v>632</v>
      </c>
      <c r="B148" s="6" t="s">
        <v>1126</v>
      </c>
      <c r="C148" s="6" t="s">
        <v>633</v>
      </c>
      <c r="D148" s="6" t="n">
        <f aca="false">COUNTIF('Speaker Appearances'!$A$2:$A$358,A148)</f>
        <v>1</v>
      </c>
    </row>
    <row r="149" customFormat="false" ht="15" hidden="false" customHeight="false" outlineLevel="0" collapsed="false">
      <c r="A149" s="6" t="s">
        <v>546</v>
      </c>
      <c r="B149" s="6" t="s">
        <v>1173</v>
      </c>
      <c r="C149" s="6" t="s">
        <v>547</v>
      </c>
      <c r="D149" s="6" t="n">
        <f aca="false">COUNTIF('Speaker Appearances'!$A$2:$A$358,A149)</f>
        <v>1</v>
      </c>
    </row>
    <row r="150" customFormat="false" ht="15" hidden="false" customHeight="false" outlineLevel="0" collapsed="false">
      <c r="A150" s="6" t="s">
        <v>1095</v>
      </c>
      <c r="B150" s="6"/>
      <c r="C150" s="6"/>
      <c r="D150" s="6" t="n">
        <f aca="false">COUNTIF('Speaker Appearances'!$A$2:$A$358,A150)</f>
        <v>1</v>
      </c>
    </row>
    <row r="151" customFormat="false" ht="15" hidden="false" customHeight="false" outlineLevel="0" collapsed="false">
      <c r="A151" s="6" t="s">
        <v>1264</v>
      </c>
      <c r="B151" s="6" t="s">
        <v>965</v>
      </c>
      <c r="C151" s="6" t="s">
        <v>1265</v>
      </c>
      <c r="D151" s="6" t="n">
        <f aca="false">COUNTIF('Speaker Appearances'!$A$2:$A$358,A151)</f>
        <v>1</v>
      </c>
    </row>
    <row r="152" customFormat="false" ht="15" hidden="false" customHeight="false" outlineLevel="0" collapsed="false">
      <c r="A152" s="6" t="s">
        <v>229</v>
      </c>
      <c r="B152" s="6" t="s">
        <v>959</v>
      </c>
      <c r="C152" s="6" t="s">
        <v>230</v>
      </c>
      <c r="D152" s="6" t="n">
        <f aca="false">COUNTIF('Speaker Appearances'!$A$2:$A$358,A152)</f>
        <v>2</v>
      </c>
    </row>
    <row r="153" customFormat="false" ht="15" hidden="false" customHeight="false" outlineLevel="0" collapsed="false">
      <c r="A153" s="6" t="s">
        <v>1354</v>
      </c>
      <c r="B153" s="6" t="s">
        <v>1355</v>
      </c>
      <c r="C153" s="6" t="s">
        <v>61</v>
      </c>
      <c r="D153" s="6" t="n">
        <f aca="false">COUNTIF('Speaker Appearances'!$A$2:$A$358,A153)</f>
        <v>1</v>
      </c>
    </row>
    <row r="154" customFormat="false" ht="15" hidden="false" customHeight="false" outlineLevel="0" collapsed="false">
      <c r="A154" s="6" t="s">
        <v>957</v>
      </c>
      <c r="B154" s="6" t="s">
        <v>958</v>
      </c>
      <c r="C154" s="6" t="s">
        <v>225</v>
      </c>
      <c r="D154" s="6" t="n">
        <f aca="false">COUNTIF('Speaker Appearances'!$A$2:$A$358,A154)</f>
        <v>1</v>
      </c>
    </row>
    <row r="155" customFormat="false" ht="15" hidden="false" customHeight="false" outlineLevel="0" collapsed="false">
      <c r="A155" s="6" t="s">
        <v>1135</v>
      </c>
      <c r="B155" s="6" t="s">
        <v>1136</v>
      </c>
      <c r="C155" s="6" t="s">
        <v>1038</v>
      </c>
      <c r="D155" s="6" t="n">
        <f aca="false">COUNTIF('Speaker Appearances'!$A$2:$A$358,A155)</f>
        <v>1</v>
      </c>
    </row>
    <row r="156" customFormat="false" ht="15" hidden="false" customHeight="false" outlineLevel="0" collapsed="false">
      <c r="A156" s="6" t="s">
        <v>1259</v>
      </c>
      <c r="B156" s="6" t="s">
        <v>1260</v>
      </c>
      <c r="C156" s="6" t="s">
        <v>1261</v>
      </c>
      <c r="D156" s="6" t="n">
        <f aca="false">COUNTIF('Speaker Appearances'!$A$2:$A$358,A156)</f>
        <v>2</v>
      </c>
    </row>
    <row r="157" customFormat="false" ht="15" hidden="false" customHeight="false" outlineLevel="0" collapsed="false">
      <c r="A157" s="6" t="s">
        <v>881</v>
      </c>
      <c r="B157" s="6" t="s">
        <v>875</v>
      </c>
      <c r="C157" s="6" t="s">
        <v>61</v>
      </c>
      <c r="D157" s="6" t="n">
        <f aca="false">COUNTIF('Speaker Appearances'!$A$2:$A$358,A157)</f>
        <v>3</v>
      </c>
    </row>
    <row r="158" customFormat="false" ht="15" hidden="false" customHeight="false" outlineLevel="0" collapsed="false">
      <c r="A158" s="6" t="s">
        <v>1220</v>
      </c>
      <c r="B158" s="6" t="s">
        <v>1221</v>
      </c>
      <c r="C158" s="6" t="s">
        <v>1222</v>
      </c>
      <c r="D158" s="6" t="n">
        <f aca="false">COUNTIF('Speaker Appearances'!$A$2:$A$358,A158)</f>
        <v>1</v>
      </c>
    </row>
    <row r="159" customFormat="false" ht="15" hidden="false" customHeight="false" outlineLevel="0" collapsed="false">
      <c r="A159" s="6" t="s">
        <v>1177</v>
      </c>
      <c r="B159" s="6" t="s">
        <v>1178</v>
      </c>
      <c r="C159" s="6" t="s">
        <v>963</v>
      </c>
      <c r="D159" s="6" t="n">
        <f aca="false">COUNTIF('Speaker Appearances'!$A$2:$A$358,A159)</f>
        <v>1</v>
      </c>
    </row>
    <row r="160" customFormat="false" ht="15" hidden="false" customHeight="false" outlineLevel="0" collapsed="false">
      <c r="A160" s="6" t="s">
        <v>1334</v>
      </c>
      <c r="B160" s="6" t="s">
        <v>965</v>
      </c>
      <c r="C160" s="6" t="s">
        <v>1018</v>
      </c>
      <c r="D160" s="6" t="n">
        <f aca="false">COUNTIF('Speaker Appearances'!$A$2:$A$358,A160)</f>
        <v>1</v>
      </c>
    </row>
    <row r="161" customFormat="false" ht="15" hidden="false" customHeight="false" outlineLevel="0" collapsed="false">
      <c r="A161" s="6" t="s">
        <v>455</v>
      </c>
      <c r="B161" s="6" t="s">
        <v>1113</v>
      </c>
      <c r="C161" s="6" t="s">
        <v>456</v>
      </c>
      <c r="D161" s="6" t="n">
        <f aca="false">COUNTIF('Speaker Appearances'!$A$2:$A$358,A161)</f>
        <v>1</v>
      </c>
    </row>
    <row r="162" customFormat="false" ht="15" hidden="false" customHeight="false" outlineLevel="0" collapsed="false">
      <c r="A162" s="6" t="s">
        <v>436</v>
      </c>
      <c r="B162" s="6" t="s">
        <v>1099</v>
      </c>
      <c r="C162" s="6" t="s">
        <v>437</v>
      </c>
      <c r="D162" s="6" t="n">
        <f aca="false">COUNTIF('Speaker Appearances'!$A$2:$A$358,A162)</f>
        <v>1</v>
      </c>
    </row>
    <row r="163" customFormat="false" ht="15" hidden="false" customHeight="false" outlineLevel="0" collapsed="false">
      <c r="A163" s="6" t="s">
        <v>1197</v>
      </c>
      <c r="B163" s="6" t="s">
        <v>1198</v>
      </c>
      <c r="C163" s="6" t="s">
        <v>1199</v>
      </c>
      <c r="D163" s="6" t="n">
        <f aca="false">COUNTIF('Speaker Appearances'!$A$2:$A$358,A163)</f>
        <v>1</v>
      </c>
    </row>
    <row r="164" customFormat="false" ht="15" hidden="false" customHeight="false" outlineLevel="0" collapsed="false">
      <c r="A164" s="6" t="s">
        <v>929</v>
      </c>
      <c r="B164" s="6"/>
      <c r="C164" s="6"/>
      <c r="D164" s="6" t="n">
        <f aca="false">COUNTIF('Speaker Appearances'!$A$2:$A$358,A164)</f>
        <v>1</v>
      </c>
    </row>
    <row r="165" customFormat="false" ht="15" hidden="false" customHeight="false" outlineLevel="0" collapsed="false">
      <c r="A165" s="6" t="s">
        <v>1082</v>
      </c>
      <c r="B165" s="6" t="s">
        <v>1083</v>
      </c>
      <c r="C165" s="6" t="s">
        <v>214</v>
      </c>
      <c r="D165" s="6" t="n">
        <f aca="false">COUNTIF('Speaker Appearances'!$A$2:$A$358,A165)</f>
        <v>1</v>
      </c>
    </row>
    <row r="166" customFormat="false" ht="15" hidden="false" customHeight="false" outlineLevel="0" collapsed="false">
      <c r="A166" s="6" t="s">
        <v>1326</v>
      </c>
      <c r="B166" s="6" t="s">
        <v>1327</v>
      </c>
      <c r="C166" s="6" t="s">
        <v>1328</v>
      </c>
      <c r="D166" s="6" t="n">
        <f aca="false">COUNTIF('Speaker Appearances'!$A$2:$A$358,A166)</f>
        <v>1</v>
      </c>
    </row>
    <row r="167" customFormat="false" ht="15" hidden="false" customHeight="false" outlineLevel="0" collapsed="false">
      <c r="A167" s="6" t="s">
        <v>1025</v>
      </c>
      <c r="B167" s="6" t="s">
        <v>890</v>
      </c>
      <c r="C167" s="6" t="s">
        <v>1026</v>
      </c>
      <c r="D167" s="6" t="n">
        <f aca="false">COUNTIF('Speaker Appearances'!$A$2:$A$358,A167)</f>
        <v>2</v>
      </c>
    </row>
    <row r="168" customFormat="false" ht="15" hidden="false" customHeight="false" outlineLevel="0" collapsed="false">
      <c r="A168" s="6" t="s">
        <v>1349</v>
      </c>
      <c r="B168" s="6"/>
      <c r="C168" s="6"/>
      <c r="D168" s="6" t="n">
        <f aca="false">COUNTIF('Speaker Appearances'!$A$2:$A$358,A168)</f>
        <v>1</v>
      </c>
    </row>
    <row r="169" customFormat="false" ht="15" hidden="false" customHeight="false" outlineLevel="0" collapsed="false">
      <c r="A169" s="6" t="s">
        <v>933</v>
      </c>
      <c r="B169" s="6" t="s">
        <v>934</v>
      </c>
      <c r="C169" s="6" t="s">
        <v>886</v>
      </c>
      <c r="D169" s="6" t="n">
        <f aca="false">COUNTIF('Speaker Appearances'!$A$2:$A$358,A169)</f>
        <v>2</v>
      </c>
    </row>
    <row r="170" customFormat="false" ht="15" hidden="false" customHeight="false" outlineLevel="0" collapsed="false">
      <c r="A170" s="6" t="s">
        <v>1391</v>
      </c>
      <c r="B170" s="6" t="s">
        <v>1392</v>
      </c>
      <c r="C170" s="6" t="s">
        <v>1393</v>
      </c>
      <c r="D170" s="6" t="n">
        <f aca="false">COUNTIF('Speaker Appearances'!$A$2:$A$358,A170)</f>
        <v>1</v>
      </c>
    </row>
    <row r="171" customFormat="false" ht="15" hidden="false" customHeight="false" outlineLevel="0" collapsed="false">
      <c r="A171" s="6" t="s">
        <v>1280</v>
      </c>
      <c r="B171" s="6" t="s">
        <v>1281</v>
      </c>
      <c r="C171" s="6" t="s">
        <v>1282</v>
      </c>
      <c r="D171" s="6" t="n">
        <f aca="false">COUNTIF('Speaker Appearances'!$A$2:$A$358,A171)</f>
        <v>2</v>
      </c>
    </row>
    <row r="172" customFormat="false" ht="15" hidden="false" customHeight="false" outlineLevel="0" collapsed="false">
      <c r="A172" s="6" t="s">
        <v>1399</v>
      </c>
      <c r="B172" s="6" t="s">
        <v>1400</v>
      </c>
      <c r="C172" s="6" t="s">
        <v>1205</v>
      </c>
      <c r="D172" s="6" t="n">
        <f aca="false">COUNTIF('Speaker Appearances'!$A$2:$A$358,A172)</f>
        <v>1</v>
      </c>
    </row>
    <row r="173" customFormat="false" ht="15" hidden="false" customHeight="false" outlineLevel="0" collapsed="false">
      <c r="A173" s="6" t="s">
        <v>1079</v>
      </c>
      <c r="B173" s="6" t="s">
        <v>1080</v>
      </c>
      <c r="C173" s="6" t="s">
        <v>1081</v>
      </c>
      <c r="D173" s="6" t="n">
        <f aca="false">COUNTIF('Speaker Appearances'!$A$2:$A$358,A173)</f>
        <v>2</v>
      </c>
    </row>
    <row r="174" customFormat="false" ht="15" hidden="false" customHeight="false" outlineLevel="0" collapsed="false">
      <c r="A174" s="6" t="s">
        <v>312</v>
      </c>
      <c r="B174" s="6" t="s">
        <v>1011</v>
      </c>
      <c r="C174" s="6" t="s">
        <v>313</v>
      </c>
      <c r="D174" s="6" t="n">
        <f aca="false">COUNTIF('Speaker Appearances'!$A$2:$A$358,A174)</f>
        <v>1</v>
      </c>
    </row>
    <row r="175" customFormat="false" ht="15" hidden="false" customHeight="false" outlineLevel="0" collapsed="false">
      <c r="A175" s="6" t="s">
        <v>910</v>
      </c>
      <c r="B175" s="6"/>
      <c r="C175" s="6"/>
      <c r="D175" s="6" t="n">
        <f aca="false">COUNTIF('Speaker Appearances'!$A$2:$A$358,A175)</f>
        <v>1</v>
      </c>
    </row>
    <row r="176" customFormat="false" ht="15" hidden="false" customHeight="false" outlineLevel="0" collapsed="false">
      <c r="A176" s="6" t="s">
        <v>1007</v>
      </c>
      <c r="B176" s="6" t="s">
        <v>1008</v>
      </c>
      <c r="C176" s="6" t="s">
        <v>1009</v>
      </c>
      <c r="D176" s="6" t="n">
        <f aca="false">COUNTIF('Speaker Appearances'!$A$2:$A$358,A176)</f>
        <v>1</v>
      </c>
    </row>
    <row r="177" customFormat="false" ht="15" hidden="false" customHeight="false" outlineLevel="0" collapsed="false">
      <c r="A177" s="6" t="s">
        <v>1226</v>
      </c>
      <c r="B177" s="6" t="s">
        <v>1227</v>
      </c>
      <c r="C177" s="6" t="s">
        <v>1228</v>
      </c>
      <c r="D177" s="6" t="n">
        <f aca="false">COUNTIF('Speaker Appearances'!$A$2:$A$358,A177)</f>
        <v>1</v>
      </c>
    </row>
    <row r="178" customFormat="false" ht="15" hidden="false" customHeight="false" outlineLevel="0" collapsed="false">
      <c r="A178" s="6" t="s">
        <v>1027</v>
      </c>
      <c r="B178" s="6" t="s">
        <v>1028</v>
      </c>
      <c r="C178" s="6" t="s">
        <v>1029</v>
      </c>
      <c r="D178" s="6" t="n">
        <f aca="false">COUNTIF('Speaker Appearances'!$A$2:$A$358,A178)</f>
        <v>2</v>
      </c>
    </row>
    <row r="179" customFormat="false" ht="15" hidden="false" customHeight="false" outlineLevel="0" collapsed="false">
      <c r="A179" s="6" t="s">
        <v>900</v>
      </c>
      <c r="B179" s="6"/>
      <c r="C179" s="6"/>
      <c r="D179" s="6" t="n">
        <f aca="false">COUNTIF('Speaker Appearances'!$A$2:$A$358,A179)</f>
        <v>1</v>
      </c>
    </row>
    <row r="180" customFormat="false" ht="15" hidden="false" customHeight="false" outlineLevel="0" collapsed="false">
      <c r="A180" s="6" t="s">
        <v>949</v>
      </c>
      <c r="B180" s="6" t="s">
        <v>950</v>
      </c>
      <c r="C180" s="6" t="s">
        <v>951</v>
      </c>
      <c r="D180" s="6" t="n">
        <f aca="false">COUNTIF('Speaker Appearances'!$A$2:$A$358,A180)</f>
        <v>2</v>
      </c>
    </row>
    <row r="181" customFormat="false" ht="15" hidden="false" customHeight="false" outlineLevel="0" collapsed="false">
      <c r="A181" s="6" t="s">
        <v>783</v>
      </c>
      <c r="B181" s="6" t="s">
        <v>1346</v>
      </c>
      <c r="C181" s="6" t="s">
        <v>784</v>
      </c>
      <c r="D181" s="6" t="n">
        <f aca="false">COUNTIF('Speaker Appearances'!$A$2:$A$358,A181)</f>
        <v>1</v>
      </c>
    </row>
    <row r="182" customFormat="false" ht="15" hidden="false" customHeight="false" outlineLevel="0" collapsed="false">
      <c r="A182" s="6" t="s">
        <v>1251</v>
      </c>
      <c r="B182" s="6" t="s">
        <v>1252</v>
      </c>
      <c r="C182" s="6" t="s">
        <v>1253</v>
      </c>
      <c r="D182" s="6" t="n">
        <f aca="false">COUNTIF('Speaker Appearances'!$A$2:$A$358,A182)</f>
        <v>1</v>
      </c>
    </row>
    <row r="183" customFormat="false" ht="15" hidden="false" customHeight="false" outlineLevel="0" collapsed="false">
      <c r="A183" s="6" t="s">
        <v>909</v>
      </c>
      <c r="B183" s="6"/>
      <c r="C183" s="6"/>
      <c r="D183" s="6" t="n">
        <f aca="false">COUNTIF('Speaker Appearances'!$A$2:$A$358,A183)</f>
        <v>1</v>
      </c>
    </row>
    <row r="184" customFormat="false" ht="15" hidden="false" customHeight="false" outlineLevel="0" collapsed="false">
      <c r="A184" s="6" t="s">
        <v>1091</v>
      </c>
      <c r="B184" s="6" t="s">
        <v>1092</v>
      </c>
      <c r="C184" s="6" t="s">
        <v>402</v>
      </c>
      <c r="D184" s="6" t="n">
        <f aca="false">COUNTIF('Speaker Appearances'!$A$2:$A$358,A184)</f>
        <v>1</v>
      </c>
    </row>
    <row r="185" customFormat="false" ht="15" hidden="false" customHeight="false" outlineLevel="0" collapsed="false">
      <c r="A185" s="6" t="s">
        <v>1331</v>
      </c>
      <c r="B185" s="6" t="s">
        <v>950</v>
      </c>
      <c r="C185" s="6" t="s">
        <v>1258</v>
      </c>
      <c r="D185" s="6" t="n">
        <f aca="false">COUNTIF('Speaker Appearances'!$A$2:$A$358,A185)</f>
        <v>1</v>
      </c>
    </row>
    <row r="186" customFormat="false" ht="15" hidden="false" customHeight="false" outlineLevel="0" collapsed="false">
      <c r="A186" s="6" t="s">
        <v>1212</v>
      </c>
      <c r="B186" s="6" t="s">
        <v>1213</v>
      </c>
      <c r="C186" s="6" t="s">
        <v>1214</v>
      </c>
      <c r="D186" s="6" t="n">
        <f aca="false">COUNTIF('Speaker Appearances'!$A$2:$A$358,A186)</f>
        <v>1</v>
      </c>
    </row>
    <row r="187" customFormat="false" ht="15" hidden="false" customHeight="false" outlineLevel="0" collapsed="false">
      <c r="A187" s="6" t="s">
        <v>906</v>
      </c>
      <c r="B187" s="6"/>
      <c r="C187" s="6"/>
      <c r="D187" s="6" t="n">
        <f aca="false">COUNTIF('Speaker Appearances'!$A$2:$A$358,A187)</f>
        <v>1</v>
      </c>
    </row>
    <row r="188" customFormat="false" ht="15" hidden="false" customHeight="false" outlineLevel="0" collapsed="false">
      <c r="A188" s="6" t="s">
        <v>693</v>
      </c>
      <c r="B188" s="6" t="s">
        <v>1292</v>
      </c>
      <c r="C188" s="6" t="s">
        <v>694</v>
      </c>
      <c r="D188" s="6" t="n">
        <f aca="false">COUNTIF('Speaker Appearances'!$A$2:$A$358,A188)</f>
        <v>2</v>
      </c>
    </row>
    <row r="189" customFormat="false" ht="23.85" hidden="false" customHeight="false" outlineLevel="0" collapsed="false">
      <c r="A189" s="6" t="s">
        <v>1396</v>
      </c>
      <c r="B189" s="6" t="s">
        <v>1397</v>
      </c>
      <c r="C189" s="6" t="s">
        <v>1398</v>
      </c>
      <c r="D189" s="6" t="n">
        <f aca="false">COUNTIF('Speaker Appearances'!$A$2:$A$358,A189)</f>
        <v>1</v>
      </c>
    </row>
    <row r="190" customFormat="false" ht="15" hidden="false" customHeight="false" outlineLevel="0" collapsed="false">
      <c r="A190" s="6" t="s">
        <v>1176</v>
      </c>
      <c r="B190" s="6" t="s">
        <v>950</v>
      </c>
      <c r="C190" s="6" t="s">
        <v>1026</v>
      </c>
      <c r="D190" s="6" t="n">
        <f aca="false">COUNTIF('Speaker Appearances'!$A$2:$A$358,A190)</f>
        <v>2</v>
      </c>
    </row>
    <row r="191" customFormat="false" ht="15" hidden="false" customHeight="false" outlineLevel="0" collapsed="false">
      <c r="A191" s="6" t="s">
        <v>993</v>
      </c>
      <c r="B191" s="6" t="s">
        <v>994</v>
      </c>
      <c r="C191" s="6" t="s">
        <v>995</v>
      </c>
      <c r="D191" s="6" t="n">
        <f aca="false">COUNTIF('Speaker Appearances'!$A$2:$A$358,A191)</f>
        <v>2</v>
      </c>
    </row>
    <row r="192" customFormat="false" ht="15" hidden="false" customHeight="false" outlineLevel="0" collapsed="false">
      <c r="A192" s="6" t="s">
        <v>1351</v>
      </c>
      <c r="B192" s="6"/>
      <c r="C192" s="6"/>
      <c r="D192" s="6" t="n">
        <f aca="false">COUNTIF('Speaker Appearances'!$A$2:$A$358,A192)</f>
        <v>1</v>
      </c>
    </row>
    <row r="193" customFormat="false" ht="15" hidden="false" customHeight="false" outlineLevel="0" collapsed="false">
      <c r="A193" s="6" t="s">
        <v>916</v>
      </c>
      <c r="B193" s="6"/>
      <c r="C193" s="6"/>
      <c r="D193" s="6" t="n">
        <f aca="false">COUNTIF('Speaker Appearances'!$A$2:$A$358,A193)</f>
        <v>1</v>
      </c>
    </row>
    <row r="194" customFormat="false" ht="15" hidden="false" customHeight="false" outlineLevel="0" collapsed="false">
      <c r="A194" s="6" t="s">
        <v>766</v>
      </c>
      <c r="B194" s="6" t="s">
        <v>1337</v>
      </c>
      <c r="C194" s="6" t="s">
        <v>767</v>
      </c>
      <c r="D194" s="6" t="n">
        <f aca="false">COUNTIF('Speaker Appearances'!$A$2:$A$358,A194)</f>
        <v>1</v>
      </c>
    </row>
    <row r="195" customFormat="false" ht="15" hidden="false" customHeight="false" outlineLevel="0" collapsed="false">
      <c r="A195" s="6" t="s">
        <v>1051</v>
      </c>
      <c r="B195" s="6" t="s">
        <v>1052</v>
      </c>
      <c r="C195" s="6" t="s">
        <v>1053</v>
      </c>
      <c r="D195" s="6" t="n">
        <f aca="false">COUNTIF('Speaker Appearances'!$A$2:$A$358,A195)</f>
        <v>1</v>
      </c>
    </row>
    <row r="196" customFormat="false" ht="15" hidden="false" customHeight="false" outlineLevel="0" collapsed="false">
      <c r="A196" s="6" t="s">
        <v>919</v>
      </c>
      <c r="B196" s="6"/>
      <c r="C196" s="6"/>
      <c r="D196" s="6" t="n">
        <f aca="false">COUNTIF('Speaker Appearances'!$A$2:$A$358,A196)</f>
        <v>1</v>
      </c>
    </row>
    <row r="197" customFormat="false" ht="15" hidden="false" customHeight="false" outlineLevel="0" collapsed="false">
      <c r="A197" s="6" t="s">
        <v>1314</v>
      </c>
      <c r="B197" s="6" t="s">
        <v>1315</v>
      </c>
      <c r="C197" s="6" t="s">
        <v>1316</v>
      </c>
      <c r="D197" s="6" t="n">
        <f aca="false">COUNTIF('Speaker Appearances'!$A$2:$A$358,A197)</f>
        <v>2</v>
      </c>
    </row>
    <row r="198" customFormat="false" ht="15" hidden="false" customHeight="false" outlineLevel="0" collapsed="false">
      <c r="A198" s="6" t="s">
        <v>1254</v>
      </c>
      <c r="B198" s="6" t="s">
        <v>1255</v>
      </c>
      <c r="C198" s="6" t="s">
        <v>1256</v>
      </c>
      <c r="D198" s="6" t="n">
        <f aca="false">COUNTIF('Speaker Appearances'!$A$2:$A$358,A198)</f>
        <v>2</v>
      </c>
    </row>
    <row r="199" customFormat="false" ht="15" hidden="false" customHeight="false" outlineLevel="0" collapsed="false">
      <c r="A199" s="6" t="s">
        <v>1376</v>
      </c>
      <c r="B199" s="6" t="s">
        <v>1377</v>
      </c>
      <c r="C199" s="6" t="s">
        <v>1378</v>
      </c>
      <c r="D199" s="6" t="n">
        <f aca="false">COUNTIF('Speaker Appearances'!$A$2:$A$358,A199)</f>
        <v>1</v>
      </c>
    </row>
    <row r="200" customFormat="false" ht="15" hidden="false" customHeight="false" outlineLevel="0" collapsed="false">
      <c r="A200" s="6" t="s">
        <v>195</v>
      </c>
      <c r="B200" s="6" t="s">
        <v>939</v>
      </c>
      <c r="C200" s="6" t="s">
        <v>196</v>
      </c>
      <c r="D200" s="6" t="n">
        <f aca="false">COUNTIF('Speaker Appearances'!$A$2:$A$358,A200)</f>
        <v>1</v>
      </c>
    </row>
    <row r="201" customFormat="false" ht="23.85" hidden="false" customHeight="false" outlineLevel="0" collapsed="false">
      <c r="A201" s="6" t="s">
        <v>1266</v>
      </c>
      <c r="B201" s="6" t="s">
        <v>1267</v>
      </c>
      <c r="C201" s="6" t="s">
        <v>1268</v>
      </c>
      <c r="D201" s="6" t="n">
        <f aca="false">COUNTIF('Speaker Appearances'!$A$2:$A$358,A201)</f>
        <v>1</v>
      </c>
    </row>
    <row r="202" customFormat="false" ht="15" hidden="false" customHeight="false" outlineLevel="0" collapsed="false">
      <c r="A202" s="6" t="s">
        <v>1332</v>
      </c>
      <c r="B202" s="6" t="s">
        <v>1333</v>
      </c>
      <c r="C202" s="6" t="s">
        <v>244</v>
      </c>
      <c r="D202" s="6" t="n">
        <f aca="false">COUNTIF('Speaker Appearances'!$A$2:$A$358,A202)</f>
        <v>1</v>
      </c>
    </row>
    <row r="203" customFormat="false" ht="15" hidden="false" customHeight="false" outlineLevel="0" collapsed="false">
      <c r="A203" s="6" t="s">
        <v>1012</v>
      </c>
      <c r="B203" s="6" t="s">
        <v>1013</v>
      </c>
      <c r="C203" s="6" t="s">
        <v>1014</v>
      </c>
      <c r="D203" s="6" t="n">
        <f aca="false">COUNTIF('Speaker Appearances'!$A$2:$A$358,A203)</f>
        <v>1</v>
      </c>
    </row>
    <row r="204" customFormat="false" ht="15" hidden="false" customHeight="false" outlineLevel="0" collapsed="false">
      <c r="A204" s="6" t="s">
        <v>243</v>
      </c>
      <c r="B204" s="6" t="s">
        <v>967</v>
      </c>
      <c r="C204" s="6" t="s">
        <v>244</v>
      </c>
      <c r="D204" s="6" t="n">
        <f aca="false">COUNTIF('Speaker Appearances'!$A$2:$A$358,A204)</f>
        <v>1</v>
      </c>
    </row>
    <row r="205" customFormat="false" ht="15" hidden="false" customHeight="false" outlineLevel="0" collapsed="false">
      <c r="A205" s="6" t="s">
        <v>1114</v>
      </c>
      <c r="B205" s="6" t="s">
        <v>1115</v>
      </c>
      <c r="C205" s="6" t="s">
        <v>1112</v>
      </c>
      <c r="D205" s="6" t="n">
        <f aca="false">COUNTIF('Speaker Appearances'!$A$2:$A$358,A205)</f>
        <v>1</v>
      </c>
    </row>
    <row r="206" customFormat="false" ht="15" hidden="false" customHeight="false" outlineLevel="0" collapsed="false">
      <c r="A206" s="6" t="s">
        <v>1206</v>
      </c>
      <c r="B206" s="6" t="s">
        <v>1207</v>
      </c>
      <c r="C206" s="6" t="s">
        <v>1208</v>
      </c>
      <c r="D206" s="6" t="n">
        <f aca="false">COUNTIF('Speaker Appearances'!$A$2:$A$358,A206)</f>
        <v>1</v>
      </c>
    </row>
    <row r="207" customFormat="false" ht="15" hidden="false" customHeight="false" outlineLevel="0" collapsed="false">
      <c r="A207" s="6" t="s">
        <v>935</v>
      </c>
      <c r="B207" s="6" t="s">
        <v>936</v>
      </c>
      <c r="C207" s="6" t="s">
        <v>937</v>
      </c>
      <c r="D207" s="6" t="n">
        <f aca="false">COUNTIF('Speaker Appearances'!$A$2:$A$358,A207)</f>
        <v>3</v>
      </c>
    </row>
    <row r="208" customFormat="false" ht="15" hidden="false" customHeight="false" outlineLevel="0" collapsed="false">
      <c r="A208" s="6" t="s">
        <v>892</v>
      </c>
      <c r="B208" s="6" t="s">
        <v>875</v>
      </c>
      <c r="C208" s="6" t="s">
        <v>893</v>
      </c>
      <c r="D208" s="6" t="n">
        <f aca="false">COUNTIF('Speaker Appearances'!$A$2:$A$358,A208)</f>
        <v>2</v>
      </c>
    </row>
    <row r="209" customFormat="false" ht="15" hidden="false" customHeight="false" outlineLevel="0" collapsed="false">
      <c r="A209" s="6" t="s">
        <v>1100</v>
      </c>
      <c r="B209" s="6" t="s">
        <v>1101</v>
      </c>
      <c r="C209" s="6" t="s">
        <v>1102</v>
      </c>
      <c r="D209" s="6" t="n">
        <f aca="false">COUNTIF('Speaker Appearances'!$A$2:$A$358,A209)</f>
        <v>2</v>
      </c>
    </row>
    <row r="210" customFormat="false" ht="15" hidden="false" customHeight="false" outlineLevel="0" collapsed="false">
      <c r="A210" s="6" t="s">
        <v>1141</v>
      </c>
      <c r="B210" s="6" t="s">
        <v>1142</v>
      </c>
      <c r="C210" s="6" t="s">
        <v>1143</v>
      </c>
      <c r="D210" s="6" t="n">
        <f aca="false">COUNTIF('Speaker Appearances'!$A$2:$A$358,A210)</f>
        <v>2</v>
      </c>
    </row>
    <row r="211" customFormat="false" ht="15" hidden="false" customHeight="false" outlineLevel="0" collapsed="false">
      <c r="A211" s="6" t="s">
        <v>996</v>
      </c>
      <c r="B211" s="6" t="s">
        <v>997</v>
      </c>
      <c r="C211" s="6" t="s">
        <v>61</v>
      </c>
      <c r="D211" s="6" t="n">
        <f aca="false">COUNTIF('Speaker Appearances'!$A$2:$A$358,A211)</f>
        <v>1</v>
      </c>
    </row>
    <row r="212" customFormat="false" ht="15" hidden="false" customHeight="false" outlineLevel="0" collapsed="false">
      <c r="A212" s="6" t="s">
        <v>1122</v>
      </c>
      <c r="B212" s="6" t="s">
        <v>1123</v>
      </c>
      <c r="C212" s="6" t="s">
        <v>1124</v>
      </c>
      <c r="D212" s="6" t="n">
        <f aca="false">COUNTIF('Speaker Appearances'!$A$2:$A$358,A212)</f>
        <v>1</v>
      </c>
    </row>
    <row r="213" customFormat="false" ht="15" hidden="false" customHeight="false" outlineLevel="0" collapsed="false">
      <c r="A213" s="6" t="s">
        <v>308</v>
      </c>
      <c r="B213" s="6" t="s">
        <v>1010</v>
      </c>
      <c r="C213" s="6" t="s">
        <v>309</v>
      </c>
      <c r="D213" s="6" t="n">
        <f aca="false">COUNTIF('Speaker Appearances'!$A$2:$A$358,A213)</f>
        <v>1</v>
      </c>
    </row>
    <row r="214" customFormat="false" ht="15" hidden="false" customHeight="false" outlineLevel="0" collapsed="false">
      <c r="A214" s="6" t="s">
        <v>882</v>
      </c>
      <c r="B214" s="6" t="s">
        <v>883</v>
      </c>
      <c r="C214" s="6" t="s">
        <v>884</v>
      </c>
      <c r="D214" s="6" t="n">
        <f aca="false">COUNTIF('Speaker Appearances'!$A$2:$A$358,A214)</f>
        <v>5</v>
      </c>
    </row>
    <row r="215" customFormat="false" ht="15" hidden="false" customHeight="false" outlineLevel="0" collapsed="false">
      <c r="A215" s="6" t="s">
        <v>280</v>
      </c>
      <c r="B215" s="6" t="s">
        <v>991</v>
      </c>
      <c r="C215" s="6" t="s">
        <v>281</v>
      </c>
      <c r="D215" s="6" t="n">
        <f aca="false">COUNTIF('Speaker Appearances'!$A$2:$A$358,A215)</f>
        <v>1</v>
      </c>
    </row>
    <row r="216" customFormat="false" ht="15" hidden="false" customHeight="false" outlineLevel="0" collapsed="false">
      <c r="A216" s="6" t="s">
        <v>1150</v>
      </c>
      <c r="B216" s="6" t="s">
        <v>1151</v>
      </c>
      <c r="C216" s="6" t="s">
        <v>1152</v>
      </c>
      <c r="D216" s="6" t="n">
        <f aca="false">COUNTIF('Speaker Appearances'!$A$2:$A$358,A216)</f>
        <v>1</v>
      </c>
    </row>
    <row r="217" customFormat="false" ht="15" hidden="false" customHeight="false" outlineLevel="0" collapsed="false">
      <c r="A217" s="6" t="s">
        <v>887</v>
      </c>
      <c r="B217" s="6" t="s">
        <v>875</v>
      </c>
      <c r="C217" s="6" t="s">
        <v>888</v>
      </c>
      <c r="D217" s="6" t="n">
        <f aca="false">COUNTIF('Speaker Appearances'!$A$2:$A$358,A217)</f>
        <v>1</v>
      </c>
    </row>
    <row r="218" customFormat="false" ht="15" hidden="false" customHeight="false" outlineLevel="0" collapsed="false">
      <c r="A218" s="6" t="s">
        <v>213</v>
      </c>
      <c r="B218" s="6" t="s">
        <v>948</v>
      </c>
      <c r="C218" s="6" t="s">
        <v>214</v>
      </c>
      <c r="D218" s="6" t="n">
        <f aca="false">COUNTIF('Speaker Appearances'!$A$2:$A$358,A218)</f>
        <v>1</v>
      </c>
    </row>
    <row r="219" customFormat="false" ht="15" hidden="false" customHeight="false" outlineLevel="0" collapsed="false">
      <c r="A219" s="6" t="s">
        <v>1335</v>
      </c>
      <c r="B219" s="6" t="s">
        <v>1336</v>
      </c>
      <c r="C219" s="6" t="s">
        <v>1006</v>
      </c>
      <c r="D219" s="6" t="n">
        <f aca="false">COUNTIF('Speaker Appearances'!$A$2:$A$358,A219)</f>
        <v>1</v>
      </c>
    </row>
    <row r="220" customFormat="false" ht="15" hidden="false" customHeight="false" outlineLevel="0" collapsed="false">
      <c r="A220" s="6" t="s">
        <v>946</v>
      </c>
      <c r="B220" s="6" t="s">
        <v>947</v>
      </c>
      <c r="C220" s="6" t="s">
        <v>886</v>
      </c>
      <c r="D220" s="6" t="n">
        <f aca="false">COUNTIF('Speaker Appearances'!$A$2:$A$358,A220)</f>
        <v>2</v>
      </c>
    </row>
    <row r="221" customFormat="false" ht="15" hidden="false" customHeight="false" outlineLevel="0" collapsed="false">
      <c r="A221" s="6" t="s">
        <v>921</v>
      </c>
      <c r="B221" s="6"/>
      <c r="C221" s="6"/>
      <c r="D221" s="6" t="n">
        <f aca="false">COUNTIF('Speaker Appearances'!$A$2:$A$358,A221)</f>
        <v>1</v>
      </c>
    </row>
    <row r="222" customFormat="false" ht="15" hidden="false" customHeight="false" outlineLevel="0" collapsed="false">
      <c r="A222" s="6" t="s">
        <v>911</v>
      </c>
      <c r="B222" s="6"/>
      <c r="C222" s="6"/>
      <c r="D222" s="6" t="n">
        <f aca="false">COUNTIF('Speaker Appearances'!$A$2:$A$358,A222)</f>
        <v>1</v>
      </c>
    </row>
    <row r="223" customFormat="false" ht="15" hidden="false" customHeight="false" outlineLevel="0" collapsed="false">
      <c r="A223" s="6" t="s">
        <v>1087</v>
      </c>
      <c r="B223" s="6" t="s">
        <v>1088</v>
      </c>
      <c r="C223" s="6" t="s">
        <v>1062</v>
      </c>
      <c r="D223" s="6" t="n">
        <f aca="false">COUNTIF('Speaker Appearances'!$A$2:$A$358,A223)</f>
        <v>1</v>
      </c>
    </row>
    <row r="224" customFormat="false" ht="15" hidden="false" customHeight="false" outlineLevel="0" collapsed="false">
      <c r="A224" s="6" t="s">
        <v>189</v>
      </c>
      <c r="B224" s="6" t="s">
        <v>938</v>
      </c>
      <c r="C224" s="6" t="s">
        <v>190</v>
      </c>
      <c r="D224" s="6" t="n">
        <f aca="false">COUNTIF('Speaker Appearances'!$A$2:$A$358,A224)</f>
        <v>1</v>
      </c>
    </row>
    <row r="225" customFormat="false" ht="15" hidden="false" customHeight="false" outlineLevel="0" collapsed="false">
      <c r="A225" s="6" t="s">
        <v>1116</v>
      </c>
      <c r="B225" s="6" t="s">
        <v>1117</v>
      </c>
      <c r="C225" s="6" t="s">
        <v>1118</v>
      </c>
      <c r="D225" s="6" t="n">
        <f aca="false">COUNTIF('Speaker Appearances'!$A$2:$A$358,A225)</f>
        <v>1</v>
      </c>
    </row>
    <row r="226" customFormat="false" ht="15" hidden="false" customHeight="false" outlineLevel="0" collapsed="false">
      <c r="A226" s="6" t="s">
        <v>923</v>
      </c>
      <c r="B226" s="6"/>
      <c r="C226" s="6"/>
      <c r="D226" s="6" t="n">
        <f aca="false">COUNTIF('Speaker Appearances'!$A$2:$A$358,A226)</f>
        <v>1</v>
      </c>
    </row>
    <row r="227" customFormat="false" ht="15" hidden="false" customHeight="false" outlineLevel="0" collapsed="false">
      <c r="A227" s="6" t="s">
        <v>889</v>
      </c>
      <c r="B227" s="6" t="s">
        <v>890</v>
      </c>
      <c r="C227" s="6" t="s">
        <v>891</v>
      </c>
      <c r="D227" s="6" t="n">
        <f aca="false">COUNTIF('Speaker Appearances'!$A$2:$A$358,A227)</f>
        <v>2</v>
      </c>
    </row>
    <row r="228" customFormat="false" ht="15" hidden="false" customHeight="false" outlineLevel="0" collapsed="false">
      <c r="A228" s="6" t="s">
        <v>897</v>
      </c>
      <c r="B228" s="6"/>
      <c r="C228" s="6"/>
      <c r="D228" s="6" t="n">
        <f aca="false">COUNTIF('Speaker Appearances'!$A$2:$A$358,A228)</f>
        <v>1</v>
      </c>
    </row>
    <row r="229" customFormat="false" ht="15" hidden="false" customHeight="false" outlineLevel="0" collapsed="false">
      <c r="A229" s="6" t="s">
        <v>1182</v>
      </c>
      <c r="B229" s="6" t="s">
        <v>1183</v>
      </c>
      <c r="C229" s="6" t="s">
        <v>1184</v>
      </c>
      <c r="D229" s="6" t="n">
        <f aca="false">COUNTIF('Speaker Appearances'!$A$2:$A$358,A229)</f>
        <v>1</v>
      </c>
    </row>
    <row r="230" customFormat="false" ht="15" hidden="false" customHeight="false" outlineLevel="0" collapsed="false">
      <c r="A230" s="6" t="s">
        <v>863</v>
      </c>
      <c r="B230" s="6" t="s">
        <v>890</v>
      </c>
      <c r="C230" s="6" t="s">
        <v>864</v>
      </c>
      <c r="D230" s="6" t="n">
        <f aca="false">COUNTIF('Speaker Appearances'!$A$2:$A$358,A230)</f>
        <v>1</v>
      </c>
    </row>
    <row r="231" customFormat="false" ht="15" hidden="false" customHeight="false" outlineLevel="0" collapsed="false">
      <c r="A231" s="6" t="s">
        <v>138</v>
      </c>
      <c r="B231" s="6"/>
      <c r="C231" s="6"/>
      <c r="D231" s="6" t="n">
        <f aca="false">COUNTIF('Speaker Appearances'!$A$2:$A$358,A231)</f>
        <v>1</v>
      </c>
    </row>
    <row r="232" customFormat="false" ht="15" hidden="false" customHeight="false" outlineLevel="0" collapsed="false">
      <c r="A232" s="6" t="s">
        <v>1347</v>
      </c>
      <c r="B232" s="6"/>
      <c r="C232" s="6"/>
      <c r="D232" s="6" t="n">
        <f aca="false">COUNTIF('Speaker Appearances'!$A$2:$A$358,A232)</f>
        <v>1</v>
      </c>
    </row>
    <row r="233" customFormat="false" ht="15" hidden="false" customHeight="false" outlineLevel="0" collapsed="false">
      <c r="A233" s="6" t="s">
        <v>367</v>
      </c>
      <c r="B233" s="6" t="s">
        <v>1054</v>
      </c>
      <c r="C233" s="6" t="s">
        <v>368</v>
      </c>
      <c r="D233" s="6" t="n">
        <f aca="false">COUNTIF('Speaker Appearances'!$A$2:$A$358,A233)</f>
        <v>1</v>
      </c>
    </row>
    <row r="234" customFormat="false" ht="15" hidden="false" customHeight="false" outlineLevel="0" collapsed="false">
      <c r="A234" s="6" t="s">
        <v>1362</v>
      </c>
      <c r="B234" s="6" t="s">
        <v>1173</v>
      </c>
      <c r="C234" s="6" t="s">
        <v>1363</v>
      </c>
      <c r="D234" s="6" t="n">
        <f aca="false">COUNTIF('Speaker Appearances'!$A$2:$A$358,A234)</f>
        <v>1</v>
      </c>
    </row>
    <row r="235" customFormat="false" ht="15" hidden="false" customHeight="false" outlineLevel="0" collapsed="false">
      <c r="A235" s="6" t="s">
        <v>985</v>
      </c>
      <c r="B235" s="6" t="s">
        <v>986</v>
      </c>
      <c r="C235" s="6" t="s">
        <v>987</v>
      </c>
      <c r="D235" s="6" t="n">
        <f aca="false">COUNTIF('Speaker Appearances'!$A$2:$A$358,A235)</f>
        <v>1</v>
      </c>
    </row>
    <row r="236" customFormat="false" ht="15" hidden="false" customHeight="false" outlineLevel="0" collapsed="false">
      <c r="A236" s="6" t="s">
        <v>1161</v>
      </c>
      <c r="B236" s="6" t="s">
        <v>1162</v>
      </c>
      <c r="C236" s="6" t="s">
        <v>1066</v>
      </c>
      <c r="D236" s="6" t="n">
        <f aca="false">COUNTIF('Speaker Appearances'!$A$2:$A$358,A236)</f>
        <v>1</v>
      </c>
    </row>
    <row r="237" customFormat="false" ht="15" hidden="false" customHeight="false" outlineLevel="0" collapsed="false">
      <c r="A237" s="6" t="s">
        <v>920</v>
      </c>
      <c r="B237" s="6"/>
      <c r="C237" s="6"/>
      <c r="D237" s="6" t="n">
        <f aca="false">COUNTIF('Speaker Appearances'!$A$2:$A$358,A237)</f>
        <v>1</v>
      </c>
    </row>
    <row r="238" customFormat="false" ht="15" hidden="false" customHeight="false" outlineLevel="0" collapsed="false">
      <c r="A238" s="6" t="s">
        <v>955</v>
      </c>
      <c r="B238" s="6" t="s">
        <v>956</v>
      </c>
      <c r="C238" s="6" t="s">
        <v>225</v>
      </c>
      <c r="D238" s="6" t="n">
        <f aca="false">COUNTIF('Speaker Appearances'!$A$2:$A$358,A238)</f>
        <v>1</v>
      </c>
    </row>
    <row r="239" customFormat="false" ht="15" hidden="false" customHeight="false" outlineLevel="0" collapsed="false">
      <c r="A239" s="6" t="s">
        <v>405</v>
      </c>
      <c r="B239" s="6" t="s">
        <v>890</v>
      </c>
      <c r="C239" s="6" t="s">
        <v>406</v>
      </c>
      <c r="D239" s="6" t="n">
        <f aca="false">COUNTIF('Speaker Appearances'!$A$2:$A$358,A239)</f>
        <v>1</v>
      </c>
    </row>
    <row r="240" customFormat="false" ht="15" hidden="false" customHeight="false" outlineLevel="0" collapsed="false">
      <c r="A240" s="6" t="s">
        <v>1048</v>
      </c>
      <c r="B240" s="6" t="s">
        <v>1049</v>
      </c>
      <c r="C240" s="6" t="s">
        <v>1050</v>
      </c>
      <c r="D240" s="6" t="n">
        <f aca="false">COUNTIF('Speaker Appearances'!$A$2:$A$358,A240)</f>
        <v>1</v>
      </c>
    </row>
    <row r="241" customFormat="false" ht="15" hidden="false" customHeight="false" outlineLevel="0" collapsed="false">
      <c r="A241" s="6" t="s">
        <v>1301</v>
      </c>
      <c r="B241" s="6" t="s">
        <v>1302</v>
      </c>
      <c r="C241" s="6" t="s">
        <v>1303</v>
      </c>
      <c r="D241" s="6" t="n">
        <f aca="false">COUNTIF('Speaker Appearances'!$A$2:$A$358,A241)</f>
        <v>1</v>
      </c>
    </row>
    <row r="242" customFormat="false" ht="15" hidden="false" customHeight="false" outlineLevel="0" collapsed="false">
      <c r="A242" s="6" t="s">
        <v>1405</v>
      </c>
      <c r="B242" s="6" t="s">
        <v>1406</v>
      </c>
      <c r="C242" s="6" t="s">
        <v>61</v>
      </c>
      <c r="D242" s="6" t="n">
        <f aca="false">COUNTIF('Speaker Appearances'!$A$2:$A$358,A242)</f>
        <v>1</v>
      </c>
    </row>
    <row r="243" customFormat="false" ht="15" hidden="false" customHeight="false" outlineLevel="0" collapsed="false">
      <c r="A243" s="6" t="s">
        <v>1147</v>
      </c>
      <c r="B243" s="6" t="s">
        <v>1148</v>
      </c>
      <c r="C243" s="6" t="s">
        <v>1149</v>
      </c>
      <c r="D243" s="6" t="n">
        <f aca="false">COUNTIF('Speaker Appearances'!$A$2:$A$358,A243)</f>
        <v>1</v>
      </c>
    </row>
    <row r="244" customFormat="false" ht="15" hidden="false" customHeight="false" outlineLevel="0" collapsed="false">
      <c r="A244" s="6" t="s">
        <v>1185</v>
      </c>
      <c r="B244" s="6" t="s">
        <v>1186</v>
      </c>
      <c r="C244" s="6" t="s">
        <v>1187</v>
      </c>
      <c r="D244" s="6" t="n">
        <f aca="false">COUNTIF('Speaker Appearances'!$A$2:$A$358,A244)</f>
        <v>1</v>
      </c>
    </row>
    <row r="245" customFormat="false" ht="15" hidden="false" customHeight="false" outlineLevel="0" collapsed="false">
      <c r="A245" s="6" t="s">
        <v>787</v>
      </c>
      <c r="B245" s="6" t="s">
        <v>1054</v>
      </c>
      <c r="C245" s="6" t="s">
        <v>788</v>
      </c>
      <c r="D245" s="6" t="n">
        <f aca="false">COUNTIF('Speaker Appearances'!$A$2:$A$358,A245)</f>
        <v>1</v>
      </c>
    </row>
    <row r="246" customFormat="false" ht="23.85" hidden="false" customHeight="false" outlineLevel="0" collapsed="false">
      <c r="A246" s="6" t="s">
        <v>610</v>
      </c>
      <c r="B246" s="6" t="s">
        <v>1219</v>
      </c>
      <c r="C246" s="6" t="s">
        <v>611</v>
      </c>
      <c r="D246" s="6" t="n">
        <f aca="false">COUNTIF('Speaker Appearances'!$A$2:$A$358,A246)</f>
        <v>1</v>
      </c>
    </row>
    <row r="247" customFormat="false" ht="15" hidden="false" customHeight="false" outlineLevel="0" collapsed="false">
      <c r="A247" s="6" t="s">
        <v>496</v>
      </c>
      <c r="B247" s="6" t="s">
        <v>890</v>
      </c>
      <c r="C247" s="6" t="s">
        <v>497</v>
      </c>
      <c r="D247" s="6" t="n">
        <f aca="false">COUNTIF('Speaker Appearances'!$A$2:$A$358,A247)</f>
        <v>1</v>
      </c>
    </row>
    <row r="248" customFormat="false" ht="15" hidden="false" customHeight="false" outlineLevel="0" collapsed="false">
      <c r="A248" s="6" t="s">
        <v>795</v>
      </c>
      <c r="B248" s="6" t="s">
        <v>1353</v>
      </c>
      <c r="C248" s="6" t="s">
        <v>796</v>
      </c>
      <c r="D248" s="6" t="n">
        <f aca="false">COUNTIF('Speaker Appearances'!$A$2:$A$358,A248)</f>
        <v>1</v>
      </c>
    </row>
    <row r="249" customFormat="false" ht="15" hidden="false" customHeight="false" outlineLevel="0" collapsed="false">
      <c r="A249" s="6" t="s">
        <v>1203</v>
      </c>
      <c r="B249" s="6" t="s">
        <v>1204</v>
      </c>
      <c r="C249" s="6" t="s">
        <v>1205</v>
      </c>
      <c r="D249" s="6" t="n">
        <f aca="false">COUNTIF('Speaker Appearances'!$A$2:$A$358,A249)</f>
        <v>2</v>
      </c>
    </row>
    <row r="250" customFormat="false" ht="15" hidden="false" customHeight="false" outlineLevel="0" collapsed="false">
      <c r="A250" s="6" t="s">
        <v>1072</v>
      </c>
      <c r="B250" s="6" t="s">
        <v>936</v>
      </c>
      <c r="C250" s="6" t="s">
        <v>300</v>
      </c>
      <c r="D250" s="6" t="n">
        <f aca="false">COUNTIF('Speaker Appearances'!$A$2:$A$358,A250)</f>
        <v>1</v>
      </c>
    </row>
    <row r="251" customFormat="false" ht="15" hidden="false" customHeight="false" outlineLevel="0" collapsed="false">
      <c r="A251" s="6" t="s">
        <v>1016</v>
      </c>
      <c r="B251" s="6" t="s">
        <v>1017</v>
      </c>
      <c r="C251" s="6" t="s">
        <v>1018</v>
      </c>
      <c r="D251" s="6" t="n">
        <f aca="false">COUNTIF('Speaker Appearances'!$A$2:$A$358,A251)</f>
        <v>1</v>
      </c>
    </row>
    <row r="252" customFormat="false" ht="15" hidden="false" customHeight="false" outlineLevel="0" collapsed="false">
      <c r="A252" s="6" t="s">
        <v>1229</v>
      </c>
      <c r="B252" s="6" t="s">
        <v>1230</v>
      </c>
      <c r="C252" s="6" t="s">
        <v>1205</v>
      </c>
      <c r="D252" s="6" t="n">
        <f aca="false">COUNTIF('Speaker Appearances'!$A$2:$A$358,A252)</f>
        <v>1</v>
      </c>
    </row>
    <row r="253" customFormat="false" ht="15" hidden="false" customHeight="false" outlineLevel="0" collapsed="false">
      <c r="A253" s="6" t="s">
        <v>677</v>
      </c>
      <c r="B253" s="6" t="s">
        <v>1283</v>
      </c>
      <c r="C253" s="6" t="s">
        <v>678</v>
      </c>
      <c r="D253" s="6" t="n">
        <f aca="false">COUNTIF('Speaker Appearances'!$A$2:$A$358,A253)</f>
        <v>1</v>
      </c>
    </row>
    <row r="254" customFormat="false" ht="15" hidden="false" customHeight="false" outlineLevel="0" collapsed="false">
      <c r="A254" s="6" t="s">
        <v>1130</v>
      </c>
      <c r="B254" s="6" t="s">
        <v>1131</v>
      </c>
      <c r="C254" s="6" t="s">
        <v>1132</v>
      </c>
      <c r="D254" s="6" t="n">
        <f aca="false">COUNTIF('Speaker Appearances'!$A$2:$A$358,A254)</f>
        <v>1</v>
      </c>
    </row>
    <row r="255" customFormat="false" ht="15" hidden="false" customHeight="false" outlineLevel="0" collapsed="false">
      <c r="A255" s="6" t="s">
        <v>352</v>
      </c>
      <c r="B255" s="6" t="s">
        <v>1043</v>
      </c>
      <c r="C255" s="6" t="s">
        <v>353</v>
      </c>
      <c r="D255" s="6" t="n">
        <f aca="false">COUNTIF('Speaker Appearances'!$A$2:$A$358,A255)</f>
        <v>1</v>
      </c>
    </row>
    <row r="256" customFormat="false" ht="15" hidden="false" customHeight="false" outlineLevel="0" collapsed="false">
      <c r="A256" s="6" t="s">
        <v>1310</v>
      </c>
      <c r="B256" s="6" t="s">
        <v>1126</v>
      </c>
      <c r="C256" s="6" t="s">
        <v>1311</v>
      </c>
      <c r="D256" s="6" t="n">
        <f aca="false">COUNTIF('Speaker Appearances'!$A$2:$A$358,A256)</f>
        <v>1</v>
      </c>
    </row>
    <row r="257" customFormat="false" ht="15" hidden="false" customHeight="false" outlineLevel="0" collapsed="false">
      <c r="A257" s="6" t="s">
        <v>876</v>
      </c>
      <c r="B257" s="6" t="s">
        <v>875</v>
      </c>
      <c r="C257" s="6" t="s">
        <v>877</v>
      </c>
      <c r="D257" s="6" t="n">
        <f aca="false">COUNTIF('Speaker Appearances'!$A$2:$A$358,A257)</f>
        <v>2</v>
      </c>
    </row>
    <row r="258" customFormat="false" ht="15" hidden="false" customHeight="false" outlineLevel="0" collapsed="false">
      <c r="A258" s="6" t="s">
        <v>1170</v>
      </c>
      <c r="B258" s="6" t="s">
        <v>1171</v>
      </c>
      <c r="C258" s="6" t="s">
        <v>1172</v>
      </c>
      <c r="D258" s="6" t="n">
        <f aca="false">COUNTIF('Speaker Appearances'!$A$2:$A$358,A258)</f>
        <v>1</v>
      </c>
    </row>
    <row r="259" customFormat="false" ht="15" hidden="false" customHeight="false" outlineLevel="0" collapsed="false">
      <c r="A259" s="6" t="s">
        <v>925</v>
      </c>
      <c r="B259" s="6"/>
      <c r="C259" s="6"/>
      <c r="D259" s="6" t="n">
        <f aca="false">COUNTIF('Speaker Appearances'!$A$2:$A$358,A259)</f>
        <v>1</v>
      </c>
    </row>
    <row r="260" customFormat="false" ht="15" hidden="false" customHeight="false" outlineLevel="0" collapsed="false">
      <c r="A260" s="6" t="s">
        <v>1063</v>
      </c>
      <c r="B260" s="6" t="s">
        <v>890</v>
      </c>
      <c r="C260" s="6" t="s">
        <v>551</v>
      </c>
      <c r="D260" s="6" t="n">
        <f aca="false">COUNTIF('Speaker Appearances'!$A$2:$A$358,A260)</f>
        <v>1</v>
      </c>
    </row>
    <row r="261" customFormat="false" ht="15" hidden="false" customHeight="false" outlineLevel="0" collapsed="false">
      <c r="A261" s="6" t="s">
        <v>550</v>
      </c>
      <c r="B261" s="6" t="s">
        <v>1174</v>
      </c>
      <c r="C261" s="6" t="s">
        <v>551</v>
      </c>
      <c r="D261" s="6" t="n">
        <f aca="false">COUNTIF('Speaker Appearances'!$A$2:$A$358,A261)</f>
        <v>1</v>
      </c>
    </row>
    <row r="262" customFormat="false" ht="15" hidden="false" customHeight="false" outlineLevel="0" collapsed="false">
      <c r="A262" s="6" t="s">
        <v>1200</v>
      </c>
      <c r="B262" s="6" t="s">
        <v>1201</v>
      </c>
      <c r="C262" s="6" t="s">
        <v>1202</v>
      </c>
      <c r="D262" s="6" t="n">
        <f aca="false">COUNTIF('Speaker Appearances'!$A$2:$A$358,A262)</f>
        <v>2</v>
      </c>
    </row>
    <row r="263" customFormat="false" ht="15" hidden="false" customHeight="false" outlineLevel="0" collapsed="false">
      <c r="A263" s="6" t="s">
        <v>492</v>
      </c>
      <c r="B263" s="6" t="s">
        <v>1139</v>
      </c>
      <c r="C263" s="6" t="s">
        <v>493</v>
      </c>
      <c r="D263" s="6" t="n">
        <f aca="false">COUNTIF('Speaker Appearances'!$A$2:$A$358,A263)</f>
        <v>1</v>
      </c>
    </row>
    <row r="264" customFormat="false" ht="15" hidden="false" customHeight="false" outlineLevel="0" collapsed="false">
      <c r="A264" s="6" t="s">
        <v>926</v>
      </c>
      <c r="B264" s="6"/>
      <c r="C264" s="6"/>
      <c r="D264" s="6" t="n">
        <f aca="false">COUNTIF('Speaker Appearances'!$A$2:$A$358,A264)</f>
        <v>1</v>
      </c>
    </row>
    <row r="265" customFormat="false" ht="15" hidden="false" customHeight="false" outlineLevel="0" collapsed="false">
      <c r="A265" s="6" t="s">
        <v>907</v>
      </c>
      <c r="B265" s="6"/>
      <c r="C265" s="6"/>
      <c r="D265" s="6" t="n">
        <f aca="false">COUNTIF('Speaker Appearances'!$A$2:$A$358,A265)</f>
        <v>1</v>
      </c>
    </row>
    <row r="266" customFormat="false" ht="15" hidden="false" customHeight="false" outlineLevel="0" collapsed="false">
      <c r="A266" s="6" t="s">
        <v>1343</v>
      </c>
      <c r="B266" s="6" t="s">
        <v>1344</v>
      </c>
      <c r="C266" s="6" t="s">
        <v>951</v>
      </c>
      <c r="D266" s="6" t="n">
        <f aca="false">COUNTIF('Speaker Appearances'!$A$2:$A$358,A266)</f>
        <v>1</v>
      </c>
    </row>
    <row r="267" customFormat="false" ht="15" hidden="false" customHeight="false" outlineLevel="0" collapsed="false">
      <c r="A267" s="6" t="s">
        <v>779</v>
      </c>
      <c r="B267" s="6" t="s">
        <v>1345</v>
      </c>
      <c r="C267" s="6" t="s">
        <v>780</v>
      </c>
      <c r="D267" s="6" t="n">
        <f aca="false">COUNTIF('Speaker Appearances'!$A$2:$A$358,A267)</f>
        <v>1</v>
      </c>
    </row>
    <row r="268" customFormat="false" ht="15" hidden="false" customHeight="false" outlineLevel="0" collapsed="false">
      <c r="A268" s="6" t="s">
        <v>1061</v>
      </c>
      <c r="B268" s="6" t="s">
        <v>875</v>
      </c>
      <c r="C268" s="6" t="s">
        <v>1062</v>
      </c>
      <c r="D268" s="6" t="n">
        <f aca="false">COUNTIF('Speaker Appearances'!$A$2:$A$358,A268)</f>
        <v>2</v>
      </c>
    </row>
    <row r="269" customFormat="false" ht="15" hidden="false" customHeight="false" outlineLevel="0" collapsed="false">
      <c r="A269" s="6" t="s">
        <v>623</v>
      </c>
      <c r="B269" s="6" t="s">
        <v>1237</v>
      </c>
      <c r="C269" s="6" t="s">
        <v>624</v>
      </c>
      <c r="D269" s="6" t="n">
        <f aca="false">COUNTIF('Speaker Appearances'!$A$2:$A$358,A269)</f>
        <v>1</v>
      </c>
    </row>
    <row r="270" customFormat="false" ht="15" hidden="false" customHeight="false" outlineLevel="0" collapsed="false">
      <c r="A270" s="6" t="s">
        <v>67</v>
      </c>
      <c r="B270" s="6" t="s">
        <v>875</v>
      </c>
      <c r="C270" s="6" t="s">
        <v>68</v>
      </c>
      <c r="D270" s="6" t="n">
        <f aca="false">COUNTIF('Speaker Appearances'!$A$2:$A$358,A270)</f>
        <v>2</v>
      </c>
    </row>
    <row r="271" customFormat="false" ht="15" hidden="false" customHeight="false" outlineLevel="0" collapsed="false">
      <c r="A271" s="6" t="s">
        <v>284</v>
      </c>
      <c r="B271" s="6" t="s">
        <v>992</v>
      </c>
      <c r="C271" s="6" t="s">
        <v>285</v>
      </c>
      <c r="D271" s="6" t="n">
        <f aca="false">COUNTIF('Speaker Appearances'!$A$2:$A$358,A271)</f>
        <v>1</v>
      </c>
    </row>
    <row r="272" customFormat="false" ht="15" hidden="false" customHeight="false" outlineLevel="0" collapsed="false">
      <c r="A272" s="6" t="s">
        <v>1039</v>
      </c>
      <c r="B272" s="6" t="s">
        <v>1040</v>
      </c>
      <c r="C272" s="6" t="s">
        <v>690</v>
      </c>
      <c r="D272" s="6" t="n">
        <f aca="false">COUNTIF('Speaker Appearances'!$A$2:$A$358,A272)</f>
        <v>2</v>
      </c>
    </row>
    <row r="273" customFormat="false" ht="15" hidden="false" customHeight="false" outlineLevel="0" collapsed="false">
      <c r="A273" s="6" t="s">
        <v>669</v>
      </c>
      <c r="B273" s="6" t="s">
        <v>1237</v>
      </c>
      <c r="C273" s="6" t="s">
        <v>670</v>
      </c>
      <c r="D273" s="6" t="n">
        <f aca="false">COUNTIF('Speaker Appearances'!$A$2:$A$358,A273)</f>
        <v>1</v>
      </c>
    </row>
    <row r="274" customFormat="false" ht="15" hidden="false" customHeight="false" outlineLevel="0" collapsed="false">
      <c r="A274" s="6" t="s">
        <v>689</v>
      </c>
      <c r="B274" s="6" t="s">
        <v>1291</v>
      </c>
      <c r="C274" s="6" t="s">
        <v>690</v>
      </c>
      <c r="D274" s="6" t="n">
        <f aca="false">COUNTIF('Speaker Appearances'!$A$2:$A$358,A274)</f>
        <v>2</v>
      </c>
    </row>
    <row r="275" customFormat="false" ht="15" hidden="false" customHeight="false" outlineLevel="0" collapsed="false">
      <c r="A275" s="6" t="s">
        <v>988</v>
      </c>
      <c r="B275" s="6" t="s">
        <v>989</v>
      </c>
      <c r="C275" s="6" t="s">
        <v>990</v>
      </c>
      <c r="D275" s="6" t="n">
        <f aca="false">COUNTIF('Speaker Appearances'!$A$2:$A$358,A275)</f>
        <v>1</v>
      </c>
    </row>
    <row r="276" customFormat="false" ht="15" hidden="false" customHeight="false" outlineLevel="0" collapsed="false">
      <c r="A276" s="6" t="s">
        <v>737</v>
      </c>
      <c r="B276" s="6" t="s">
        <v>1320</v>
      </c>
      <c r="C276" s="6" t="s">
        <v>738</v>
      </c>
      <c r="D276" s="6" t="n">
        <f aca="false">COUNTIF('Speaker Appearances'!$A$2:$A$358,A276)</f>
        <v>1</v>
      </c>
    </row>
    <row r="277" customFormat="false" ht="15" hidden="false" customHeight="false" outlineLevel="0" collapsed="false">
      <c r="A277" s="6" t="s">
        <v>1055</v>
      </c>
      <c r="B277" s="6" t="s">
        <v>1056</v>
      </c>
      <c r="C277" s="6" t="s">
        <v>1057</v>
      </c>
      <c r="D277" s="6" t="n">
        <f aca="false">COUNTIF('Speaker Appearances'!$A$2:$A$358,A277)</f>
        <v>1</v>
      </c>
    </row>
    <row r="278" customFormat="false" ht="15" hidden="false" customHeight="false" outlineLevel="0" collapsed="false">
      <c r="A278" s="6" t="s">
        <v>1364</v>
      </c>
      <c r="B278" s="6" t="s">
        <v>1365</v>
      </c>
      <c r="C278" s="6" t="s">
        <v>1366</v>
      </c>
      <c r="D278" s="6" t="n">
        <f aca="false">COUNTIF('Speaker Appearances'!$A$2:$A$358,A278)</f>
        <v>1</v>
      </c>
    </row>
    <row r="279" customFormat="false" ht="15" hidden="false" customHeight="false" outlineLevel="0" collapsed="false">
      <c r="A279" s="6" t="s">
        <v>1298</v>
      </c>
      <c r="B279" s="6" t="s">
        <v>1299</v>
      </c>
      <c r="C279" s="6" t="s">
        <v>1300</v>
      </c>
      <c r="D279" s="6" t="n">
        <f aca="false">COUNTIF('Speaker Appearances'!$A$2:$A$358,A279)</f>
        <v>1</v>
      </c>
    </row>
    <row r="280" customFormat="false" ht="15" hidden="false" customHeight="false" outlineLevel="0" collapsed="false">
      <c r="A280" s="6" t="s">
        <v>1033</v>
      </c>
      <c r="B280" s="6" t="s">
        <v>1034</v>
      </c>
      <c r="C280" s="6" t="s">
        <v>1035</v>
      </c>
      <c r="D280" s="6" t="n">
        <f aca="false">COUNTIF('Speaker Appearances'!$A$2:$A$358,A280)</f>
        <v>1</v>
      </c>
    </row>
    <row r="281" customFormat="false" ht="15" hidden="false" customHeight="false" outlineLevel="0" collapsed="false">
      <c r="A281" s="6" t="s">
        <v>894</v>
      </c>
      <c r="B281" s="6" t="s">
        <v>895</v>
      </c>
      <c r="C281" s="6" t="s">
        <v>896</v>
      </c>
      <c r="D281" s="6" t="n">
        <f aca="false">COUNTIF('Speaker Appearances'!$A$2:$A$358,A281)</f>
        <v>1</v>
      </c>
    </row>
    <row r="282" customFormat="false" ht="15" hidden="false" customHeight="false" outlineLevel="0" collapsed="false">
      <c r="A282" s="6" t="s">
        <v>1069</v>
      </c>
      <c r="B282" s="6" t="s">
        <v>1070</v>
      </c>
      <c r="C282" s="6" t="s">
        <v>1071</v>
      </c>
      <c r="D282" s="6" t="n">
        <f aca="false">COUNTIF('Speaker Appearances'!$A$2:$A$358,A282)</f>
        <v>2</v>
      </c>
    </row>
    <row r="283" customFormat="false" ht="15" hidden="false" customHeight="false" outlineLevel="0" collapsed="false">
      <c r="A283" s="6" t="s">
        <v>1156</v>
      </c>
      <c r="B283" s="6" t="s">
        <v>1157</v>
      </c>
      <c r="C283" s="6" t="s">
        <v>497</v>
      </c>
      <c r="D283" s="6" t="n">
        <f aca="false">COUNTIF('Speaker Appearances'!$A$2:$A$358,A283)</f>
        <v>1</v>
      </c>
    </row>
    <row r="284" customFormat="false" ht="15" hidden="false" customHeight="false" outlineLevel="0" collapsed="false">
      <c r="A284" s="6" t="s">
        <v>701</v>
      </c>
      <c r="B284" s="6" t="s">
        <v>1295</v>
      </c>
      <c r="C284" s="6" t="s">
        <v>702</v>
      </c>
      <c r="D284" s="6" t="n">
        <f aca="false">COUNTIF('Speaker Appearances'!$A$2:$A$358,A284)</f>
        <v>1</v>
      </c>
    </row>
    <row r="285" customFormat="false" ht="15" hidden="false" customHeight="false" outlineLevel="0" collapsed="false">
      <c r="A285" s="6" t="s">
        <v>1243</v>
      </c>
      <c r="B285" s="6" t="s">
        <v>1244</v>
      </c>
      <c r="C285" s="6" t="s">
        <v>1245</v>
      </c>
      <c r="D285" s="6" t="n">
        <f aca="false">COUNTIF('Speaker Appearances'!$A$2:$A$358,A285)</f>
        <v>1</v>
      </c>
    </row>
    <row r="286" customFormat="false" ht="15" hidden="false" customHeight="false" outlineLevel="0" collapsed="false">
      <c r="A286" s="6" t="s">
        <v>1401</v>
      </c>
      <c r="B286" s="6" t="s">
        <v>1402</v>
      </c>
      <c r="C286" s="6" t="s">
        <v>244</v>
      </c>
      <c r="D286" s="6" t="n">
        <f aca="false">COUNTIF('Speaker Appearances'!$A$2:$A$358,A286)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2026-10-14T08:49:19Z</dcterms:created>
  <dc:creator>openpyxl</dc:creator>
  <dc:description/>
  <dc:language>en-US</dc:language>
  <cp:lastModifiedBy/>
  <dcterms:modified xsi:type="dcterms:W3CDTF">2026-10-14T08:49:20Z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